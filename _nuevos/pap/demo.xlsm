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Maria\Desktop\matrona\Planilla_PAP\"/>
    </mc:Choice>
  </mc:AlternateContent>
  <xr:revisionPtr revIDLastSave="0" documentId="13_ncr:1_{C67F41CE-5827-4CEB-BA1E-7425C9FDEDC9}" xr6:coauthVersionLast="47" xr6:coauthVersionMax="47" xr10:uidLastSave="{00000000-0000-0000-0000-000000000000}"/>
  <bookViews>
    <workbookView showSheetTabs="0" xWindow="-108" yWindow="-108" windowWidth="23256" windowHeight="12456" tabRatio="914" firstSheet="1" activeTab="2" xr2:uid="{00000000-000D-0000-FFFF-FFFF00000000}"/>
  </bookViews>
  <sheets>
    <sheet name="2021" sheetId="1" r:id="rId1"/>
    <sheet name="2022" sheetId="42" r:id="rId2"/>
    <sheet name="2023" sheetId="28" r:id="rId3"/>
    <sheet name="TOTAL PACIENTES" sheetId="17" r:id="rId4"/>
  </sheets>
  <definedNames>
    <definedName name="_xlnm._FilterDatabase" localSheetId="0" hidden="1">'2021'!$A$3:$I$427</definedName>
    <definedName name="_xlnm._FilterDatabase" localSheetId="1" hidden="1">'2022'!$A$4:$S$1185</definedName>
    <definedName name="_xlnm._FilterDatabase" localSheetId="2" hidden="1">'2023'!$A$3:$S$339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0" i="17" l="1"/>
  <c r="N9" i="17"/>
  <c r="N8" i="17"/>
  <c r="S7" i="17"/>
  <c r="Q7" i="17"/>
  <c r="N7" i="17"/>
  <c r="M6" i="17" a="1"/>
  <c r="M6" i="17" s="1"/>
  <c r="L6" i="17" a="1"/>
  <c r="L6" i="17" s="1"/>
  <c r="K6" i="17" a="1"/>
  <c r="K6" i="17" s="1"/>
  <c r="J6" i="17" a="1"/>
  <c r="J6" i="17" s="1"/>
  <c r="I6" i="17" a="1"/>
  <c r="I6" i="17" s="1"/>
  <c r="H6" i="17" a="1"/>
  <c r="H6" i="17" s="1"/>
  <c r="G6" i="17" a="1"/>
  <c r="G6" i="17"/>
  <c r="F6" i="17" a="1"/>
  <c r="F6" i="17" s="1"/>
  <c r="E6" i="17" a="1"/>
  <c r="E6" i="17" s="1"/>
  <c r="D6" i="17" a="1"/>
  <c r="D6" i="17"/>
  <c r="C6" i="17" a="1"/>
  <c r="C6" i="17"/>
  <c r="B6" i="17" a="1"/>
  <c r="B6" i="17" s="1"/>
  <c r="M5" i="17" a="1"/>
  <c r="M5" i="17" s="1"/>
  <c r="L5" i="17" a="1"/>
  <c r="L5" i="17" s="1"/>
  <c r="K5" i="17" a="1"/>
  <c r="K5" i="17" s="1"/>
  <c r="J5" i="17" a="1"/>
  <c r="J5" i="17" s="1"/>
  <c r="I5" i="17" a="1"/>
  <c r="I5" i="17" s="1"/>
  <c r="H5" i="17"/>
  <c r="G5" i="17"/>
  <c r="F5" i="17"/>
  <c r="E5" i="17"/>
  <c r="D5" i="17"/>
  <c r="C5" i="17" a="1"/>
  <c r="C5" i="17" s="1"/>
  <c r="B5" i="17" a="1"/>
  <c r="B5" i="17" s="1"/>
  <c r="M4" i="17"/>
  <c r="L4" i="17"/>
  <c r="K4" i="17"/>
  <c r="J4" i="17"/>
  <c r="I4" i="17"/>
  <c r="H4" i="17"/>
  <c r="G4" i="17"/>
  <c r="F4" i="17"/>
  <c r="E4" i="17"/>
  <c r="D4" i="17" a="1"/>
  <c r="D4" i="17" s="1"/>
  <c r="N4" i="17" s="1"/>
  <c r="C4" i="17" a="1"/>
  <c r="C4" i="17"/>
  <c r="B4" i="17"/>
  <c r="N1185" i="42"/>
  <c r="M1185" i="42"/>
  <c r="L1185" i="42"/>
  <c r="K1185" i="42"/>
  <c r="S1185" i="42" s="1"/>
  <c r="F1185" i="42"/>
  <c r="N1184" i="42"/>
  <c r="M1184" i="42"/>
  <c r="L1184" i="42"/>
  <c r="O1184" i="42" s="1"/>
  <c r="K1184" i="42"/>
  <c r="F1184" i="42"/>
  <c r="N1183" i="42"/>
  <c r="M1183" i="42"/>
  <c r="L1183" i="42"/>
  <c r="S1183" i="42" s="1"/>
  <c r="K1183" i="42"/>
  <c r="O1183" i="42" s="1"/>
  <c r="F1183" i="42"/>
  <c r="N1182" i="42"/>
  <c r="M1182" i="42"/>
  <c r="L1182" i="42"/>
  <c r="S1182" i="42" s="1"/>
  <c r="K1182" i="42"/>
  <c r="F1182" i="42"/>
  <c r="N1181" i="42"/>
  <c r="M1181" i="42"/>
  <c r="L1181" i="42"/>
  <c r="K1181" i="42"/>
  <c r="F1181" i="42"/>
  <c r="N1180" i="42"/>
  <c r="M1180" i="42"/>
  <c r="S1180" i="42" s="1"/>
  <c r="L1180" i="42"/>
  <c r="K1180" i="42"/>
  <c r="F1180" i="42"/>
  <c r="S1179" i="42"/>
  <c r="O1179" i="42"/>
  <c r="N1179" i="42"/>
  <c r="M1179" i="42"/>
  <c r="L1179" i="42"/>
  <c r="K1179" i="42"/>
  <c r="F1179" i="42"/>
  <c r="N1178" i="42"/>
  <c r="M1178" i="42"/>
  <c r="L1178" i="42"/>
  <c r="K1178" i="42"/>
  <c r="S1178" i="42" s="1"/>
  <c r="F1178" i="42"/>
  <c r="O1177" i="42"/>
  <c r="N1177" i="42"/>
  <c r="M1177" i="42"/>
  <c r="L1177" i="42"/>
  <c r="K1177" i="42"/>
  <c r="S1177" i="42" s="1"/>
  <c r="F1177" i="42"/>
  <c r="N1176" i="42"/>
  <c r="M1176" i="42"/>
  <c r="O1176" i="42" s="1"/>
  <c r="L1176" i="42"/>
  <c r="S1176" i="42" s="1"/>
  <c r="K1176" i="42"/>
  <c r="F1176" i="42"/>
  <c r="N1175" i="42"/>
  <c r="M1175" i="42"/>
  <c r="L1175" i="42"/>
  <c r="K1175" i="42"/>
  <c r="S1175" i="42" s="1"/>
  <c r="F1175" i="42"/>
  <c r="N1174" i="42"/>
  <c r="M1174" i="42"/>
  <c r="L1174" i="42"/>
  <c r="K1174" i="42"/>
  <c r="F1174" i="42"/>
  <c r="N1173" i="42"/>
  <c r="M1173" i="42"/>
  <c r="L1173" i="42"/>
  <c r="K1173" i="42"/>
  <c r="S1173" i="42" s="1"/>
  <c r="F1173" i="42"/>
  <c r="N1172" i="42"/>
  <c r="M1172" i="42"/>
  <c r="L1172" i="42"/>
  <c r="K1172" i="42"/>
  <c r="S1172" i="42" s="1"/>
  <c r="F1172" i="42"/>
  <c r="N1171" i="42"/>
  <c r="M1171" i="42"/>
  <c r="O1171" i="42" s="1"/>
  <c r="L1171" i="42"/>
  <c r="K1171" i="42"/>
  <c r="S1171" i="42" s="1"/>
  <c r="F1171" i="42"/>
  <c r="S1170" i="42"/>
  <c r="N1170" i="42"/>
  <c r="M1170" i="42"/>
  <c r="L1170" i="42"/>
  <c r="K1170" i="42"/>
  <c r="O1170" i="42" s="1"/>
  <c r="F1170" i="42"/>
  <c r="N1169" i="42"/>
  <c r="S1169" i="42" s="1"/>
  <c r="M1169" i="42"/>
  <c r="O1169" i="42" s="1"/>
  <c r="L1169" i="42"/>
  <c r="K1169" i="42"/>
  <c r="F1169" i="42"/>
  <c r="N1168" i="42"/>
  <c r="M1168" i="42"/>
  <c r="L1168" i="42"/>
  <c r="S1168" i="42" s="1"/>
  <c r="K1168" i="42"/>
  <c r="F1168" i="42"/>
  <c r="N1167" i="42"/>
  <c r="M1167" i="42"/>
  <c r="L1167" i="42"/>
  <c r="K1167" i="42"/>
  <c r="F1167" i="42"/>
  <c r="N1166" i="42"/>
  <c r="M1166" i="42"/>
  <c r="L1166" i="42"/>
  <c r="K1166" i="42"/>
  <c r="S1166" i="42" s="1"/>
  <c r="F1166" i="42"/>
  <c r="N1165" i="42"/>
  <c r="M1165" i="42"/>
  <c r="L1165" i="42"/>
  <c r="K1165" i="42"/>
  <c r="S1165" i="42" s="1"/>
  <c r="F1165" i="42"/>
  <c r="N1164" i="42"/>
  <c r="S1164" i="42" s="1"/>
  <c r="M1164" i="42"/>
  <c r="L1164" i="42"/>
  <c r="K1164" i="42"/>
  <c r="O1164" i="42" s="1"/>
  <c r="F1164" i="42"/>
  <c r="N1163" i="42"/>
  <c r="M1163" i="42"/>
  <c r="L1163" i="42"/>
  <c r="O1163" i="42" s="1"/>
  <c r="K1163" i="42"/>
  <c r="S1163" i="42" s="1"/>
  <c r="F1163" i="42"/>
  <c r="O1162" i="42"/>
  <c r="N1162" i="42"/>
  <c r="M1162" i="42"/>
  <c r="L1162" i="42"/>
  <c r="K1162" i="42"/>
  <c r="S1162" i="42" s="1"/>
  <c r="F1162" i="42"/>
  <c r="N1161" i="42"/>
  <c r="M1161" i="42"/>
  <c r="L1161" i="42"/>
  <c r="K1161" i="42"/>
  <c r="S1161" i="42" s="1"/>
  <c r="F1161" i="42"/>
  <c r="N1160" i="42"/>
  <c r="M1160" i="42"/>
  <c r="L1160" i="42"/>
  <c r="O1160" i="42" s="1"/>
  <c r="K1160" i="42"/>
  <c r="F1160" i="42"/>
  <c r="N1159" i="42"/>
  <c r="M1159" i="42"/>
  <c r="L1159" i="42"/>
  <c r="S1159" i="42" s="1"/>
  <c r="K1159" i="42"/>
  <c r="F1159" i="42"/>
  <c r="N1158" i="42"/>
  <c r="M1158" i="42"/>
  <c r="L1158" i="42"/>
  <c r="S1158" i="42" s="1"/>
  <c r="K1158" i="42"/>
  <c r="F1158" i="42"/>
  <c r="N1157" i="42"/>
  <c r="M1157" i="42"/>
  <c r="L1157" i="42"/>
  <c r="K1157" i="42"/>
  <c r="F1157" i="42"/>
  <c r="N1156" i="42"/>
  <c r="M1156" i="42"/>
  <c r="L1156" i="42"/>
  <c r="K1156" i="42"/>
  <c r="O1156" i="42" s="1"/>
  <c r="F1156" i="42"/>
  <c r="S1155" i="42"/>
  <c r="O1155" i="42"/>
  <c r="N1155" i="42"/>
  <c r="M1155" i="42"/>
  <c r="L1155" i="42"/>
  <c r="K1155" i="42"/>
  <c r="F1155" i="42"/>
  <c r="N1154" i="42"/>
  <c r="M1154" i="42"/>
  <c r="L1154" i="42"/>
  <c r="K1154" i="42"/>
  <c r="S1154" i="42" s="1"/>
  <c r="F1154" i="42"/>
  <c r="O1153" i="42"/>
  <c r="N1153" i="42"/>
  <c r="M1153" i="42"/>
  <c r="L1153" i="42"/>
  <c r="K1153" i="42"/>
  <c r="S1153" i="42" s="1"/>
  <c r="F1153" i="42"/>
  <c r="N1152" i="42"/>
  <c r="M1152" i="42"/>
  <c r="O1152" i="42" s="1"/>
  <c r="L1152" i="42"/>
  <c r="K1152" i="42"/>
  <c r="F1152" i="42"/>
  <c r="N1151" i="42"/>
  <c r="M1151" i="42"/>
  <c r="L1151" i="42"/>
  <c r="K1151" i="42"/>
  <c r="F1151" i="42"/>
  <c r="S1150" i="42"/>
  <c r="N1150" i="42"/>
  <c r="M1150" i="42"/>
  <c r="L1150" i="42"/>
  <c r="O1150" i="42" s="1"/>
  <c r="K1150" i="42"/>
  <c r="F1150" i="42"/>
  <c r="N1149" i="42"/>
  <c r="M1149" i="42"/>
  <c r="L1149" i="42"/>
  <c r="K1149" i="42"/>
  <c r="F1149" i="42"/>
  <c r="N1148" i="42"/>
  <c r="M1148" i="42"/>
  <c r="L1148" i="42"/>
  <c r="K1148" i="42"/>
  <c r="F1148" i="42"/>
  <c r="N1147" i="42"/>
  <c r="M1147" i="42"/>
  <c r="O1147" i="42" s="1"/>
  <c r="L1147" i="42"/>
  <c r="K1147" i="42"/>
  <c r="F1147" i="42"/>
  <c r="N1146" i="42"/>
  <c r="M1146" i="42"/>
  <c r="L1146" i="42"/>
  <c r="K1146" i="42"/>
  <c r="F1146" i="42"/>
  <c r="N1145" i="42"/>
  <c r="S1145" i="42" s="1"/>
  <c r="M1145" i="42"/>
  <c r="L1145" i="42"/>
  <c r="K1145" i="42"/>
  <c r="F1145" i="42"/>
  <c r="N1144" i="42"/>
  <c r="M1144" i="42"/>
  <c r="L1144" i="42"/>
  <c r="S1144" i="42" s="1"/>
  <c r="K1144" i="42"/>
  <c r="F1144" i="42"/>
  <c r="N1143" i="42"/>
  <c r="M1143" i="42"/>
  <c r="L1143" i="42"/>
  <c r="K1143" i="42"/>
  <c r="F1143" i="42"/>
  <c r="N1142" i="42"/>
  <c r="M1142" i="42"/>
  <c r="O1142" i="42" s="1"/>
  <c r="L1142" i="42"/>
  <c r="K1142" i="42"/>
  <c r="F1142" i="42"/>
  <c r="N1141" i="42"/>
  <c r="M1141" i="42"/>
  <c r="L1141" i="42"/>
  <c r="K1141" i="42"/>
  <c r="F1141" i="42"/>
  <c r="N1140" i="42"/>
  <c r="M1140" i="42"/>
  <c r="S1140" i="42" s="1"/>
  <c r="L1140" i="42"/>
  <c r="K1140" i="42"/>
  <c r="F1140" i="42"/>
  <c r="N1139" i="42"/>
  <c r="M1139" i="42"/>
  <c r="L1139" i="42"/>
  <c r="O1139" i="42" s="1"/>
  <c r="K1139" i="42"/>
  <c r="F1139" i="42"/>
  <c r="O1138" i="42"/>
  <c r="N1138" i="42"/>
  <c r="M1138" i="42"/>
  <c r="L1138" i="42"/>
  <c r="K1138" i="42"/>
  <c r="S1138" i="42" s="1"/>
  <c r="F1138" i="42"/>
  <c r="S1137" i="42"/>
  <c r="N1137" i="42"/>
  <c r="M1137" i="42"/>
  <c r="L1137" i="42"/>
  <c r="K1137" i="42"/>
  <c r="F1137" i="42"/>
  <c r="N1136" i="42"/>
  <c r="M1136" i="42"/>
  <c r="L1136" i="42"/>
  <c r="K1136" i="42"/>
  <c r="F1136" i="42"/>
  <c r="N1135" i="42"/>
  <c r="M1135" i="42"/>
  <c r="L1135" i="42"/>
  <c r="S1135" i="42" s="1"/>
  <c r="K1135" i="42"/>
  <c r="F1135" i="42"/>
  <c r="N1134" i="42"/>
  <c r="M1134" i="42"/>
  <c r="L1134" i="42"/>
  <c r="K1134" i="42"/>
  <c r="F1134" i="42"/>
  <c r="N1133" i="42"/>
  <c r="M1133" i="42"/>
  <c r="L1133" i="42"/>
  <c r="K1133" i="42"/>
  <c r="F1133" i="42"/>
  <c r="N1132" i="42"/>
  <c r="M1132" i="42"/>
  <c r="L1132" i="42"/>
  <c r="K1132" i="42"/>
  <c r="F1132" i="42"/>
  <c r="S1131" i="42"/>
  <c r="O1131" i="42"/>
  <c r="N1131" i="42"/>
  <c r="M1131" i="42"/>
  <c r="L1131" i="42"/>
  <c r="K1131" i="42"/>
  <c r="F1131" i="42"/>
  <c r="N1130" i="42"/>
  <c r="M1130" i="42"/>
  <c r="L1130" i="42"/>
  <c r="K1130" i="42"/>
  <c r="F1130" i="42"/>
  <c r="N1129" i="42"/>
  <c r="M1129" i="42"/>
  <c r="L1129" i="42"/>
  <c r="K1129" i="42"/>
  <c r="F1129" i="42"/>
  <c r="N1128" i="42"/>
  <c r="M1128" i="42"/>
  <c r="O1128" i="42" s="1"/>
  <c r="L1128" i="42"/>
  <c r="K1128" i="42"/>
  <c r="F1128" i="42"/>
  <c r="N1127" i="42"/>
  <c r="M1127" i="42"/>
  <c r="L1127" i="42"/>
  <c r="K1127" i="42"/>
  <c r="F1127" i="42"/>
  <c r="N1126" i="42"/>
  <c r="M1126" i="42"/>
  <c r="L1126" i="42"/>
  <c r="K1126" i="42"/>
  <c r="F1126" i="42"/>
  <c r="O1125" i="42"/>
  <c r="N1125" i="42"/>
  <c r="M1125" i="42"/>
  <c r="L1125" i="42"/>
  <c r="K1125" i="42"/>
  <c r="S1125" i="42" s="1"/>
  <c r="F1125" i="42"/>
  <c r="N1124" i="42"/>
  <c r="M1124" i="42"/>
  <c r="L1124" i="42"/>
  <c r="K1124" i="42"/>
  <c r="F1124" i="42"/>
  <c r="N1123" i="42"/>
  <c r="M1123" i="42"/>
  <c r="L1123" i="42"/>
  <c r="K1123" i="42"/>
  <c r="S1123" i="42" s="1"/>
  <c r="F1123" i="42"/>
  <c r="N1122" i="42"/>
  <c r="M1122" i="42"/>
  <c r="L1122" i="42"/>
  <c r="K1122" i="42"/>
  <c r="F1122" i="42"/>
  <c r="N1121" i="42"/>
  <c r="S1121" i="42" s="1"/>
  <c r="M1121" i="42"/>
  <c r="L1121" i="42"/>
  <c r="K1121" i="42"/>
  <c r="F1121" i="42"/>
  <c r="N1120" i="42"/>
  <c r="M1120" i="42"/>
  <c r="L1120" i="42"/>
  <c r="S1120" i="42" s="1"/>
  <c r="K1120" i="42"/>
  <c r="F1120" i="42"/>
  <c r="N1119" i="42"/>
  <c r="M1119" i="42"/>
  <c r="L1119" i="42"/>
  <c r="K1119" i="42"/>
  <c r="S1119" i="42" s="1"/>
  <c r="F1119" i="42"/>
  <c r="N1118" i="42"/>
  <c r="M1118" i="42"/>
  <c r="L1118" i="42"/>
  <c r="K1118" i="42"/>
  <c r="F1118" i="42"/>
  <c r="N1117" i="42"/>
  <c r="M1117" i="42"/>
  <c r="L1117" i="42"/>
  <c r="K1117" i="42"/>
  <c r="F1117" i="42"/>
  <c r="N1116" i="42"/>
  <c r="M1116" i="42"/>
  <c r="L1116" i="42"/>
  <c r="S1116" i="42" s="1"/>
  <c r="K1116" i="42"/>
  <c r="F1116" i="42"/>
  <c r="N1115" i="42"/>
  <c r="M1115" i="42"/>
  <c r="L1115" i="42"/>
  <c r="O1115" i="42" s="1"/>
  <c r="K1115" i="42"/>
  <c r="F1115" i="42"/>
  <c r="O1114" i="42"/>
  <c r="N1114" i="42"/>
  <c r="M1114" i="42"/>
  <c r="L1114" i="42"/>
  <c r="K1114" i="42"/>
  <c r="S1114" i="42" s="1"/>
  <c r="F1114" i="42"/>
  <c r="S1113" i="42"/>
  <c r="O1113" i="42"/>
  <c r="N1113" i="42"/>
  <c r="M1113" i="42"/>
  <c r="L1113" i="42"/>
  <c r="K1113" i="42"/>
  <c r="F1113" i="42"/>
  <c r="N1112" i="42"/>
  <c r="M1112" i="42"/>
  <c r="L1112" i="42"/>
  <c r="K1112" i="42"/>
  <c r="F1112" i="42"/>
  <c r="N1111" i="42"/>
  <c r="M1111" i="42"/>
  <c r="L1111" i="42"/>
  <c r="K1111" i="42"/>
  <c r="F1111" i="42"/>
  <c r="N1110" i="42"/>
  <c r="M1110" i="42"/>
  <c r="L1110" i="42"/>
  <c r="K1110" i="42"/>
  <c r="F1110" i="42"/>
  <c r="N1109" i="42"/>
  <c r="M1109" i="42"/>
  <c r="L1109" i="42"/>
  <c r="K1109" i="42"/>
  <c r="F1109" i="42"/>
  <c r="N1108" i="42"/>
  <c r="M1108" i="42"/>
  <c r="L1108" i="42"/>
  <c r="K1108" i="42"/>
  <c r="F1108" i="42"/>
  <c r="S1107" i="42"/>
  <c r="O1107" i="42"/>
  <c r="N1107" i="42"/>
  <c r="M1107" i="42"/>
  <c r="L1107" i="42"/>
  <c r="K1107" i="42"/>
  <c r="F1107" i="42"/>
  <c r="N1106" i="42"/>
  <c r="M1106" i="42"/>
  <c r="L1106" i="42"/>
  <c r="K1106" i="42"/>
  <c r="F1106" i="42"/>
  <c r="O1105" i="42"/>
  <c r="N1105" i="42"/>
  <c r="M1105" i="42"/>
  <c r="L1105" i="42"/>
  <c r="K1105" i="42"/>
  <c r="F1105" i="42"/>
  <c r="N1104" i="42"/>
  <c r="M1104" i="42"/>
  <c r="L1104" i="42"/>
  <c r="K1104" i="42"/>
  <c r="F1104" i="42"/>
  <c r="N1103" i="42"/>
  <c r="M1103" i="42"/>
  <c r="L1103" i="42"/>
  <c r="K1103" i="42"/>
  <c r="F1103" i="42"/>
  <c r="O1102" i="42"/>
  <c r="N1102" i="42"/>
  <c r="M1102" i="42"/>
  <c r="L1102" i="42"/>
  <c r="S1102" i="42" s="1"/>
  <c r="K1102" i="42"/>
  <c r="F1102" i="42"/>
  <c r="O1101" i="42"/>
  <c r="N1101" i="42"/>
  <c r="M1101" i="42"/>
  <c r="L1101" i="42"/>
  <c r="K1101" i="42"/>
  <c r="F1101" i="42"/>
  <c r="S1100" i="42"/>
  <c r="N1100" i="42"/>
  <c r="M1100" i="42"/>
  <c r="L1100" i="42"/>
  <c r="K1100" i="42"/>
  <c r="F1100" i="42"/>
  <c r="N1099" i="42"/>
  <c r="M1099" i="42"/>
  <c r="O1099" i="42" s="1"/>
  <c r="L1099" i="42"/>
  <c r="K1099" i="42"/>
  <c r="F1099" i="42"/>
  <c r="S1098" i="42"/>
  <c r="N1098" i="42"/>
  <c r="M1098" i="42"/>
  <c r="L1098" i="42"/>
  <c r="K1098" i="42"/>
  <c r="F1098" i="42"/>
  <c r="N1097" i="42"/>
  <c r="O1097" i="42" s="1"/>
  <c r="M1097" i="42"/>
  <c r="L1097" i="42"/>
  <c r="K1097" i="42"/>
  <c r="F1097" i="42"/>
  <c r="N1096" i="42"/>
  <c r="M1096" i="42"/>
  <c r="L1096" i="42"/>
  <c r="S1096" i="42" s="1"/>
  <c r="K1096" i="42"/>
  <c r="F1096" i="42"/>
  <c r="N1095" i="42"/>
  <c r="M1095" i="42"/>
  <c r="L1095" i="42"/>
  <c r="K1095" i="42"/>
  <c r="F1095" i="42"/>
  <c r="N1094" i="42"/>
  <c r="M1094" i="42"/>
  <c r="L1094" i="42"/>
  <c r="S1094" i="42" s="1"/>
  <c r="K1094" i="42"/>
  <c r="F1094" i="42"/>
  <c r="N1093" i="42"/>
  <c r="M1093" i="42"/>
  <c r="L1093" i="42"/>
  <c r="K1093" i="42"/>
  <c r="F1093" i="42"/>
  <c r="N1092" i="42"/>
  <c r="M1092" i="42"/>
  <c r="S1092" i="42" s="1"/>
  <c r="L1092" i="42"/>
  <c r="K1092" i="42"/>
  <c r="F1092" i="42"/>
  <c r="N1091" i="42"/>
  <c r="M1091" i="42"/>
  <c r="L1091" i="42"/>
  <c r="K1091" i="42"/>
  <c r="F1091" i="42"/>
  <c r="S1090" i="42"/>
  <c r="N1090" i="42"/>
  <c r="M1090" i="42"/>
  <c r="L1090" i="42"/>
  <c r="K1090" i="42"/>
  <c r="O1090" i="42" s="1"/>
  <c r="F1090" i="42"/>
  <c r="N1089" i="42"/>
  <c r="M1089" i="42"/>
  <c r="S1089" i="42" s="1"/>
  <c r="L1089" i="42"/>
  <c r="K1089" i="42"/>
  <c r="O1089" i="42" s="1"/>
  <c r="F1089" i="42"/>
  <c r="N1088" i="42"/>
  <c r="M1088" i="42"/>
  <c r="L1088" i="42"/>
  <c r="O1088" i="42" s="1"/>
  <c r="K1088" i="42"/>
  <c r="F1088" i="42"/>
  <c r="N1087" i="42"/>
  <c r="M1087" i="42"/>
  <c r="L1087" i="42"/>
  <c r="K1087" i="42"/>
  <c r="F1087" i="42"/>
  <c r="N1086" i="42"/>
  <c r="M1086" i="42"/>
  <c r="L1086" i="42"/>
  <c r="K1086" i="42"/>
  <c r="F1086" i="42"/>
  <c r="O1085" i="42"/>
  <c r="N1085" i="42"/>
  <c r="M1085" i="42"/>
  <c r="L1085" i="42"/>
  <c r="K1085" i="42"/>
  <c r="S1085" i="42" s="1"/>
  <c r="F1085" i="42"/>
  <c r="N1084" i="42"/>
  <c r="M1084" i="42"/>
  <c r="L1084" i="42"/>
  <c r="K1084" i="42"/>
  <c r="F1084" i="42"/>
  <c r="S1083" i="42"/>
  <c r="O1083" i="42"/>
  <c r="N1083" i="42"/>
  <c r="M1083" i="42"/>
  <c r="L1083" i="42"/>
  <c r="K1083" i="42"/>
  <c r="F1083" i="42"/>
  <c r="N1082" i="42"/>
  <c r="S1082" i="42" s="1"/>
  <c r="M1082" i="42"/>
  <c r="L1082" i="42"/>
  <c r="K1082" i="42"/>
  <c r="F1082" i="42"/>
  <c r="O1081" i="42"/>
  <c r="N1081" i="42"/>
  <c r="M1081" i="42"/>
  <c r="L1081" i="42"/>
  <c r="K1081" i="42"/>
  <c r="S1081" i="42" s="1"/>
  <c r="F1081" i="42"/>
  <c r="S1080" i="42"/>
  <c r="O1080" i="42"/>
  <c r="N1080" i="42"/>
  <c r="M1080" i="42"/>
  <c r="L1080" i="42"/>
  <c r="K1080" i="42"/>
  <c r="F1080" i="42"/>
  <c r="N1079" i="42"/>
  <c r="M1079" i="42"/>
  <c r="L1079" i="42"/>
  <c r="K1079" i="42"/>
  <c r="O1079" i="42" s="1"/>
  <c r="F1079" i="42"/>
  <c r="S1078" i="42"/>
  <c r="N1078" i="42"/>
  <c r="M1078" i="42"/>
  <c r="L1078" i="42"/>
  <c r="O1078" i="42" s="1"/>
  <c r="K1078" i="42"/>
  <c r="F1078" i="42"/>
  <c r="N1077" i="42"/>
  <c r="M1077" i="42"/>
  <c r="L1077" i="42"/>
  <c r="K1077" i="42"/>
  <c r="F1077" i="42"/>
  <c r="N1076" i="42"/>
  <c r="M1076" i="42"/>
  <c r="L1076" i="42"/>
  <c r="K1076" i="42"/>
  <c r="F1076" i="42"/>
  <c r="N1075" i="42"/>
  <c r="M1075" i="42"/>
  <c r="L1075" i="42"/>
  <c r="K1075" i="42"/>
  <c r="F1075" i="42"/>
  <c r="N1074" i="42"/>
  <c r="M1074" i="42"/>
  <c r="L1074" i="42"/>
  <c r="S1074" i="42" s="1"/>
  <c r="K1074" i="42"/>
  <c r="F1074" i="42"/>
  <c r="N1073" i="42"/>
  <c r="M1073" i="42"/>
  <c r="L1073" i="42"/>
  <c r="K1073" i="42"/>
  <c r="S1073" i="42" s="1"/>
  <c r="F1073" i="42"/>
  <c r="N1072" i="42"/>
  <c r="M1072" i="42"/>
  <c r="L1072" i="42"/>
  <c r="K1072" i="42"/>
  <c r="F1072" i="42"/>
  <c r="S1071" i="42"/>
  <c r="N1071" i="42"/>
  <c r="O1071" i="42" s="1"/>
  <c r="M1071" i="42"/>
  <c r="L1071" i="42"/>
  <c r="K1071" i="42"/>
  <c r="F1071" i="42"/>
  <c r="N1070" i="42"/>
  <c r="M1070" i="42"/>
  <c r="L1070" i="42"/>
  <c r="O1070" i="42" s="1"/>
  <c r="P1070" i="42" s="1"/>
  <c r="K1070" i="42"/>
  <c r="S1070" i="42" s="1"/>
  <c r="F1070" i="42"/>
  <c r="N1069" i="42"/>
  <c r="M1069" i="42"/>
  <c r="L1069" i="42"/>
  <c r="K1069" i="42"/>
  <c r="F1069" i="42"/>
  <c r="N1068" i="42"/>
  <c r="M1068" i="42"/>
  <c r="L1068" i="42"/>
  <c r="K1068" i="42"/>
  <c r="F1068" i="42"/>
  <c r="O1067" i="42"/>
  <c r="P1067" i="42" s="1"/>
  <c r="N1067" i="42"/>
  <c r="M1067" i="42"/>
  <c r="L1067" i="42"/>
  <c r="K1067" i="42"/>
  <c r="S1067" i="42" s="1"/>
  <c r="F1067" i="42"/>
  <c r="N1066" i="42"/>
  <c r="S1066" i="42" s="1"/>
  <c r="M1066" i="42"/>
  <c r="L1066" i="42"/>
  <c r="K1066" i="42"/>
  <c r="F1066" i="42"/>
  <c r="N1065" i="42"/>
  <c r="S1065" i="42" s="1"/>
  <c r="M1065" i="42"/>
  <c r="L1065" i="42"/>
  <c r="K1065" i="42"/>
  <c r="F1065" i="42"/>
  <c r="N1064" i="42"/>
  <c r="S1064" i="42" s="1"/>
  <c r="M1064" i="42"/>
  <c r="L1064" i="42"/>
  <c r="O1064" i="42" s="1"/>
  <c r="P1064" i="42" s="1"/>
  <c r="K1064" i="42"/>
  <c r="F1064" i="42"/>
  <c r="N1063" i="42"/>
  <c r="M1063" i="42"/>
  <c r="L1063" i="42"/>
  <c r="K1063" i="42"/>
  <c r="F1063" i="42"/>
  <c r="O1062" i="42"/>
  <c r="P1062" i="42" s="1"/>
  <c r="N1062" i="42"/>
  <c r="M1062" i="42"/>
  <c r="L1062" i="42"/>
  <c r="K1062" i="42"/>
  <c r="S1062" i="42" s="1"/>
  <c r="F1062" i="42"/>
  <c r="S1061" i="42"/>
  <c r="N1061" i="42"/>
  <c r="M1061" i="42"/>
  <c r="L1061" i="42"/>
  <c r="K1061" i="42"/>
  <c r="O1061" i="42" s="1"/>
  <c r="P1061" i="42" s="1"/>
  <c r="F1061" i="42"/>
  <c r="N1060" i="42"/>
  <c r="M1060" i="42"/>
  <c r="S1060" i="42" s="1"/>
  <c r="L1060" i="42"/>
  <c r="K1060" i="42"/>
  <c r="F1060" i="42"/>
  <c r="N1059" i="42"/>
  <c r="O1059" i="42" s="1"/>
  <c r="P1059" i="42" s="1"/>
  <c r="M1059" i="42"/>
  <c r="L1059" i="42"/>
  <c r="K1059" i="42"/>
  <c r="F1059" i="42"/>
  <c r="P1058" i="42"/>
  <c r="N1058" i="42"/>
  <c r="M1058" i="42"/>
  <c r="L1058" i="42"/>
  <c r="S1058" i="42" s="1"/>
  <c r="K1058" i="42"/>
  <c r="O1058" i="42" s="1"/>
  <c r="F1058" i="42"/>
  <c r="N1057" i="42"/>
  <c r="M1057" i="42"/>
  <c r="L1057" i="42"/>
  <c r="K1057" i="42"/>
  <c r="O1057" i="42" s="1"/>
  <c r="P1057" i="42" s="1"/>
  <c r="F1057" i="42"/>
  <c r="N1056" i="42"/>
  <c r="M1056" i="42"/>
  <c r="L1056" i="42"/>
  <c r="K1056" i="42"/>
  <c r="F1056" i="42"/>
  <c r="S1055" i="42"/>
  <c r="O1055" i="42"/>
  <c r="P1055" i="42" s="1"/>
  <c r="N1055" i="42"/>
  <c r="M1055" i="42"/>
  <c r="L1055" i="42"/>
  <c r="K1055" i="42"/>
  <c r="F1055" i="42"/>
  <c r="N1054" i="42"/>
  <c r="M1054" i="42"/>
  <c r="L1054" i="42"/>
  <c r="K1054" i="42"/>
  <c r="F1054" i="42"/>
  <c r="N1053" i="42"/>
  <c r="M1053" i="42"/>
  <c r="L1053" i="42"/>
  <c r="K1053" i="42"/>
  <c r="S1053" i="42" s="1"/>
  <c r="F1053" i="42"/>
  <c r="N1052" i="42"/>
  <c r="S1052" i="42" s="1"/>
  <c r="M1052" i="42"/>
  <c r="L1052" i="42"/>
  <c r="K1052" i="42"/>
  <c r="F1052" i="42"/>
  <c r="N1051" i="42"/>
  <c r="M1051" i="42"/>
  <c r="L1051" i="42"/>
  <c r="K1051" i="42"/>
  <c r="O1051" i="42" s="1"/>
  <c r="P1051" i="42" s="1"/>
  <c r="F1051" i="42"/>
  <c r="N1050" i="42"/>
  <c r="M1050" i="42"/>
  <c r="L1050" i="42"/>
  <c r="K1050" i="42"/>
  <c r="F1050" i="42"/>
  <c r="N1049" i="42"/>
  <c r="M1049" i="42"/>
  <c r="L1049" i="42"/>
  <c r="K1049" i="42"/>
  <c r="F1049" i="42"/>
  <c r="S1048" i="42"/>
  <c r="N1048" i="42"/>
  <c r="M1048" i="42"/>
  <c r="L1048" i="42"/>
  <c r="K1048" i="42"/>
  <c r="F1048" i="42"/>
  <c r="S1047" i="42"/>
  <c r="N1047" i="42"/>
  <c r="M1047" i="42"/>
  <c r="L1047" i="42"/>
  <c r="K1047" i="42"/>
  <c r="F1047" i="42"/>
  <c r="P1046" i="42"/>
  <c r="O1046" i="42"/>
  <c r="N1046" i="42"/>
  <c r="M1046" i="42"/>
  <c r="L1046" i="42"/>
  <c r="K1046" i="42"/>
  <c r="S1046" i="42" s="1"/>
  <c r="F1046" i="42"/>
  <c r="P1045" i="42"/>
  <c r="N1045" i="42"/>
  <c r="M1045" i="42"/>
  <c r="L1045" i="42"/>
  <c r="K1045" i="42"/>
  <c r="O1045" i="42" s="1"/>
  <c r="F1045" i="42"/>
  <c r="N1044" i="42"/>
  <c r="M1044" i="42"/>
  <c r="L1044" i="42"/>
  <c r="K1044" i="42"/>
  <c r="S1044" i="42" s="1"/>
  <c r="F1044" i="42"/>
  <c r="N1043" i="42"/>
  <c r="M1043" i="42"/>
  <c r="L1043" i="42"/>
  <c r="K1043" i="42"/>
  <c r="F1043" i="42"/>
  <c r="N1042" i="42"/>
  <c r="M1042" i="42"/>
  <c r="L1042" i="42"/>
  <c r="S1042" i="42" s="1"/>
  <c r="K1042" i="42"/>
  <c r="F1042" i="42"/>
  <c r="O1041" i="42"/>
  <c r="P1041" i="42" s="1"/>
  <c r="N1041" i="42"/>
  <c r="M1041" i="42"/>
  <c r="L1041" i="42"/>
  <c r="S1041" i="42" s="1"/>
  <c r="K1041" i="42"/>
  <c r="F1041" i="42"/>
  <c r="N1040" i="42"/>
  <c r="M1040" i="42"/>
  <c r="L1040" i="42"/>
  <c r="S1040" i="42" s="1"/>
  <c r="K1040" i="42"/>
  <c r="O1040" i="42" s="1"/>
  <c r="P1040" i="42" s="1"/>
  <c r="F1040" i="42"/>
  <c r="N1039" i="42"/>
  <c r="M1039" i="42"/>
  <c r="L1039" i="42"/>
  <c r="S1039" i="42" s="1"/>
  <c r="K1039" i="42"/>
  <c r="F1039" i="42"/>
  <c r="N1038" i="42"/>
  <c r="M1038" i="42"/>
  <c r="L1038" i="42"/>
  <c r="K1038" i="42"/>
  <c r="F1038" i="42"/>
  <c r="N1037" i="42"/>
  <c r="M1037" i="42"/>
  <c r="L1037" i="42"/>
  <c r="S1037" i="42" s="1"/>
  <c r="K1037" i="42"/>
  <c r="O1037" i="42" s="1"/>
  <c r="P1037" i="42" s="1"/>
  <c r="F1037" i="42"/>
  <c r="S1036" i="42"/>
  <c r="N1036" i="42"/>
  <c r="M1036" i="42"/>
  <c r="L1036" i="42"/>
  <c r="K1036" i="42"/>
  <c r="F1036" i="42"/>
  <c r="N1035" i="42"/>
  <c r="M1035" i="42"/>
  <c r="L1035" i="42"/>
  <c r="K1035" i="42"/>
  <c r="F1035" i="42"/>
  <c r="N1034" i="42"/>
  <c r="M1034" i="42"/>
  <c r="L1034" i="42"/>
  <c r="K1034" i="42"/>
  <c r="F1034" i="42"/>
  <c r="P1033" i="42"/>
  <c r="N1033" i="42"/>
  <c r="M1033" i="42"/>
  <c r="L1033" i="42"/>
  <c r="K1033" i="42"/>
  <c r="O1033" i="42" s="1"/>
  <c r="F1033" i="42"/>
  <c r="N1032" i="42"/>
  <c r="M1032" i="42"/>
  <c r="L1032" i="42"/>
  <c r="K1032" i="42"/>
  <c r="F1032" i="42"/>
  <c r="N1031" i="42"/>
  <c r="M1031" i="42"/>
  <c r="L1031" i="42"/>
  <c r="K1031" i="42"/>
  <c r="S1031" i="42" s="1"/>
  <c r="F1031" i="42"/>
  <c r="S1030" i="42"/>
  <c r="N1030" i="42"/>
  <c r="M1030" i="42"/>
  <c r="L1030" i="42"/>
  <c r="K1030" i="42"/>
  <c r="F1030" i="42"/>
  <c r="N1029" i="42"/>
  <c r="M1029" i="42"/>
  <c r="L1029" i="42"/>
  <c r="K1029" i="42"/>
  <c r="F1029" i="42"/>
  <c r="N1028" i="42"/>
  <c r="M1028" i="42"/>
  <c r="L1028" i="42"/>
  <c r="K1028" i="42"/>
  <c r="F1028" i="42"/>
  <c r="S1027" i="42"/>
  <c r="N1027" i="42"/>
  <c r="M1027" i="42"/>
  <c r="L1027" i="42"/>
  <c r="K1027" i="42"/>
  <c r="F1027" i="42"/>
  <c r="N1026" i="42"/>
  <c r="M1026" i="42"/>
  <c r="L1026" i="42"/>
  <c r="K1026" i="42"/>
  <c r="S1026" i="42" s="1"/>
  <c r="F1026" i="42"/>
  <c r="S1025" i="42"/>
  <c r="N1025" i="42"/>
  <c r="M1025" i="42"/>
  <c r="L1025" i="42"/>
  <c r="K1025" i="42"/>
  <c r="F1025" i="42"/>
  <c r="S1024" i="42"/>
  <c r="N1024" i="42"/>
  <c r="M1024" i="42"/>
  <c r="L1024" i="42"/>
  <c r="K1024" i="42"/>
  <c r="F1024" i="42"/>
  <c r="N1023" i="42"/>
  <c r="M1023" i="42"/>
  <c r="L1023" i="42"/>
  <c r="O1023" i="42" s="1"/>
  <c r="P1023" i="42" s="1"/>
  <c r="K1023" i="42"/>
  <c r="S1023" i="42" s="1"/>
  <c r="F1023" i="42"/>
  <c r="N1022" i="42"/>
  <c r="M1022" i="42"/>
  <c r="L1022" i="42"/>
  <c r="K1022" i="42"/>
  <c r="O1022" i="42" s="1"/>
  <c r="P1022" i="42" s="1"/>
  <c r="F1022" i="42"/>
  <c r="N1021" i="42"/>
  <c r="M1021" i="42"/>
  <c r="L1021" i="42"/>
  <c r="K1021" i="42"/>
  <c r="F1021" i="42"/>
  <c r="O1020" i="42"/>
  <c r="P1020" i="42" s="1"/>
  <c r="N1020" i="42"/>
  <c r="M1020" i="42"/>
  <c r="L1020" i="42"/>
  <c r="K1020" i="42"/>
  <c r="S1020" i="42" s="1"/>
  <c r="F1020" i="42"/>
  <c r="N1019" i="42"/>
  <c r="M1019" i="42"/>
  <c r="L1019" i="42"/>
  <c r="K1019" i="42"/>
  <c r="S1019" i="42" s="1"/>
  <c r="F1019" i="42"/>
  <c r="N1018" i="42"/>
  <c r="M1018" i="42"/>
  <c r="L1018" i="42"/>
  <c r="S1018" i="42" s="1"/>
  <c r="K1018" i="42"/>
  <c r="F1018" i="42"/>
  <c r="S1017" i="42"/>
  <c r="N1017" i="42"/>
  <c r="M1017" i="42"/>
  <c r="L1017" i="42"/>
  <c r="O1017" i="42" s="1"/>
  <c r="P1017" i="42" s="1"/>
  <c r="K1017" i="42"/>
  <c r="F1017" i="42"/>
  <c r="N1016" i="42"/>
  <c r="O1016" i="42" s="1"/>
  <c r="P1016" i="42" s="1"/>
  <c r="M1016" i="42"/>
  <c r="L1016" i="42"/>
  <c r="K1016" i="42"/>
  <c r="F1016" i="42"/>
  <c r="N1015" i="42"/>
  <c r="M1015" i="42"/>
  <c r="L1015" i="42"/>
  <c r="K1015" i="42"/>
  <c r="F1015" i="42"/>
  <c r="S1014" i="42"/>
  <c r="N1014" i="42"/>
  <c r="M1014" i="42"/>
  <c r="L1014" i="42"/>
  <c r="K1014" i="42"/>
  <c r="O1014" i="42" s="1"/>
  <c r="P1014" i="42" s="1"/>
  <c r="F1014" i="42"/>
  <c r="N1013" i="42"/>
  <c r="M1013" i="42"/>
  <c r="L1013" i="42"/>
  <c r="K1013" i="42"/>
  <c r="F1013" i="42"/>
  <c r="N1012" i="42"/>
  <c r="M1012" i="42"/>
  <c r="L1012" i="42"/>
  <c r="K1012" i="42"/>
  <c r="O1012" i="42" s="1"/>
  <c r="P1012" i="42" s="1"/>
  <c r="F1012" i="42"/>
  <c r="N1011" i="42"/>
  <c r="M1011" i="42"/>
  <c r="L1011" i="42"/>
  <c r="O1011" i="42" s="1"/>
  <c r="P1011" i="42" s="1"/>
  <c r="K1011" i="42"/>
  <c r="S1011" i="42" s="1"/>
  <c r="F1011" i="42"/>
  <c r="N1010" i="42"/>
  <c r="M1010" i="42"/>
  <c r="L1010" i="42"/>
  <c r="K1010" i="42"/>
  <c r="S1010" i="42" s="1"/>
  <c r="F1010" i="42"/>
  <c r="N1009" i="42"/>
  <c r="M1009" i="42"/>
  <c r="L1009" i="42"/>
  <c r="K1009" i="42"/>
  <c r="F1009" i="42"/>
  <c r="S1008" i="42"/>
  <c r="O1008" i="42"/>
  <c r="P1008" i="42" s="1"/>
  <c r="N1008" i="42"/>
  <c r="M1008" i="42"/>
  <c r="L1008" i="42"/>
  <c r="K1008" i="42"/>
  <c r="F1008" i="42"/>
  <c r="N1007" i="42"/>
  <c r="M1007" i="42"/>
  <c r="L1007" i="42"/>
  <c r="K1007" i="42"/>
  <c r="F1007" i="42"/>
  <c r="N1006" i="42"/>
  <c r="M1006" i="42"/>
  <c r="L1006" i="42"/>
  <c r="K1006" i="42"/>
  <c r="F1006" i="42"/>
  <c r="S1005" i="42"/>
  <c r="N1005" i="42"/>
  <c r="M1005" i="42"/>
  <c r="L1005" i="42"/>
  <c r="K1005" i="42"/>
  <c r="F1005" i="42"/>
  <c r="N1004" i="42"/>
  <c r="M1004" i="42"/>
  <c r="L1004" i="42"/>
  <c r="K1004" i="42"/>
  <c r="F1004" i="42"/>
  <c r="N1003" i="42"/>
  <c r="M1003" i="42"/>
  <c r="L1003" i="42"/>
  <c r="K1003" i="42"/>
  <c r="F1003" i="42"/>
  <c r="N1002" i="42"/>
  <c r="M1002" i="42"/>
  <c r="L1002" i="42"/>
  <c r="S1002" i="42" s="1"/>
  <c r="K1002" i="42"/>
  <c r="F1002" i="42"/>
  <c r="N1001" i="42"/>
  <c r="M1001" i="42"/>
  <c r="L1001" i="42"/>
  <c r="K1001" i="42"/>
  <c r="F1001" i="42"/>
  <c r="S1000" i="42"/>
  <c r="N1000" i="42"/>
  <c r="M1000" i="42"/>
  <c r="L1000" i="42"/>
  <c r="K1000" i="42"/>
  <c r="F1000" i="42"/>
  <c r="N999" i="42"/>
  <c r="M999" i="42"/>
  <c r="L999" i="42"/>
  <c r="K999" i="42"/>
  <c r="F999" i="42"/>
  <c r="N998" i="42"/>
  <c r="M998" i="42"/>
  <c r="L998" i="42"/>
  <c r="O998" i="42" s="1"/>
  <c r="P998" i="42" s="1"/>
  <c r="K998" i="42"/>
  <c r="S998" i="42" s="1"/>
  <c r="F998" i="42"/>
  <c r="N997" i="42"/>
  <c r="M997" i="42"/>
  <c r="L997" i="42"/>
  <c r="K997" i="42"/>
  <c r="O997" i="42" s="1"/>
  <c r="P997" i="42" s="1"/>
  <c r="F997" i="42"/>
  <c r="N996" i="42"/>
  <c r="M996" i="42"/>
  <c r="L996" i="42"/>
  <c r="K996" i="42"/>
  <c r="S996" i="42" s="1"/>
  <c r="F996" i="42"/>
  <c r="N995" i="42"/>
  <c r="M995" i="42"/>
  <c r="L995" i="42"/>
  <c r="K995" i="42"/>
  <c r="S995" i="42" s="1"/>
  <c r="F995" i="42"/>
  <c r="N994" i="42"/>
  <c r="S994" i="42" s="1"/>
  <c r="M994" i="42"/>
  <c r="L994" i="42"/>
  <c r="K994" i="42"/>
  <c r="F994" i="42"/>
  <c r="N993" i="42"/>
  <c r="M993" i="42"/>
  <c r="L993" i="42"/>
  <c r="K993" i="42"/>
  <c r="F993" i="42"/>
  <c r="S992" i="42"/>
  <c r="N992" i="42"/>
  <c r="M992" i="42"/>
  <c r="L992" i="42"/>
  <c r="O992" i="42" s="1"/>
  <c r="P992" i="42" s="1"/>
  <c r="K992" i="42"/>
  <c r="F992" i="42"/>
  <c r="N991" i="42"/>
  <c r="M991" i="42"/>
  <c r="L991" i="42"/>
  <c r="K991" i="42"/>
  <c r="F991" i="42"/>
  <c r="S990" i="42"/>
  <c r="O990" i="42"/>
  <c r="P990" i="42" s="1"/>
  <c r="N990" i="42"/>
  <c r="M990" i="42"/>
  <c r="L990" i="42"/>
  <c r="K990" i="42"/>
  <c r="F990" i="42"/>
  <c r="S989" i="42"/>
  <c r="N989" i="42"/>
  <c r="M989" i="42"/>
  <c r="L989" i="42"/>
  <c r="K989" i="42"/>
  <c r="F989" i="42"/>
  <c r="N988" i="42"/>
  <c r="M988" i="42"/>
  <c r="L988" i="42"/>
  <c r="K988" i="42"/>
  <c r="F988" i="42"/>
  <c r="N987" i="42"/>
  <c r="M987" i="42"/>
  <c r="L987" i="42"/>
  <c r="K987" i="42"/>
  <c r="F987" i="42"/>
  <c r="N986" i="42"/>
  <c r="M986" i="42"/>
  <c r="L986" i="42"/>
  <c r="O986" i="42" s="1"/>
  <c r="P986" i="42" s="1"/>
  <c r="K986" i="42"/>
  <c r="F986" i="42"/>
  <c r="N985" i="42"/>
  <c r="M985" i="42"/>
  <c r="L985" i="42"/>
  <c r="K985" i="42"/>
  <c r="F985" i="42"/>
  <c r="N984" i="42"/>
  <c r="M984" i="42"/>
  <c r="L984" i="42"/>
  <c r="K984" i="42"/>
  <c r="S984" i="42" s="1"/>
  <c r="F984" i="42"/>
  <c r="N983" i="42"/>
  <c r="O983" i="42" s="1"/>
  <c r="P983" i="42" s="1"/>
  <c r="M983" i="42"/>
  <c r="L983" i="42"/>
  <c r="K983" i="42"/>
  <c r="S983" i="42" s="1"/>
  <c r="F983" i="42"/>
  <c r="N982" i="42"/>
  <c r="M982" i="42"/>
  <c r="L982" i="42"/>
  <c r="K982" i="42"/>
  <c r="F982" i="42"/>
  <c r="N981" i="42"/>
  <c r="M981" i="42"/>
  <c r="L981" i="42"/>
  <c r="K981" i="42"/>
  <c r="F981" i="42"/>
  <c r="N980" i="42"/>
  <c r="M980" i="42"/>
  <c r="S980" i="42" s="1"/>
  <c r="L980" i="42"/>
  <c r="K980" i="42"/>
  <c r="F980" i="42"/>
  <c r="N979" i="42"/>
  <c r="M979" i="42"/>
  <c r="S979" i="42" s="1"/>
  <c r="L979" i="42"/>
  <c r="K979" i="42"/>
  <c r="F979" i="42"/>
  <c r="N978" i="42"/>
  <c r="M978" i="42"/>
  <c r="L978" i="42"/>
  <c r="S978" i="42" s="1"/>
  <c r="K978" i="42"/>
  <c r="F978" i="42"/>
  <c r="S977" i="42"/>
  <c r="N977" i="42"/>
  <c r="M977" i="42"/>
  <c r="L977" i="42"/>
  <c r="O977" i="42" s="1"/>
  <c r="P977" i="42" s="1"/>
  <c r="K977" i="42"/>
  <c r="F977" i="42"/>
  <c r="N976" i="42"/>
  <c r="M976" i="42"/>
  <c r="L976" i="42"/>
  <c r="S976" i="42" s="1"/>
  <c r="K976" i="42"/>
  <c r="F976" i="42"/>
  <c r="S975" i="42"/>
  <c r="N975" i="42"/>
  <c r="M975" i="42"/>
  <c r="L975" i="42"/>
  <c r="K975" i="42"/>
  <c r="O975" i="42" s="1"/>
  <c r="P975" i="42" s="1"/>
  <c r="F975" i="42"/>
  <c r="N974" i="42"/>
  <c r="M974" i="42"/>
  <c r="L974" i="42"/>
  <c r="K974" i="42"/>
  <c r="F974" i="42"/>
  <c r="N973" i="42"/>
  <c r="M973" i="42"/>
  <c r="L973" i="42"/>
  <c r="K973" i="42"/>
  <c r="F973" i="42"/>
  <c r="P972" i="42"/>
  <c r="O972" i="42"/>
  <c r="N972" i="42"/>
  <c r="M972" i="42"/>
  <c r="L972" i="42"/>
  <c r="K972" i="42"/>
  <c r="S972" i="42" s="1"/>
  <c r="F972" i="42"/>
  <c r="S971" i="42"/>
  <c r="O971" i="42"/>
  <c r="P971" i="42" s="1"/>
  <c r="N971" i="42"/>
  <c r="M971" i="42"/>
  <c r="L971" i="42"/>
  <c r="K971" i="42"/>
  <c r="F971" i="42"/>
  <c r="N970" i="42"/>
  <c r="M970" i="42"/>
  <c r="L970" i="42"/>
  <c r="K970" i="42"/>
  <c r="F970" i="42"/>
  <c r="P969" i="42"/>
  <c r="O969" i="42"/>
  <c r="N969" i="42"/>
  <c r="M969" i="42"/>
  <c r="L969" i="42"/>
  <c r="K969" i="42"/>
  <c r="F969" i="42"/>
  <c r="N968" i="42"/>
  <c r="M968" i="42"/>
  <c r="L968" i="42"/>
  <c r="K968" i="42"/>
  <c r="O968" i="42" s="1"/>
  <c r="P968" i="42" s="1"/>
  <c r="F968" i="42"/>
  <c r="S967" i="42"/>
  <c r="N967" i="42"/>
  <c r="M967" i="42"/>
  <c r="L967" i="42"/>
  <c r="K967" i="42"/>
  <c r="F967" i="42"/>
  <c r="S966" i="42"/>
  <c r="O966" i="42"/>
  <c r="P966" i="42" s="1"/>
  <c r="N966" i="42"/>
  <c r="M966" i="42"/>
  <c r="L966" i="42"/>
  <c r="K966" i="42"/>
  <c r="F966" i="42"/>
  <c r="N965" i="42"/>
  <c r="M965" i="42"/>
  <c r="L965" i="42"/>
  <c r="K965" i="42"/>
  <c r="S965" i="42" s="1"/>
  <c r="F965" i="42"/>
  <c r="S964" i="42"/>
  <c r="P964" i="42"/>
  <c r="N964" i="42"/>
  <c r="M964" i="42"/>
  <c r="L964" i="42"/>
  <c r="K964" i="42"/>
  <c r="O964" i="42" s="1"/>
  <c r="F964" i="42"/>
  <c r="N963" i="42"/>
  <c r="M963" i="42"/>
  <c r="L963" i="42"/>
  <c r="K963" i="42"/>
  <c r="F963" i="42"/>
  <c r="N962" i="42"/>
  <c r="M962" i="42"/>
  <c r="L962" i="42"/>
  <c r="K962" i="42"/>
  <c r="S962" i="42" s="1"/>
  <c r="F962" i="42"/>
  <c r="S961" i="42"/>
  <c r="P961" i="42"/>
  <c r="N961" i="42"/>
  <c r="M961" i="42"/>
  <c r="L961" i="42"/>
  <c r="K961" i="42"/>
  <c r="O961" i="42" s="1"/>
  <c r="F961" i="42"/>
  <c r="O960" i="42"/>
  <c r="P960" i="42" s="1"/>
  <c r="N960" i="42"/>
  <c r="M960" i="42"/>
  <c r="L960" i="42"/>
  <c r="K960" i="42"/>
  <c r="F960" i="42"/>
  <c r="N959" i="42"/>
  <c r="M959" i="42"/>
  <c r="L959" i="42"/>
  <c r="K959" i="42"/>
  <c r="F959" i="42"/>
  <c r="N958" i="42"/>
  <c r="M958" i="42"/>
  <c r="S958" i="42" s="1"/>
  <c r="L958" i="42"/>
  <c r="K958" i="42"/>
  <c r="F958" i="42"/>
  <c r="N957" i="42"/>
  <c r="M957" i="42"/>
  <c r="L957" i="42"/>
  <c r="K957" i="42"/>
  <c r="F957" i="42"/>
  <c r="N956" i="42"/>
  <c r="M956" i="42"/>
  <c r="L956" i="42"/>
  <c r="K956" i="42"/>
  <c r="F956" i="42"/>
  <c r="N955" i="42"/>
  <c r="M955" i="42"/>
  <c r="L955" i="42"/>
  <c r="K955" i="42"/>
  <c r="F955" i="42"/>
  <c r="N954" i="42"/>
  <c r="M954" i="42"/>
  <c r="L954" i="42"/>
  <c r="K954" i="42"/>
  <c r="F954" i="42"/>
  <c r="N953" i="42"/>
  <c r="M953" i="42"/>
  <c r="S953" i="42" s="1"/>
  <c r="L953" i="42"/>
  <c r="K953" i="42"/>
  <c r="F953" i="42"/>
  <c r="N952" i="42"/>
  <c r="M952" i="42"/>
  <c r="L952" i="42"/>
  <c r="S952" i="42" s="1"/>
  <c r="K952" i="42"/>
  <c r="F952" i="42"/>
  <c r="N951" i="42"/>
  <c r="M951" i="42"/>
  <c r="L951" i="42"/>
  <c r="O951" i="42" s="1"/>
  <c r="P951" i="42" s="1"/>
  <c r="K951" i="42"/>
  <c r="F951" i="42"/>
  <c r="S950" i="42"/>
  <c r="N950" i="42"/>
  <c r="M950" i="42"/>
  <c r="L950" i="42"/>
  <c r="K950" i="42"/>
  <c r="O950" i="42" s="1"/>
  <c r="P950" i="42" s="1"/>
  <c r="F950" i="42"/>
  <c r="P949" i="42"/>
  <c r="N949" i="42"/>
  <c r="M949" i="42"/>
  <c r="L949" i="42"/>
  <c r="K949" i="42"/>
  <c r="O949" i="42" s="1"/>
  <c r="F949" i="42"/>
  <c r="N948" i="42"/>
  <c r="M948" i="42"/>
  <c r="L948" i="42"/>
  <c r="K948" i="42"/>
  <c r="F948" i="42"/>
  <c r="N947" i="42"/>
  <c r="S947" i="42" s="1"/>
  <c r="M947" i="42"/>
  <c r="L947" i="42"/>
  <c r="K947" i="42"/>
  <c r="F947" i="42"/>
  <c r="S946" i="42"/>
  <c r="N946" i="42"/>
  <c r="M946" i="42"/>
  <c r="L946" i="42"/>
  <c r="K946" i="42"/>
  <c r="F946" i="42"/>
  <c r="N945" i="42"/>
  <c r="M945" i="42"/>
  <c r="S945" i="42" s="1"/>
  <c r="L945" i="42"/>
  <c r="K945" i="42"/>
  <c r="F945" i="42"/>
  <c r="N944" i="42"/>
  <c r="M944" i="42"/>
  <c r="L944" i="42"/>
  <c r="K944" i="42"/>
  <c r="F944" i="42"/>
  <c r="N943" i="42"/>
  <c r="M943" i="42"/>
  <c r="L943" i="42"/>
  <c r="S943" i="42" s="1"/>
  <c r="K943" i="42"/>
  <c r="F943" i="42"/>
  <c r="N942" i="42"/>
  <c r="M942" i="42"/>
  <c r="L942" i="42"/>
  <c r="S942" i="42" s="1"/>
  <c r="K942" i="42"/>
  <c r="F942" i="42"/>
  <c r="S941" i="42"/>
  <c r="N941" i="42"/>
  <c r="M941" i="42"/>
  <c r="L941" i="42"/>
  <c r="K941" i="42"/>
  <c r="O941" i="42" s="1"/>
  <c r="P941" i="42" s="1"/>
  <c r="F941" i="42"/>
  <c r="N940" i="42"/>
  <c r="M940" i="42"/>
  <c r="L940" i="42"/>
  <c r="S940" i="42" s="1"/>
  <c r="K940" i="42"/>
  <c r="F940" i="42"/>
  <c r="N939" i="42"/>
  <c r="M939" i="42"/>
  <c r="L939" i="42"/>
  <c r="K939" i="42"/>
  <c r="S939" i="42" s="1"/>
  <c r="F939" i="42"/>
  <c r="O938" i="42"/>
  <c r="P938" i="42" s="1"/>
  <c r="N938" i="42"/>
  <c r="M938" i="42"/>
  <c r="L938" i="42"/>
  <c r="K938" i="42"/>
  <c r="F938" i="42"/>
  <c r="N937" i="42"/>
  <c r="M937" i="42"/>
  <c r="L937" i="42"/>
  <c r="K937" i="42"/>
  <c r="F937" i="42"/>
  <c r="S936" i="42"/>
  <c r="P936" i="42"/>
  <c r="O936" i="42"/>
  <c r="N936" i="42"/>
  <c r="M936" i="42"/>
  <c r="L936" i="42"/>
  <c r="K936" i="42"/>
  <c r="F936" i="42"/>
  <c r="N935" i="42"/>
  <c r="M935" i="42"/>
  <c r="L935" i="42"/>
  <c r="K935" i="42"/>
  <c r="F935" i="42"/>
  <c r="N934" i="42"/>
  <c r="M934" i="42"/>
  <c r="L934" i="42"/>
  <c r="K934" i="42"/>
  <c r="F934" i="42"/>
  <c r="S933" i="42"/>
  <c r="N933" i="42"/>
  <c r="M933" i="42"/>
  <c r="O933" i="42" s="1"/>
  <c r="P933" i="42" s="1"/>
  <c r="L933" i="42"/>
  <c r="K933" i="42"/>
  <c r="F933" i="42"/>
  <c r="N932" i="42"/>
  <c r="M932" i="42"/>
  <c r="L932" i="42"/>
  <c r="K932" i="42"/>
  <c r="F932" i="42"/>
  <c r="N931" i="42"/>
  <c r="M931" i="42"/>
  <c r="S931" i="42" s="1"/>
  <c r="L931" i="42"/>
  <c r="K931" i="42"/>
  <c r="F931" i="42"/>
  <c r="N930" i="42"/>
  <c r="S930" i="42" s="1"/>
  <c r="M930" i="42"/>
  <c r="L930" i="42"/>
  <c r="K930" i="42"/>
  <c r="F930" i="42"/>
  <c r="S929" i="42"/>
  <c r="N929" i="42"/>
  <c r="M929" i="42"/>
  <c r="L929" i="42"/>
  <c r="K929" i="42"/>
  <c r="F929" i="42"/>
  <c r="N928" i="42"/>
  <c r="M928" i="42"/>
  <c r="L928" i="42"/>
  <c r="K928" i="42"/>
  <c r="F928" i="42"/>
  <c r="N927" i="42"/>
  <c r="M927" i="42"/>
  <c r="L927" i="42"/>
  <c r="O927" i="42" s="1"/>
  <c r="P927" i="42" s="1"/>
  <c r="K927" i="42"/>
  <c r="F927" i="42"/>
  <c r="O926" i="42"/>
  <c r="P926" i="42" s="1"/>
  <c r="N926" i="42"/>
  <c r="M926" i="42"/>
  <c r="L926" i="42"/>
  <c r="K926" i="42"/>
  <c r="S926" i="42" s="1"/>
  <c r="F926" i="42"/>
  <c r="N925" i="42"/>
  <c r="M925" i="42"/>
  <c r="L925" i="42"/>
  <c r="K925" i="42"/>
  <c r="F925" i="42"/>
  <c r="N924" i="42"/>
  <c r="M924" i="42"/>
  <c r="L924" i="42"/>
  <c r="K924" i="42"/>
  <c r="F924" i="42"/>
  <c r="N923" i="42"/>
  <c r="M923" i="42"/>
  <c r="L923" i="42"/>
  <c r="K923" i="42"/>
  <c r="F923" i="42"/>
  <c r="N922" i="42"/>
  <c r="M922" i="42"/>
  <c r="L922" i="42"/>
  <c r="S922" i="42" s="1"/>
  <c r="K922" i="42"/>
  <c r="F922" i="42"/>
  <c r="O921" i="42"/>
  <c r="P921" i="42" s="1"/>
  <c r="N921" i="42"/>
  <c r="M921" i="42"/>
  <c r="S921" i="42" s="1"/>
  <c r="L921" i="42"/>
  <c r="K921" i="42"/>
  <c r="F921" i="42"/>
  <c r="N920" i="42"/>
  <c r="M920" i="42"/>
  <c r="L920" i="42"/>
  <c r="K920" i="42"/>
  <c r="F920" i="42"/>
  <c r="S919" i="42"/>
  <c r="N919" i="42"/>
  <c r="M919" i="42"/>
  <c r="L919" i="42"/>
  <c r="K919" i="42"/>
  <c r="F919" i="42"/>
  <c r="N918" i="42"/>
  <c r="M918" i="42"/>
  <c r="L918" i="42"/>
  <c r="K918" i="42"/>
  <c r="S918" i="42" s="1"/>
  <c r="F918" i="42"/>
  <c r="N917" i="42"/>
  <c r="M917" i="42"/>
  <c r="L917" i="42"/>
  <c r="K917" i="42"/>
  <c r="F917" i="42"/>
  <c r="N916" i="42"/>
  <c r="M916" i="42"/>
  <c r="L916" i="42"/>
  <c r="S916" i="42" s="1"/>
  <c r="K916" i="42"/>
  <c r="F916" i="42"/>
  <c r="N915" i="42"/>
  <c r="M915" i="42"/>
  <c r="L915" i="42"/>
  <c r="K915" i="42"/>
  <c r="F915" i="42"/>
  <c r="S914" i="42"/>
  <c r="N914" i="42"/>
  <c r="M914" i="42"/>
  <c r="L914" i="42"/>
  <c r="K914" i="42"/>
  <c r="O914" i="42" s="1"/>
  <c r="P914" i="42" s="1"/>
  <c r="F914" i="42"/>
  <c r="N913" i="42"/>
  <c r="M913" i="42"/>
  <c r="L913" i="42"/>
  <c r="K913" i="42"/>
  <c r="F913" i="42"/>
  <c r="S912" i="42"/>
  <c r="N912" i="42"/>
  <c r="M912" i="42"/>
  <c r="L912" i="42"/>
  <c r="K912" i="42"/>
  <c r="O912" i="42" s="1"/>
  <c r="P912" i="42" s="1"/>
  <c r="F912" i="42"/>
  <c r="N911" i="42"/>
  <c r="M911" i="42"/>
  <c r="L911" i="42"/>
  <c r="K911" i="42"/>
  <c r="F911" i="42"/>
  <c r="N910" i="42"/>
  <c r="M910" i="42"/>
  <c r="L910" i="42"/>
  <c r="S910" i="42" s="1"/>
  <c r="K910" i="42"/>
  <c r="F910" i="42"/>
  <c r="N909" i="42"/>
  <c r="M909" i="42"/>
  <c r="L909" i="42"/>
  <c r="K909" i="42"/>
  <c r="F909" i="42"/>
  <c r="N908" i="42"/>
  <c r="M908" i="42"/>
  <c r="L908" i="42"/>
  <c r="S908" i="42" s="1"/>
  <c r="K908" i="42"/>
  <c r="F908" i="42"/>
  <c r="N907" i="42"/>
  <c r="M907" i="42"/>
  <c r="L907" i="42"/>
  <c r="K907" i="42"/>
  <c r="F907" i="42"/>
  <c r="N906" i="42"/>
  <c r="M906" i="42"/>
  <c r="L906" i="42"/>
  <c r="K906" i="42"/>
  <c r="F906" i="42"/>
  <c r="N905" i="42"/>
  <c r="M905" i="42"/>
  <c r="L905" i="42"/>
  <c r="S905" i="42" s="1"/>
  <c r="K905" i="42"/>
  <c r="O905" i="42" s="1"/>
  <c r="P905" i="42" s="1"/>
  <c r="F905" i="42"/>
  <c r="N904" i="42"/>
  <c r="M904" i="42"/>
  <c r="L904" i="42"/>
  <c r="K904" i="42"/>
  <c r="F904" i="42"/>
  <c r="N903" i="42"/>
  <c r="M903" i="42"/>
  <c r="L903" i="42"/>
  <c r="S903" i="42" s="1"/>
  <c r="K903" i="42"/>
  <c r="F903" i="42"/>
  <c r="N902" i="42"/>
  <c r="M902" i="42"/>
  <c r="L902" i="42"/>
  <c r="K902" i="42"/>
  <c r="S902" i="42" s="1"/>
  <c r="F902" i="42"/>
  <c r="N901" i="42"/>
  <c r="M901" i="42"/>
  <c r="L901" i="42"/>
  <c r="K901" i="42"/>
  <c r="S901" i="42" s="1"/>
  <c r="F901" i="42"/>
  <c r="N900" i="42"/>
  <c r="M900" i="42"/>
  <c r="L900" i="42"/>
  <c r="K900" i="42"/>
  <c r="F900" i="42"/>
  <c r="N899" i="42"/>
  <c r="M899" i="42"/>
  <c r="L899" i="42"/>
  <c r="K899" i="42"/>
  <c r="S899" i="42" s="1"/>
  <c r="F899" i="42"/>
  <c r="O898" i="42"/>
  <c r="P898" i="42" s="1"/>
  <c r="N898" i="42"/>
  <c r="M898" i="42"/>
  <c r="L898" i="42"/>
  <c r="K898" i="42"/>
  <c r="F898" i="42"/>
  <c r="N897" i="42"/>
  <c r="M897" i="42"/>
  <c r="L897" i="42"/>
  <c r="K897" i="42"/>
  <c r="F897" i="42"/>
  <c r="S896" i="42"/>
  <c r="N896" i="42"/>
  <c r="M896" i="42"/>
  <c r="L896" i="42"/>
  <c r="K896" i="42"/>
  <c r="O896" i="42" s="1"/>
  <c r="P896" i="42" s="1"/>
  <c r="F896" i="42"/>
  <c r="N895" i="42"/>
  <c r="M895" i="42"/>
  <c r="L895" i="42"/>
  <c r="O895" i="42" s="1"/>
  <c r="P895" i="42" s="1"/>
  <c r="K895" i="42"/>
  <c r="F895" i="42"/>
  <c r="O894" i="42"/>
  <c r="P894" i="42" s="1"/>
  <c r="N894" i="42"/>
  <c r="S894" i="42" s="1"/>
  <c r="M894" i="42"/>
  <c r="L894" i="42"/>
  <c r="K894" i="42"/>
  <c r="F894" i="42"/>
  <c r="S893" i="42"/>
  <c r="N893" i="42"/>
  <c r="M893" i="42"/>
  <c r="L893" i="42"/>
  <c r="K893" i="42"/>
  <c r="O893" i="42" s="1"/>
  <c r="P893" i="42" s="1"/>
  <c r="F893" i="42"/>
  <c r="N892" i="42"/>
  <c r="M892" i="42"/>
  <c r="L892" i="42"/>
  <c r="O892" i="42" s="1"/>
  <c r="P892" i="42" s="1"/>
  <c r="K892" i="42"/>
  <c r="F892" i="42"/>
  <c r="N891" i="42"/>
  <c r="O891" i="42" s="1"/>
  <c r="P891" i="42" s="1"/>
  <c r="M891" i="42"/>
  <c r="L891" i="42"/>
  <c r="K891" i="42"/>
  <c r="F891" i="42"/>
  <c r="S890" i="42"/>
  <c r="P890" i="42"/>
  <c r="O890" i="42"/>
  <c r="N890" i="42"/>
  <c r="M890" i="42"/>
  <c r="L890" i="42"/>
  <c r="K890" i="42"/>
  <c r="F890" i="42"/>
  <c r="N889" i="42"/>
  <c r="M889" i="42"/>
  <c r="L889" i="42"/>
  <c r="K889" i="42"/>
  <c r="F889" i="42"/>
  <c r="N888" i="42"/>
  <c r="M888" i="42"/>
  <c r="L888" i="42"/>
  <c r="O888" i="42" s="1"/>
  <c r="P888" i="42" s="1"/>
  <c r="K888" i="42"/>
  <c r="F888" i="42"/>
  <c r="O887" i="42"/>
  <c r="P887" i="42" s="1"/>
  <c r="N887" i="42"/>
  <c r="S887" i="42" s="1"/>
  <c r="M887" i="42"/>
  <c r="L887" i="42"/>
  <c r="K887" i="42"/>
  <c r="F887" i="42"/>
  <c r="N886" i="42"/>
  <c r="M886" i="42"/>
  <c r="L886" i="42"/>
  <c r="K886" i="42"/>
  <c r="F886" i="42"/>
  <c r="N885" i="42"/>
  <c r="M885" i="42"/>
  <c r="L885" i="42"/>
  <c r="K885" i="42"/>
  <c r="F885" i="42"/>
  <c r="O884" i="42"/>
  <c r="P884" i="42" s="1"/>
  <c r="N884" i="42"/>
  <c r="M884" i="42"/>
  <c r="S884" i="42" s="1"/>
  <c r="L884" i="42"/>
  <c r="K884" i="42"/>
  <c r="F884" i="42"/>
  <c r="N883" i="42"/>
  <c r="M883" i="42"/>
  <c r="L883" i="42"/>
  <c r="K883" i="42"/>
  <c r="F883" i="42"/>
  <c r="N882" i="42"/>
  <c r="M882" i="42"/>
  <c r="L882" i="42"/>
  <c r="K882" i="42"/>
  <c r="F882" i="42"/>
  <c r="N881" i="42"/>
  <c r="M881" i="42"/>
  <c r="L881" i="42"/>
  <c r="K881" i="42"/>
  <c r="F881" i="42"/>
  <c r="N880" i="42"/>
  <c r="M880" i="42"/>
  <c r="L880" i="42"/>
  <c r="K880" i="42"/>
  <c r="F880" i="42"/>
  <c r="S879" i="42"/>
  <c r="N879" i="42"/>
  <c r="M879" i="42"/>
  <c r="L879" i="42"/>
  <c r="K879" i="42"/>
  <c r="O879" i="42" s="1"/>
  <c r="P879" i="42" s="1"/>
  <c r="F879" i="42"/>
  <c r="S878" i="42"/>
  <c r="N878" i="42"/>
  <c r="M878" i="42"/>
  <c r="L878" i="42"/>
  <c r="K878" i="42"/>
  <c r="F878" i="42"/>
  <c r="N877" i="42"/>
  <c r="M877" i="42"/>
  <c r="L877" i="42"/>
  <c r="K877" i="42"/>
  <c r="S877" i="42" s="1"/>
  <c r="F877" i="42"/>
  <c r="N876" i="42"/>
  <c r="M876" i="42"/>
  <c r="L876" i="42"/>
  <c r="K876" i="42"/>
  <c r="S876" i="42" s="1"/>
  <c r="F876" i="42"/>
  <c r="N875" i="42"/>
  <c r="M875" i="42"/>
  <c r="L875" i="42"/>
  <c r="K875" i="42"/>
  <c r="F875" i="42"/>
  <c r="N874" i="42"/>
  <c r="M874" i="42"/>
  <c r="L874" i="42"/>
  <c r="K874" i="42"/>
  <c r="F874" i="42"/>
  <c r="O873" i="42"/>
  <c r="P873" i="42" s="1"/>
  <c r="N873" i="42"/>
  <c r="S873" i="42" s="1"/>
  <c r="M873" i="42"/>
  <c r="L873" i="42"/>
  <c r="K873" i="42"/>
  <c r="F873" i="42"/>
  <c r="N872" i="42"/>
  <c r="M872" i="42"/>
  <c r="L872" i="42"/>
  <c r="K872" i="42"/>
  <c r="S872" i="42" s="1"/>
  <c r="F872" i="42"/>
  <c r="N871" i="42"/>
  <c r="M871" i="42"/>
  <c r="L871" i="42"/>
  <c r="K871" i="42"/>
  <c r="F871" i="42"/>
  <c r="N870" i="42"/>
  <c r="M870" i="42"/>
  <c r="L870" i="42"/>
  <c r="K870" i="42"/>
  <c r="F870" i="42"/>
  <c r="N869" i="42"/>
  <c r="S869" i="42" s="1"/>
  <c r="M869" i="42"/>
  <c r="L869" i="42"/>
  <c r="K869" i="42"/>
  <c r="F869" i="42"/>
  <c r="P868" i="42"/>
  <c r="O868" i="42"/>
  <c r="N868" i="42"/>
  <c r="M868" i="42"/>
  <c r="L868" i="42"/>
  <c r="K868" i="42"/>
  <c r="F868" i="42"/>
  <c r="N867" i="42"/>
  <c r="M867" i="42"/>
  <c r="L867" i="42"/>
  <c r="K867" i="42"/>
  <c r="F867" i="42"/>
  <c r="N866" i="42"/>
  <c r="M866" i="42"/>
  <c r="L866" i="42"/>
  <c r="K866" i="42"/>
  <c r="F866" i="42"/>
  <c r="P865" i="42"/>
  <c r="O865" i="42"/>
  <c r="N865" i="42"/>
  <c r="M865" i="42"/>
  <c r="L865" i="42"/>
  <c r="K865" i="42"/>
  <c r="F865" i="42"/>
  <c r="N864" i="42"/>
  <c r="M864" i="42"/>
  <c r="L864" i="42"/>
  <c r="K864" i="42"/>
  <c r="F864" i="42"/>
  <c r="N863" i="42"/>
  <c r="M863" i="42"/>
  <c r="L863" i="42"/>
  <c r="K863" i="42"/>
  <c r="S863" i="42" s="1"/>
  <c r="F863" i="42"/>
  <c r="O862" i="42"/>
  <c r="P862" i="42" s="1"/>
  <c r="N862" i="42"/>
  <c r="M862" i="42"/>
  <c r="L862" i="42"/>
  <c r="K862" i="42"/>
  <c r="F862" i="42"/>
  <c r="N861" i="42"/>
  <c r="M861" i="42"/>
  <c r="L861" i="42"/>
  <c r="K861" i="42"/>
  <c r="F861" i="42"/>
  <c r="N860" i="42"/>
  <c r="M860" i="42"/>
  <c r="L860" i="42"/>
  <c r="K860" i="42"/>
  <c r="F860" i="42"/>
  <c r="N859" i="42"/>
  <c r="M859" i="42"/>
  <c r="L859" i="42"/>
  <c r="K859" i="42"/>
  <c r="F859" i="42"/>
  <c r="N858" i="42"/>
  <c r="M858" i="42"/>
  <c r="L858" i="42"/>
  <c r="K858" i="42"/>
  <c r="S858" i="42" s="1"/>
  <c r="F858" i="42"/>
  <c r="N857" i="42"/>
  <c r="M857" i="42"/>
  <c r="L857" i="42"/>
  <c r="K857" i="42"/>
  <c r="F857" i="42"/>
  <c r="N856" i="42"/>
  <c r="M856" i="42"/>
  <c r="L856" i="42"/>
  <c r="K856" i="42"/>
  <c r="F856" i="42"/>
  <c r="N855" i="42"/>
  <c r="M855" i="42"/>
  <c r="L855" i="42"/>
  <c r="K855" i="42"/>
  <c r="S855" i="42" s="1"/>
  <c r="F855" i="42"/>
  <c r="S854" i="42"/>
  <c r="N854" i="42"/>
  <c r="M854" i="42"/>
  <c r="L854" i="42"/>
  <c r="K854" i="42"/>
  <c r="O854" i="42" s="1"/>
  <c r="P854" i="42" s="1"/>
  <c r="F854" i="42"/>
  <c r="N853" i="42"/>
  <c r="M853" i="42"/>
  <c r="L853" i="42"/>
  <c r="K853" i="42"/>
  <c r="F853" i="42"/>
  <c r="N852" i="42"/>
  <c r="M852" i="42"/>
  <c r="L852" i="42"/>
  <c r="K852" i="42"/>
  <c r="S852" i="42" s="1"/>
  <c r="F852" i="42"/>
  <c r="N851" i="42"/>
  <c r="M851" i="42"/>
  <c r="L851" i="42"/>
  <c r="K851" i="42"/>
  <c r="S851" i="42" s="1"/>
  <c r="F851" i="42"/>
  <c r="N850" i="42"/>
  <c r="M850" i="42"/>
  <c r="L850" i="42"/>
  <c r="K850" i="42"/>
  <c r="S850" i="42" s="1"/>
  <c r="F850" i="42"/>
  <c r="S849" i="42"/>
  <c r="N849" i="42"/>
  <c r="M849" i="42"/>
  <c r="L849" i="42"/>
  <c r="K849" i="42"/>
  <c r="O849" i="42" s="1"/>
  <c r="P849" i="42" s="1"/>
  <c r="F849" i="42"/>
  <c r="O848" i="42"/>
  <c r="P848" i="42" s="1"/>
  <c r="N848" i="42"/>
  <c r="S848" i="42" s="1"/>
  <c r="M848" i="42"/>
  <c r="L848" i="42"/>
  <c r="K848" i="42"/>
  <c r="F848" i="42"/>
  <c r="O847" i="42"/>
  <c r="P847" i="42" s="1"/>
  <c r="N847" i="42"/>
  <c r="M847" i="42"/>
  <c r="L847" i="42"/>
  <c r="K847" i="42"/>
  <c r="F847" i="42"/>
  <c r="S846" i="42"/>
  <c r="N846" i="42"/>
  <c r="M846" i="42"/>
  <c r="L846" i="42"/>
  <c r="K846" i="42"/>
  <c r="O846" i="42" s="1"/>
  <c r="P846" i="42" s="1"/>
  <c r="F846" i="42"/>
  <c r="N845" i="42"/>
  <c r="M845" i="42"/>
  <c r="S845" i="42" s="1"/>
  <c r="L845" i="42"/>
  <c r="K845" i="42"/>
  <c r="O845" i="42" s="1"/>
  <c r="P845" i="42" s="1"/>
  <c r="F845" i="42"/>
  <c r="N844" i="42"/>
  <c r="O844" i="42" s="1"/>
  <c r="P844" i="42" s="1"/>
  <c r="M844" i="42"/>
  <c r="L844" i="42"/>
  <c r="K844" i="42"/>
  <c r="F844" i="42"/>
  <c r="S843" i="42"/>
  <c r="P843" i="42"/>
  <c r="O843" i="42"/>
  <c r="N843" i="42"/>
  <c r="M843" i="42"/>
  <c r="L843" i="42"/>
  <c r="K843" i="42"/>
  <c r="F843" i="42"/>
  <c r="N842" i="42"/>
  <c r="M842" i="42"/>
  <c r="L842" i="42"/>
  <c r="O842" i="42" s="1"/>
  <c r="P842" i="42" s="1"/>
  <c r="K842" i="42"/>
  <c r="S842" i="42" s="1"/>
  <c r="F842" i="42"/>
  <c r="N841" i="42"/>
  <c r="M841" i="42"/>
  <c r="L841" i="42"/>
  <c r="O841" i="42" s="1"/>
  <c r="P841" i="42" s="1"/>
  <c r="K841" i="42"/>
  <c r="F841" i="42"/>
  <c r="P840" i="42"/>
  <c r="O840" i="42"/>
  <c r="N840" i="42"/>
  <c r="S840" i="42" s="1"/>
  <c r="M840" i="42"/>
  <c r="L840" i="42"/>
  <c r="K840" i="42"/>
  <c r="F840" i="42"/>
  <c r="N839" i="42"/>
  <c r="M839" i="42"/>
  <c r="L839" i="42"/>
  <c r="K839" i="42"/>
  <c r="S839" i="42" s="1"/>
  <c r="F839" i="42"/>
  <c r="N838" i="42"/>
  <c r="M838" i="42"/>
  <c r="L838" i="42"/>
  <c r="K838" i="42"/>
  <c r="F838" i="42"/>
  <c r="O837" i="42"/>
  <c r="P837" i="42" s="1"/>
  <c r="N837" i="42"/>
  <c r="M837" i="42"/>
  <c r="S837" i="42" s="1"/>
  <c r="L837" i="42"/>
  <c r="K837" i="42"/>
  <c r="F837" i="42"/>
  <c r="N836" i="42"/>
  <c r="M836" i="42"/>
  <c r="L836" i="42"/>
  <c r="K836" i="42"/>
  <c r="F836" i="42"/>
  <c r="N835" i="42"/>
  <c r="M835" i="42"/>
  <c r="L835" i="42"/>
  <c r="K835" i="42"/>
  <c r="F835" i="42"/>
  <c r="N834" i="42"/>
  <c r="M834" i="42"/>
  <c r="L834" i="42"/>
  <c r="K834" i="42"/>
  <c r="F834" i="42"/>
  <c r="N833" i="42"/>
  <c r="M833" i="42"/>
  <c r="L833" i="42"/>
  <c r="K833" i="42"/>
  <c r="S833" i="42" s="1"/>
  <c r="F833" i="42"/>
  <c r="N832" i="42"/>
  <c r="M832" i="42"/>
  <c r="L832" i="42"/>
  <c r="K832" i="42"/>
  <c r="F832" i="42"/>
  <c r="S831" i="42"/>
  <c r="N831" i="42"/>
  <c r="M831" i="42"/>
  <c r="L831" i="42"/>
  <c r="K831" i="42"/>
  <c r="F831" i="42"/>
  <c r="N830" i="42"/>
  <c r="M830" i="42"/>
  <c r="L830" i="42"/>
  <c r="K830" i="42"/>
  <c r="S830" i="42" s="1"/>
  <c r="F830" i="42"/>
  <c r="N829" i="42"/>
  <c r="M829" i="42"/>
  <c r="L829" i="42"/>
  <c r="K829" i="42"/>
  <c r="S829" i="42" s="1"/>
  <c r="F829" i="42"/>
  <c r="N828" i="42"/>
  <c r="M828" i="42"/>
  <c r="L828" i="42"/>
  <c r="S828" i="42" s="1"/>
  <c r="K828" i="42"/>
  <c r="F828" i="42"/>
  <c r="N827" i="42"/>
  <c r="M827" i="42"/>
  <c r="L827" i="42"/>
  <c r="K827" i="42"/>
  <c r="S827" i="42" s="1"/>
  <c r="F827" i="42"/>
  <c r="O826" i="42"/>
  <c r="P826" i="42" s="1"/>
  <c r="N826" i="42"/>
  <c r="M826" i="42"/>
  <c r="L826" i="42"/>
  <c r="K826" i="42"/>
  <c r="F826" i="42"/>
  <c r="O825" i="42"/>
  <c r="P825" i="42" s="1"/>
  <c r="N825" i="42"/>
  <c r="M825" i="42"/>
  <c r="L825" i="42"/>
  <c r="K825" i="42"/>
  <c r="S825" i="42" s="1"/>
  <c r="F825" i="42"/>
  <c r="S824" i="42"/>
  <c r="N824" i="42"/>
  <c r="M824" i="42"/>
  <c r="L824" i="42"/>
  <c r="K824" i="42"/>
  <c r="O824" i="42" s="1"/>
  <c r="P824" i="42" s="1"/>
  <c r="F824" i="42"/>
  <c r="N823" i="42"/>
  <c r="M823" i="42"/>
  <c r="L823" i="42"/>
  <c r="K823" i="42"/>
  <c r="F823" i="42"/>
  <c r="N822" i="42"/>
  <c r="S822" i="42" s="1"/>
  <c r="M822" i="42"/>
  <c r="L822" i="42"/>
  <c r="K822" i="42"/>
  <c r="F822" i="42"/>
  <c r="S821" i="42"/>
  <c r="N821" i="42"/>
  <c r="M821" i="42"/>
  <c r="L821" i="42"/>
  <c r="K821" i="42"/>
  <c r="O821" i="42" s="1"/>
  <c r="P821" i="42" s="1"/>
  <c r="F821" i="42"/>
  <c r="N820" i="42"/>
  <c r="M820" i="42"/>
  <c r="L820" i="42"/>
  <c r="O820" i="42" s="1"/>
  <c r="P820" i="42" s="1"/>
  <c r="K820" i="42"/>
  <c r="F820" i="42"/>
  <c r="N819" i="42"/>
  <c r="M819" i="42"/>
  <c r="O819" i="42" s="1"/>
  <c r="P819" i="42" s="1"/>
  <c r="L819" i="42"/>
  <c r="K819" i="42"/>
  <c r="S819" i="42" s="1"/>
  <c r="F819" i="42"/>
  <c r="S818" i="42"/>
  <c r="P818" i="42"/>
  <c r="O818" i="42"/>
  <c r="N818" i="42"/>
  <c r="M818" i="42"/>
  <c r="L818" i="42"/>
  <c r="K818" i="42"/>
  <c r="F818" i="42"/>
  <c r="N817" i="42"/>
  <c r="M817" i="42"/>
  <c r="L817" i="42"/>
  <c r="K817" i="42"/>
  <c r="F817" i="42"/>
  <c r="N816" i="42"/>
  <c r="M816" i="42"/>
  <c r="L816" i="42"/>
  <c r="K816" i="42"/>
  <c r="S816" i="42" s="1"/>
  <c r="F816" i="42"/>
  <c r="P815" i="42"/>
  <c r="O815" i="42"/>
  <c r="N815" i="42"/>
  <c r="S815" i="42" s="1"/>
  <c r="M815" i="42"/>
  <c r="L815" i="42"/>
  <c r="K815" i="42"/>
  <c r="F815" i="42"/>
  <c r="N814" i="42"/>
  <c r="M814" i="42"/>
  <c r="L814" i="42"/>
  <c r="K814" i="42"/>
  <c r="F814" i="42"/>
  <c r="N813" i="42"/>
  <c r="M813" i="42"/>
  <c r="L813" i="42"/>
  <c r="K813" i="42"/>
  <c r="F813" i="42"/>
  <c r="O812" i="42"/>
  <c r="P812" i="42" s="1"/>
  <c r="N812" i="42"/>
  <c r="M812" i="42"/>
  <c r="S812" i="42" s="1"/>
  <c r="L812" i="42"/>
  <c r="K812" i="42"/>
  <c r="F812" i="42"/>
  <c r="N811" i="42"/>
  <c r="M811" i="42"/>
  <c r="L811" i="42"/>
  <c r="K811" i="42"/>
  <c r="F811" i="42"/>
  <c r="N810" i="42"/>
  <c r="M810" i="42"/>
  <c r="L810" i="42"/>
  <c r="K810" i="42"/>
  <c r="F810" i="42"/>
  <c r="N809" i="42"/>
  <c r="M809" i="42"/>
  <c r="L809" i="42"/>
  <c r="K809" i="42"/>
  <c r="F809" i="42"/>
  <c r="N808" i="42"/>
  <c r="M808" i="42"/>
  <c r="L808" i="42"/>
  <c r="K808" i="42"/>
  <c r="F808" i="42"/>
  <c r="S807" i="42"/>
  <c r="N807" i="42"/>
  <c r="M807" i="42"/>
  <c r="L807" i="42"/>
  <c r="K807" i="42"/>
  <c r="O807" i="42" s="1"/>
  <c r="P807" i="42" s="1"/>
  <c r="F807" i="42"/>
  <c r="N806" i="42"/>
  <c r="M806" i="42"/>
  <c r="L806" i="42"/>
  <c r="S806" i="42" s="1"/>
  <c r="K806" i="42"/>
  <c r="F806" i="42"/>
  <c r="N805" i="42"/>
  <c r="M805" i="42"/>
  <c r="L805" i="42"/>
  <c r="K805" i="42"/>
  <c r="S805" i="42" s="1"/>
  <c r="F805" i="42"/>
  <c r="N804" i="42"/>
  <c r="M804" i="42"/>
  <c r="L804" i="42"/>
  <c r="K804" i="42"/>
  <c r="S804" i="42" s="1"/>
  <c r="F804" i="42"/>
  <c r="N803" i="42"/>
  <c r="M803" i="42"/>
  <c r="L803" i="42"/>
  <c r="K803" i="42"/>
  <c r="F803" i="42"/>
  <c r="N802" i="42"/>
  <c r="M802" i="42"/>
  <c r="L802" i="42"/>
  <c r="K802" i="42"/>
  <c r="F802" i="42"/>
  <c r="O801" i="42"/>
  <c r="P801" i="42" s="1"/>
  <c r="N801" i="42"/>
  <c r="S801" i="42" s="1"/>
  <c r="M801" i="42"/>
  <c r="L801" i="42"/>
  <c r="K801" i="42"/>
  <c r="F801" i="42"/>
  <c r="O800" i="42"/>
  <c r="P800" i="42" s="1"/>
  <c r="N800" i="42"/>
  <c r="M800" i="42"/>
  <c r="L800" i="42"/>
  <c r="K800" i="42"/>
  <c r="S800" i="42" s="1"/>
  <c r="F800" i="42"/>
  <c r="N799" i="42"/>
  <c r="M799" i="42"/>
  <c r="O799" i="42" s="1"/>
  <c r="P799" i="42" s="1"/>
  <c r="L799" i="42"/>
  <c r="K799" i="42"/>
  <c r="F799" i="42"/>
  <c r="N798" i="42"/>
  <c r="M798" i="42"/>
  <c r="L798" i="42"/>
  <c r="K798" i="42"/>
  <c r="F798" i="42"/>
  <c r="N797" i="42"/>
  <c r="S797" i="42" s="1"/>
  <c r="M797" i="42"/>
  <c r="L797" i="42"/>
  <c r="K797" i="42"/>
  <c r="F797" i="42"/>
  <c r="P796" i="42"/>
  <c r="O796" i="42"/>
  <c r="N796" i="42"/>
  <c r="M796" i="42"/>
  <c r="L796" i="42"/>
  <c r="K796" i="42"/>
  <c r="F796" i="42"/>
  <c r="N795" i="42"/>
  <c r="M795" i="42"/>
  <c r="L795" i="42"/>
  <c r="O795" i="42" s="1"/>
  <c r="P795" i="42" s="1"/>
  <c r="K795" i="42"/>
  <c r="F795" i="42"/>
  <c r="N794" i="42"/>
  <c r="M794" i="42"/>
  <c r="O794" i="42" s="1"/>
  <c r="P794" i="42" s="1"/>
  <c r="L794" i="42"/>
  <c r="K794" i="42"/>
  <c r="F794" i="42"/>
  <c r="P793" i="42"/>
  <c r="O793" i="42"/>
  <c r="N793" i="42"/>
  <c r="M793" i="42"/>
  <c r="L793" i="42"/>
  <c r="K793" i="42"/>
  <c r="F793" i="42"/>
  <c r="N792" i="42"/>
  <c r="M792" i="42"/>
  <c r="L792" i="42"/>
  <c r="K792" i="42"/>
  <c r="F792" i="42"/>
  <c r="N791" i="42"/>
  <c r="M791" i="42"/>
  <c r="L791" i="42"/>
  <c r="K791" i="42"/>
  <c r="S791" i="42" s="1"/>
  <c r="F791" i="42"/>
  <c r="N790" i="42"/>
  <c r="O790" i="42" s="1"/>
  <c r="P790" i="42" s="1"/>
  <c r="M790" i="42"/>
  <c r="L790" i="42"/>
  <c r="K790" i="42"/>
  <c r="F790" i="42"/>
  <c r="N789" i="42"/>
  <c r="M789" i="42"/>
  <c r="L789" i="42"/>
  <c r="K789" i="42"/>
  <c r="F789" i="42"/>
  <c r="N788" i="42"/>
  <c r="M788" i="42"/>
  <c r="L788" i="42"/>
  <c r="K788" i="42"/>
  <c r="F788" i="42"/>
  <c r="N787" i="42"/>
  <c r="M787" i="42"/>
  <c r="L787" i="42"/>
  <c r="K787" i="42"/>
  <c r="F787" i="42"/>
  <c r="N786" i="42"/>
  <c r="M786" i="42"/>
  <c r="L786" i="42"/>
  <c r="K786" i="42"/>
  <c r="S786" i="42" s="1"/>
  <c r="F786" i="42"/>
  <c r="N785" i="42"/>
  <c r="M785" i="42"/>
  <c r="L785" i="42"/>
  <c r="K785" i="42"/>
  <c r="F785" i="42"/>
  <c r="N784" i="42"/>
  <c r="M784" i="42"/>
  <c r="L784" i="42"/>
  <c r="K784" i="42"/>
  <c r="F784" i="42"/>
  <c r="N783" i="42"/>
  <c r="M783" i="42"/>
  <c r="L783" i="42"/>
  <c r="K783" i="42"/>
  <c r="S783" i="42" s="1"/>
  <c r="F783" i="42"/>
  <c r="S782" i="42"/>
  <c r="N782" i="42"/>
  <c r="M782" i="42"/>
  <c r="L782" i="42"/>
  <c r="K782" i="42"/>
  <c r="F782" i="42"/>
  <c r="N781" i="42"/>
  <c r="M781" i="42"/>
  <c r="L781" i="42"/>
  <c r="K781" i="42"/>
  <c r="F781" i="42"/>
  <c r="N780" i="42"/>
  <c r="M780" i="42"/>
  <c r="L780" i="42"/>
  <c r="K780" i="42"/>
  <c r="S780" i="42" s="1"/>
  <c r="F780" i="42"/>
  <c r="N779" i="42"/>
  <c r="M779" i="42"/>
  <c r="L779" i="42"/>
  <c r="K779" i="42"/>
  <c r="F779" i="42"/>
  <c r="P778" i="42"/>
  <c r="O778" i="42"/>
  <c r="N778" i="42"/>
  <c r="M778" i="42"/>
  <c r="L778" i="42"/>
  <c r="K778" i="42"/>
  <c r="S778" i="42" s="1"/>
  <c r="F778" i="42"/>
  <c r="S777" i="42"/>
  <c r="N777" i="42"/>
  <c r="M777" i="42"/>
  <c r="L777" i="42"/>
  <c r="K777" i="42"/>
  <c r="O777" i="42" s="1"/>
  <c r="P777" i="42" s="1"/>
  <c r="F777" i="42"/>
  <c r="O776" i="42"/>
  <c r="P776" i="42" s="1"/>
  <c r="N776" i="42"/>
  <c r="S776" i="42" s="1"/>
  <c r="M776" i="42"/>
  <c r="L776" i="42"/>
  <c r="K776" i="42"/>
  <c r="F776" i="42"/>
  <c r="N775" i="42"/>
  <c r="O775" i="42" s="1"/>
  <c r="P775" i="42" s="1"/>
  <c r="M775" i="42"/>
  <c r="L775" i="42"/>
  <c r="K775" i="42"/>
  <c r="F775" i="42"/>
  <c r="S774" i="42"/>
  <c r="P774" i="42"/>
  <c r="N774" i="42"/>
  <c r="M774" i="42"/>
  <c r="O774" i="42" s="1"/>
  <c r="L774" i="42"/>
  <c r="K774" i="42"/>
  <c r="F774" i="42"/>
  <c r="N773" i="42"/>
  <c r="M773" i="42"/>
  <c r="S773" i="42" s="1"/>
  <c r="L773" i="42"/>
  <c r="K773" i="42"/>
  <c r="F773" i="42"/>
  <c r="N772" i="42"/>
  <c r="M772" i="42"/>
  <c r="O772" i="42" s="1"/>
  <c r="P772" i="42" s="1"/>
  <c r="L772" i="42"/>
  <c r="K772" i="42"/>
  <c r="F772" i="42"/>
  <c r="S771" i="42"/>
  <c r="P771" i="42"/>
  <c r="O771" i="42"/>
  <c r="N771" i="42"/>
  <c r="M771" i="42"/>
  <c r="L771" i="42"/>
  <c r="K771" i="42"/>
  <c r="F771" i="42"/>
  <c r="N770" i="42"/>
  <c r="M770" i="42"/>
  <c r="L770" i="42"/>
  <c r="K770" i="42"/>
  <c r="S770" i="42" s="1"/>
  <c r="F770" i="42"/>
  <c r="N769" i="42"/>
  <c r="M769" i="42"/>
  <c r="L769" i="42"/>
  <c r="O769" i="42" s="1"/>
  <c r="P769" i="42" s="1"/>
  <c r="K769" i="42"/>
  <c r="F769" i="42"/>
  <c r="O768" i="42"/>
  <c r="P768" i="42" s="1"/>
  <c r="N768" i="42"/>
  <c r="S768" i="42" s="1"/>
  <c r="M768" i="42"/>
  <c r="L768" i="42"/>
  <c r="K768" i="42"/>
  <c r="F768" i="42"/>
  <c r="N767" i="42"/>
  <c r="M767" i="42"/>
  <c r="L767" i="42"/>
  <c r="K767" i="42"/>
  <c r="S767" i="42" s="1"/>
  <c r="F767" i="42"/>
  <c r="N766" i="42"/>
  <c r="M766" i="42"/>
  <c r="L766" i="42"/>
  <c r="K766" i="42"/>
  <c r="F766" i="42"/>
  <c r="N765" i="42"/>
  <c r="M765" i="42"/>
  <c r="L765" i="42"/>
  <c r="K765" i="42"/>
  <c r="F765" i="42"/>
  <c r="N764" i="42"/>
  <c r="M764" i="42"/>
  <c r="L764" i="42"/>
  <c r="K764" i="42"/>
  <c r="F764" i="42"/>
  <c r="N763" i="42"/>
  <c r="M763" i="42"/>
  <c r="L763" i="42"/>
  <c r="K763" i="42"/>
  <c r="F763" i="42"/>
  <c r="N762" i="42"/>
  <c r="M762" i="42"/>
  <c r="L762" i="42"/>
  <c r="K762" i="42"/>
  <c r="F762" i="42"/>
  <c r="N761" i="42"/>
  <c r="M761" i="42"/>
  <c r="L761" i="42"/>
  <c r="K761" i="42"/>
  <c r="S761" i="42" s="1"/>
  <c r="F761" i="42"/>
  <c r="N760" i="42"/>
  <c r="M760" i="42"/>
  <c r="L760" i="42"/>
  <c r="K760" i="42"/>
  <c r="F760" i="42"/>
  <c r="S759" i="42"/>
  <c r="N759" i="42"/>
  <c r="M759" i="42"/>
  <c r="L759" i="42"/>
  <c r="K759" i="42"/>
  <c r="F759" i="42"/>
  <c r="N758" i="42"/>
  <c r="M758" i="42"/>
  <c r="L758" i="42"/>
  <c r="K758" i="42"/>
  <c r="S758" i="42" s="1"/>
  <c r="F758" i="42"/>
  <c r="N757" i="42"/>
  <c r="M757" i="42"/>
  <c r="L757" i="42"/>
  <c r="K757" i="42"/>
  <c r="F757" i="42"/>
  <c r="N756" i="42"/>
  <c r="M756" i="42"/>
  <c r="L756" i="42"/>
  <c r="S756" i="42" s="1"/>
  <c r="K756" i="42"/>
  <c r="F756" i="42"/>
  <c r="N755" i="42"/>
  <c r="M755" i="42"/>
  <c r="L755" i="42"/>
  <c r="K755" i="42"/>
  <c r="S755" i="42" s="1"/>
  <c r="F755" i="42"/>
  <c r="O754" i="42"/>
  <c r="P754" i="42" s="1"/>
  <c r="N754" i="42"/>
  <c r="M754" i="42"/>
  <c r="L754" i="42"/>
  <c r="K754" i="42"/>
  <c r="F754" i="42"/>
  <c r="N753" i="42"/>
  <c r="M753" i="42"/>
  <c r="L753" i="42"/>
  <c r="K753" i="42"/>
  <c r="S753" i="42" s="1"/>
  <c r="F753" i="42"/>
  <c r="S752" i="42"/>
  <c r="N752" i="42"/>
  <c r="M752" i="42"/>
  <c r="L752" i="42"/>
  <c r="K752" i="42"/>
  <c r="O752" i="42" s="1"/>
  <c r="P752" i="42" s="1"/>
  <c r="F752" i="42"/>
  <c r="N751" i="42"/>
  <c r="M751" i="42"/>
  <c r="L751" i="42"/>
  <c r="K751" i="42"/>
  <c r="F751" i="42"/>
  <c r="O750" i="42"/>
  <c r="P750" i="42" s="1"/>
  <c r="N750" i="42"/>
  <c r="S750" i="42" s="1"/>
  <c r="M750" i="42"/>
  <c r="L750" i="42"/>
  <c r="K750" i="42"/>
  <c r="F750" i="42"/>
  <c r="S749" i="42"/>
  <c r="P749" i="42"/>
  <c r="N749" i="42"/>
  <c r="M749" i="42"/>
  <c r="O749" i="42" s="1"/>
  <c r="L749" i="42"/>
  <c r="K749" i="42"/>
  <c r="F749" i="42"/>
  <c r="N748" i="42"/>
  <c r="M748" i="42"/>
  <c r="L748" i="42"/>
  <c r="O748" i="42" s="1"/>
  <c r="P748" i="42" s="1"/>
  <c r="K748" i="42"/>
  <c r="F748" i="42"/>
  <c r="N747" i="42"/>
  <c r="M747" i="42"/>
  <c r="L747" i="42"/>
  <c r="K747" i="42"/>
  <c r="F747" i="42"/>
  <c r="S746" i="42"/>
  <c r="O746" i="42"/>
  <c r="P746" i="42" s="1"/>
  <c r="N746" i="42"/>
  <c r="M746" i="42"/>
  <c r="L746" i="42"/>
  <c r="K746" i="42"/>
  <c r="F746" i="42"/>
  <c r="N745" i="42"/>
  <c r="M745" i="42"/>
  <c r="L745" i="42"/>
  <c r="K745" i="42"/>
  <c r="F745" i="42"/>
  <c r="N744" i="42"/>
  <c r="M744" i="42"/>
  <c r="O744" i="42" s="1"/>
  <c r="P744" i="42" s="1"/>
  <c r="L744" i="42"/>
  <c r="K744" i="42"/>
  <c r="F744" i="42"/>
  <c r="N743" i="42"/>
  <c r="S743" i="42" s="1"/>
  <c r="M743" i="42"/>
  <c r="L743" i="42"/>
  <c r="K743" i="42"/>
  <c r="F743" i="42"/>
  <c r="N742" i="42"/>
  <c r="M742" i="42"/>
  <c r="L742" i="42"/>
  <c r="K742" i="42"/>
  <c r="F742" i="42"/>
  <c r="N741" i="42"/>
  <c r="M741" i="42"/>
  <c r="L741" i="42"/>
  <c r="K741" i="42"/>
  <c r="F741" i="42"/>
  <c r="N740" i="42"/>
  <c r="O740" i="42" s="1"/>
  <c r="P740" i="42" s="1"/>
  <c r="M740" i="42"/>
  <c r="L740" i="42"/>
  <c r="K740" i="42"/>
  <c r="F740" i="42"/>
  <c r="N739" i="42"/>
  <c r="M739" i="42"/>
  <c r="L739" i="42"/>
  <c r="K739" i="42"/>
  <c r="F739" i="42"/>
  <c r="N738" i="42"/>
  <c r="M738" i="42"/>
  <c r="L738" i="42"/>
  <c r="K738" i="42"/>
  <c r="F738" i="42"/>
  <c r="N737" i="42"/>
  <c r="M737" i="42"/>
  <c r="L737" i="42"/>
  <c r="K737" i="42"/>
  <c r="F737" i="42"/>
  <c r="N736" i="42"/>
  <c r="M736" i="42"/>
  <c r="L736" i="42"/>
  <c r="K736" i="42"/>
  <c r="S736" i="42" s="1"/>
  <c r="F736" i="42"/>
  <c r="N735" i="42"/>
  <c r="M735" i="42"/>
  <c r="L735" i="42"/>
  <c r="S735" i="42" s="1"/>
  <c r="K735" i="42"/>
  <c r="O735" i="42" s="1"/>
  <c r="P735" i="42" s="1"/>
  <c r="F735" i="42"/>
  <c r="N734" i="42"/>
  <c r="M734" i="42"/>
  <c r="L734" i="42"/>
  <c r="K734" i="42"/>
  <c r="O734" i="42" s="1"/>
  <c r="P734" i="42" s="1"/>
  <c r="F734" i="42"/>
  <c r="N733" i="42"/>
  <c r="M733" i="42"/>
  <c r="L733" i="42"/>
  <c r="K733" i="42"/>
  <c r="S733" i="42" s="1"/>
  <c r="F733" i="42"/>
  <c r="N732" i="42"/>
  <c r="M732" i="42"/>
  <c r="L732" i="42"/>
  <c r="K732" i="42"/>
  <c r="F732" i="42"/>
  <c r="S731" i="42"/>
  <c r="N731" i="42"/>
  <c r="M731" i="42"/>
  <c r="L731" i="42"/>
  <c r="K731" i="42"/>
  <c r="O731" i="42" s="1"/>
  <c r="P731" i="42" s="1"/>
  <c r="F731" i="42"/>
  <c r="N730" i="42"/>
  <c r="M730" i="42"/>
  <c r="L730" i="42"/>
  <c r="K730" i="42"/>
  <c r="F730" i="42"/>
  <c r="O729" i="42"/>
  <c r="P729" i="42" s="1"/>
  <c r="N729" i="42"/>
  <c r="S729" i="42" s="1"/>
  <c r="M729" i="42"/>
  <c r="L729" i="42"/>
  <c r="K729" i="42"/>
  <c r="F729" i="42"/>
  <c r="N728" i="42"/>
  <c r="M728" i="42"/>
  <c r="L728" i="42"/>
  <c r="K728" i="42"/>
  <c r="S728" i="42" s="1"/>
  <c r="F728" i="42"/>
  <c r="P727" i="42"/>
  <c r="O727" i="42"/>
  <c r="N727" i="42"/>
  <c r="M727" i="42"/>
  <c r="L727" i="42"/>
  <c r="K727" i="42"/>
  <c r="F727" i="42"/>
  <c r="N726" i="42"/>
  <c r="M726" i="42"/>
  <c r="L726" i="42"/>
  <c r="K726" i="42"/>
  <c r="F726" i="42"/>
  <c r="N725" i="42"/>
  <c r="S725" i="42" s="1"/>
  <c r="M725" i="42"/>
  <c r="L725" i="42"/>
  <c r="K725" i="42"/>
  <c r="F725" i="42"/>
  <c r="O724" i="42"/>
  <c r="P724" i="42" s="1"/>
  <c r="N724" i="42"/>
  <c r="M724" i="42"/>
  <c r="L724" i="42"/>
  <c r="K724" i="42"/>
  <c r="F724" i="42"/>
  <c r="N723" i="42"/>
  <c r="M723" i="42"/>
  <c r="L723" i="42"/>
  <c r="K723" i="42"/>
  <c r="S723" i="42" s="1"/>
  <c r="F723" i="42"/>
  <c r="P722" i="42"/>
  <c r="N722" i="42"/>
  <c r="M722" i="42"/>
  <c r="O722" i="42" s="1"/>
  <c r="L722" i="42"/>
  <c r="K722" i="42"/>
  <c r="S722" i="42" s="1"/>
  <c r="F722" i="42"/>
  <c r="O721" i="42"/>
  <c r="P721" i="42" s="1"/>
  <c r="N721" i="42"/>
  <c r="M721" i="42"/>
  <c r="L721" i="42"/>
  <c r="K721" i="42"/>
  <c r="F721" i="42"/>
  <c r="N720" i="42"/>
  <c r="M720" i="42"/>
  <c r="L720" i="42"/>
  <c r="K720" i="42"/>
  <c r="F720" i="42"/>
  <c r="N719" i="42"/>
  <c r="M719" i="42"/>
  <c r="O719" i="42" s="1"/>
  <c r="P719" i="42" s="1"/>
  <c r="L719" i="42"/>
  <c r="K719" i="42"/>
  <c r="F719" i="42"/>
  <c r="O718" i="42"/>
  <c r="P718" i="42" s="1"/>
  <c r="N718" i="42"/>
  <c r="M718" i="42"/>
  <c r="L718" i="42"/>
  <c r="K718" i="42"/>
  <c r="F718" i="42"/>
  <c r="N717" i="42"/>
  <c r="M717" i="42"/>
  <c r="L717" i="42"/>
  <c r="K717" i="42"/>
  <c r="F717" i="42"/>
  <c r="N716" i="42"/>
  <c r="M716" i="42"/>
  <c r="L716" i="42"/>
  <c r="K716" i="42"/>
  <c r="F716" i="42"/>
  <c r="N715" i="42"/>
  <c r="M715" i="42"/>
  <c r="L715" i="42"/>
  <c r="K715" i="42"/>
  <c r="F715" i="42"/>
  <c r="N714" i="42"/>
  <c r="M714" i="42"/>
  <c r="L714" i="42"/>
  <c r="K714" i="42"/>
  <c r="S714" i="42" s="1"/>
  <c r="F714" i="42"/>
  <c r="N713" i="42"/>
  <c r="M713" i="42"/>
  <c r="S713" i="42" s="1"/>
  <c r="L713" i="42"/>
  <c r="K713" i="42"/>
  <c r="F713" i="42"/>
  <c r="N712" i="42"/>
  <c r="M712" i="42"/>
  <c r="L712" i="42"/>
  <c r="K712" i="42"/>
  <c r="F712" i="42"/>
  <c r="N711" i="42"/>
  <c r="M711" i="42"/>
  <c r="L711" i="42"/>
  <c r="K711" i="42"/>
  <c r="F711" i="42"/>
  <c r="N710" i="42"/>
  <c r="M710" i="42"/>
  <c r="L710" i="42"/>
  <c r="S710" i="42" s="1"/>
  <c r="K710" i="42"/>
  <c r="F710" i="42"/>
  <c r="N709" i="42"/>
  <c r="M709" i="42"/>
  <c r="L709" i="42"/>
  <c r="K709" i="42"/>
  <c r="F709" i="42"/>
  <c r="N708" i="42"/>
  <c r="M708" i="42"/>
  <c r="L708" i="42"/>
  <c r="K708" i="42"/>
  <c r="S708" i="42" s="1"/>
  <c r="F708" i="42"/>
  <c r="O707" i="42"/>
  <c r="P707" i="42" s="1"/>
  <c r="N707" i="42"/>
  <c r="M707" i="42"/>
  <c r="L707" i="42"/>
  <c r="K707" i="42"/>
  <c r="S707" i="42" s="1"/>
  <c r="F707" i="42"/>
  <c r="O706" i="42"/>
  <c r="P706" i="42" s="1"/>
  <c r="N706" i="42"/>
  <c r="M706" i="42"/>
  <c r="L706" i="42"/>
  <c r="K706" i="42"/>
  <c r="S706" i="42" s="1"/>
  <c r="F706" i="42"/>
  <c r="S705" i="42"/>
  <c r="N705" i="42"/>
  <c r="M705" i="42"/>
  <c r="L705" i="42"/>
  <c r="K705" i="42"/>
  <c r="O705" i="42" s="1"/>
  <c r="P705" i="42" s="1"/>
  <c r="F705" i="42"/>
  <c r="S704" i="42"/>
  <c r="O704" i="42"/>
  <c r="P704" i="42" s="1"/>
  <c r="N704" i="42"/>
  <c r="M704" i="42"/>
  <c r="L704" i="42"/>
  <c r="K704" i="42"/>
  <c r="F704" i="42"/>
  <c r="O703" i="42"/>
  <c r="P703" i="42" s="1"/>
  <c r="N703" i="42"/>
  <c r="M703" i="42"/>
  <c r="L703" i="42"/>
  <c r="K703" i="42"/>
  <c r="S703" i="42" s="1"/>
  <c r="F703" i="42"/>
  <c r="S702" i="42"/>
  <c r="P702" i="42"/>
  <c r="O702" i="42"/>
  <c r="N702" i="42"/>
  <c r="M702" i="42"/>
  <c r="L702" i="42"/>
  <c r="K702" i="42"/>
  <c r="F702" i="42"/>
  <c r="N701" i="42"/>
  <c r="M701" i="42"/>
  <c r="L701" i="42"/>
  <c r="K701" i="42"/>
  <c r="F701" i="42"/>
  <c r="O700" i="42"/>
  <c r="P700" i="42" s="1"/>
  <c r="N700" i="42"/>
  <c r="M700" i="42"/>
  <c r="L700" i="42"/>
  <c r="K700" i="42"/>
  <c r="F700" i="42"/>
  <c r="S699" i="42"/>
  <c r="O699" i="42"/>
  <c r="P699" i="42" s="1"/>
  <c r="N699" i="42"/>
  <c r="M699" i="42"/>
  <c r="L699" i="42"/>
  <c r="K699" i="42"/>
  <c r="F699" i="42"/>
  <c r="O698" i="42"/>
  <c r="P698" i="42" s="1"/>
  <c r="N698" i="42"/>
  <c r="M698" i="42"/>
  <c r="L698" i="42"/>
  <c r="K698" i="42"/>
  <c r="S698" i="42" s="1"/>
  <c r="F698" i="42"/>
  <c r="O697" i="42"/>
  <c r="P697" i="42" s="1"/>
  <c r="N697" i="42"/>
  <c r="M697" i="42"/>
  <c r="L697" i="42"/>
  <c r="K697" i="42"/>
  <c r="F697" i="42"/>
  <c r="N696" i="42"/>
  <c r="M696" i="42"/>
  <c r="L696" i="42"/>
  <c r="K696" i="42"/>
  <c r="F696" i="42"/>
  <c r="N695" i="42"/>
  <c r="M695" i="42"/>
  <c r="L695" i="42"/>
  <c r="K695" i="42"/>
  <c r="F695" i="42"/>
  <c r="N694" i="42"/>
  <c r="M694" i="42"/>
  <c r="L694" i="42"/>
  <c r="K694" i="42"/>
  <c r="F694" i="42"/>
  <c r="N693" i="42"/>
  <c r="O693" i="42" s="1"/>
  <c r="P693" i="42" s="1"/>
  <c r="M693" i="42"/>
  <c r="L693" i="42"/>
  <c r="K693" i="42"/>
  <c r="F693" i="42"/>
  <c r="N692" i="42"/>
  <c r="M692" i="42"/>
  <c r="L692" i="42"/>
  <c r="K692" i="42"/>
  <c r="F692" i="42"/>
  <c r="N691" i="42"/>
  <c r="M691" i="42"/>
  <c r="L691" i="42"/>
  <c r="K691" i="42"/>
  <c r="F691" i="42"/>
  <c r="N690" i="42"/>
  <c r="M690" i="42"/>
  <c r="L690" i="42"/>
  <c r="K690" i="42"/>
  <c r="F690" i="42"/>
  <c r="N689" i="42"/>
  <c r="M689" i="42"/>
  <c r="L689" i="42"/>
  <c r="K689" i="42"/>
  <c r="F689" i="42"/>
  <c r="N688" i="42"/>
  <c r="M688" i="42"/>
  <c r="L688" i="42"/>
  <c r="K688" i="42"/>
  <c r="F688" i="42"/>
  <c r="N687" i="42"/>
  <c r="M687" i="42"/>
  <c r="L687" i="42"/>
  <c r="K687" i="42"/>
  <c r="F687" i="42"/>
  <c r="N686" i="42"/>
  <c r="M686" i="42"/>
  <c r="L686" i="42"/>
  <c r="K686" i="42"/>
  <c r="F686" i="42"/>
  <c r="O685" i="42"/>
  <c r="P685" i="42" s="1"/>
  <c r="N685" i="42"/>
  <c r="M685" i="42"/>
  <c r="L685" i="42"/>
  <c r="K685" i="42"/>
  <c r="S685" i="42" s="1"/>
  <c r="F685" i="42"/>
  <c r="N684" i="42"/>
  <c r="M684" i="42"/>
  <c r="L684" i="42"/>
  <c r="K684" i="42"/>
  <c r="F684" i="42"/>
  <c r="N683" i="42"/>
  <c r="M683" i="42"/>
  <c r="L683" i="42"/>
  <c r="K683" i="42"/>
  <c r="F683" i="42"/>
  <c r="N682" i="42"/>
  <c r="M682" i="42"/>
  <c r="L682" i="42"/>
  <c r="K682" i="42"/>
  <c r="F682" i="42"/>
  <c r="N681" i="42"/>
  <c r="M681" i="42"/>
  <c r="L681" i="42"/>
  <c r="K681" i="42"/>
  <c r="S681" i="42" s="1"/>
  <c r="F681" i="42"/>
  <c r="S680" i="42"/>
  <c r="N680" i="42"/>
  <c r="M680" i="42"/>
  <c r="L680" i="42"/>
  <c r="K680" i="42"/>
  <c r="O680" i="42" s="1"/>
  <c r="P680" i="42" s="1"/>
  <c r="F680" i="42"/>
  <c r="N679" i="42"/>
  <c r="M679" i="42"/>
  <c r="L679" i="42"/>
  <c r="K679" i="42"/>
  <c r="S679" i="42" s="1"/>
  <c r="F679" i="42"/>
  <c r="O678" i="42"/>
  <c r="P678" i="42" s="1"/>
  <c r="N678" i="42"/>
  <c r="S678" i="42" s="1"/>
  <c r="M678" i="42"/>
  <c r="L678" i="42"/>
  <c r="K678" i="42"/>
  <c r="F678" i="42"/>
  <c r="S677" i="42"/>
  <c r="P677" i="42"/>
  <c r="O677" i="42"/>
  <c r="N677" i="42"/>
  <c r="M677" i="42"/>
  <c r="L677" i="42"/>
  <c r="K677" i="42"/>
  <c r="F677" i="42"/>
  <c r="P676" i="42"/>
  <c r="O676" i="42"/>
  <c r="N676" i="42"/>
  <c r="M676" i="42"/>
  <c r="L676" i="42"/>
  <c r="K676" i="42"/>
  <c r="F676" i="42"/>
  <c r="N675" i="42"/>
  <c r="M675" i="42"/>
  <c r="S675" i="42" s="1"/>
  <c r="L675" i="42"/>
  <c r="K675" i="42"/>
  <c r="O675" i="42" s="1"/>
  <c r="P675" i="42" s="1"/>
  <c r="F675" i="42"/>
  <c r="S674" i="42"/>
  <c r="P674" i="42"/>
  <c r="O674" i="42"/>
  <c r="N674" i="42"/>
  <c r="M674" i="42"/>
  <c r="L674" i="42"/>
  <c r="K674" i="42"/>
  <c r="F674" i="42"/>
  <c r="N673" i="42"/>
  <c r="M673" i="42"/>
  <c r="O673" i="42" s="1"/>
  <c r="P673" i="42" s="1"/>
  <c r="L673" i="42"/>
  <c r="K673" i="42"/>
  <c r="F673" i="42"/>
  <c r="N672" i="42"/>
  <c r="M672" i="42"/>
  <c r="L672" i="42"/>
  <c r="S672" i="42" s="1"/>
  <c r="K672" i="42"/>
  <c r="F672" i="42"/>
  <c r="N671" i="42"/>
  <c r="S671" i="42" s="1"/>
  <c r="M671" i="42"/>
  <c r="L671" i="42"/>
  <c r="K671" i="42"/>
  <c r="F671" i="42"/>
  <c r="N670" i="42"/>
  <c r="M670" i="42"/>
  <c r="L670" i="42"/>
  <c r="K670" i="42"/>
  <c r="F670" i="42"/>
  <c r="N669" i="42"/>
  <c r="M669" i="42"/>
  <c r="L669" i="42"/>
  <c r="O669" i="42" s="1"/>
  <c r="P669" i="42" s="1"/>
  <c r="K669" i="42"/>
  <c r="F669" i="42"/>
  <c r="P668" i="42"/>
  <c r="O668" i="42"/>
  <c r="N668" i="42"/>
  <c r="M668" i="42"/>
  <c r="S668" i="42" s="1"/>
  <c r="L668" i="42"/>
  <c r="K668" i="42"/>
  <c r="F668" i="42"/>
  <c r="N667" i="42"/>
  <c r="M667" i="42"/>
  <c r="L667" i="42"/>
  <c r="K667" i="42"/>
  <c r="F667" i="42"/>
  <c r="N666" i="42"/>
  <c r="M666" i="42"/>
  <c r="O666" i="42" s="1"/>
  <c r="P666" i="42" s="1"/>
  <c r="L666" i="42"/>
  <c r="K666" i="42"/>
  <c r="S666" i="42" s="1"/>
  <c r="F666" i="42"/>
  <c r="O665" i="42"/>
  <c r="P665" i="42" s="1"/>
  <c r="N665" i="42"/>
  <c r="M665" i="42"/>
  <c r="L665" i="42"/>
  <c r="K665" i="42"/>
  <c r="S665" i="42" s="1"/>
  <c r="F665" i="42"/>
  <c r="N664" i="42"/>
  <c r="M664" i="42"/>
  <c r="L664" i="42"/>
  <c r="K664" i="42"/>
  <c r="F664" i="42"/>
  <c r="N663" i="42"/>
  <c r="M663" i="42"/>
  <c r="L663" i="42"/>
  <c r="K663" i="42"/>
  <c r="F663" i="42"/>
  <c r="S662" i="42"/>
  <c r="O662" i="42"/>
  <c r="P662" i="42" s="1"/>
  <c r="N662" i="42"/>
  <c r="M662" i="42"/>
  <c r="L662" i="42"/>
  <c r="K662" i="42"/>
  <c r="F662" i="42"/>
  <c r="N661" i="42"/>
  <c r="M661" i="42"/>
  <c r="L661" i="42"/>
  <c r="K661" i="42"/>
  <c r="F661" i="42"/>
  <c r="N660" i="42"/>
  <c r="M660" i="42"/>
  <c r="L660" i="42"/>
  <c r="K660" i="42"/>
  <c r="S660" i="42" s="1"/>
  <c r="F660" i="42"/>
  <c r="N659" i="42"/>
  <c r="M659" i="42"/>
  <c r="L659" i="42"/>
  <c r="K659" i="42"/>
  <c r="F659" i="42"/>
  <c r="N658" i="42"/>
  <c r="M658" i="42"/>
  <c r="L658" i="42"/>
  <c r="K658" i="42"/>
  <c r="F658" i="42"/>
  <c r="O657" i="42"/>
  <c r="P657" i="42" s="1"/>
  <c r="N657" i="42"/>
  <c r="S657" i="42" s="1"/>
  <c r="M657" i="42"/>
  <c r="L657" i="42"/>
  <c r="K657" i="42"/>
  <c r="F657" i="42"/>
  <c r="N656" i="42"/>
  <c r="M656" i="42"/>
  <c r="L656" i="42"/>
  <c r="K656" i="42"/>
  <c r="F656" i="42"/>
  <c r="P655" i="42"/>
  <c r="O655" i="42"/>
  <c r="N655" i="42"/>
  <c r="M655" i="42"/>
  <c r="L655" i="42"/>
  <c r="K655" i="42"/>
  <c r="F655" i="42"/>
  <c r="N654" i="42"/>
  <c r="M654" i="42"/>
  <c r="L654" i="42"/>
  <c r="K654" i="42"/>
  <c r="S654" i="42" s="1"/>
  <c r="F654" i="42"/>
  <c r="N653" i="42"/>
  <c r="M653" i="42"/>
  <c r="L653" i="42"/>
  <c r="K653" i="42"/>
  <c r="F653" i="42"/>
  <c r="O652" i="42"/>
  <c r="P652" i="42" s="1"/>
  <c r="N652" i="42"/>
  <c r="M652" i="42"/>
  <c r="L652" i="42"/>
  <c r="K652" i="42"/>
  <c r="F652" i="42"/>
  <c r="N651" i="42"/>
  <c r="M651" i="42"/>
  <c r="L651" i="42"/>
  <c r="O651" i="42" s="1"/>
  <c r="P651" i="42" s="1"/>
  <c r="K651" i="42"/>
  <c r="F651" i="42"/>
  <c r="N650" i="42"/>
  <c r="M650" i="42"/>
  <c r="L650" i="42"/>
  <c r="K650" i="42"/>
  <c r="F650" i="42"/>
  <c r="N649" i="42"/>
  <c r="O649" i="42" s="1"/>
  <c r="P649" i="42" s="1"/>
  <c r="M649" i="42"/>
  <c r="L649" i="42"/>
  <c r="K649" i="42"/>
  <c r="F649" i="42"/>
  <c r="N648" i="42"/>
  <c r="M648" i="42"/>
  <c r="L648" i="42"/>
  <c r="K648" i="42"/>
  <c r="F648" i="42"/>
  <c r="S647" i="42"/>
  <c r="N647" i="42"/>
  <c r="M647" i="42"/>
  <c r="L647" i="42"/>
  <c r="K647" i="42"/>
  <c r="O647" i="42" s="1"/>
  <c r="P647" i="42" s="1"/>
  <c r="F647" i="42"/>
  <c r="N646" i="42"/>
  <c r="M646" i="42"/>
  <c r="O646" i="42" s="1"/>
  <c r="P646" i="42" s="1"/>
  <c r="L646" i="42"/>
  <c r="K646" i="42"/>
  <c r="F646" i="42"/>
  <c r="N645" i="42"/>
  <c r="M645" i="42"/>
  <c r="L645" i="42"/>
  <c r="K645" i="42"/>
  <c r="F645" i="42"/>
  <c r="N644" i="42"/>
  <c r="M644" i="42"/>
  <c r="L644" i="42"/>
  <c r="K644" i="42"/>
  <c r="F644" i="42"/>
  <c r="N643" i="42"/>
  <c r="M643" i="42"/>
  <c r="L643" i="42"/>
  <c r="K643" i="42"/>
  <c r="F643" i="42"/>
  <c r="N642" i="42"/>
  <c r="M642" i="42"/>
  <c r="L642" i="42"/>
  <c r="K642" i="42"/>
  <c r="F642" i="42"/>
  <c r="S641" i="42"/>
  <c r="N641" i="42"/>
  <c r="M641" i="42"/>
  <c r="L641" i="42"/>
  <c r="K641" i="42"/>
  <c r="O641" i="42" s="1"/>
  <c r="P641" i="42" s="1"/>
  <c r="F641" i="42"/>
  <c r="N640" i="42"/>
  <c r="M640" i="42"/>
  <c r="L640" i="42"/>
  <c r="K640" i="42"/>
  <c r="F640" i="42"/>
  <c r="N639" i="42"/>
  <c r="M639" i="42"/>
  <c r="L639" i="42"/>
  <c r="K639" i="42"/>
  <c r="F639" i="42"/>
  <c r="N638" i="42"/>
  <c r="M638" i="42"/>
  <c r="L638" i="42"/>
  <c r="K638" i="42"/>
  <c r="F638" i="42"/>
  <c r="N637" i="42"/>
  <c r="M637" i="42"/>
  <c r="L637" i="42"/>
  <c r="K637" i="42"/>
  <c r="F637" i="42"/>
  <c r="S636" i="42"/>
  <c r="N636" i="42"/>
  <c r="M636" i="42"/>
  <c r="L636" i="42"/>
  <c r="K636" i="42"/>
  <c r="O636" i="42" s="1"/>
  <c r="P636" i="42" s="1"/>
  <c r="F636" i="42"/>
  <c r="N635" i="42"/>
  <c r="M635" i="42"/>
  <c r="L635" i="42"/>
  <c r="K635" i="42"/>
  <c r="F635" i="42"/>
  <c r="P634" i="42"/>
  <c r="O634" i="42"/>
  <c r="N634" i="42"/>
  <c r="M634" i="42"/>
  <c r="L634" i="42"/>
  <c r="K634" i="42"/>
  <c r="F634" i="42"/>
  <c r="S633" i="42"/>
  <c r="P633" i="42"/>
  <c r="N633" i="42"/>
  <c r="M633" i="42"/>
  <c r="L633" i="42"/>
  <c r="K633" i="42"/>
  <c r="O633" i="42" s="1"/>
  <c r="F633" i="42"/>
  <c r="N632" i="42"/>
  <c r="M632" i="42"/>
  <c r="L632" i="42"/>
  <c r="O632" i="42" s="1"/>
  <c r="P632" i="42" s="1"/>
  <c r="K632" i="42"/>
  <c r="F632" i="42"/>
  <c r="N631" i="42"/>
  <c r="M631" i="42"/>
  <c r="O631" i="42" s="1"/>
  <c r="P631" i="42" s="1"/>
  <c r="L631" i="42"/>
  <c r="K631" i="42"/>
  <c r="F631" i="42"/>
  <c r="S630" i="42"/>
  <c r="P630" i="42"/>
  <c r="O630" i="42"/>
  <c r="N630" i="42"/>
  <c r="M630" i="42"/>
  <c r="L630" i="42"/>
  <c r="K630" i="42"/>
  <c r="F630" i="42"/>
  <c r="N629" i="42"/>
  <c r="M629" i="42"/>
  <c r="L629" i="42"/>
  <c r="K629" i="42"/>
  <c r="F629" i="42"/>
  <c r="N628" i="42"/>
  <c r="M628" i="42"/>
  <c r="L628" i="42"/>
  <c r="K628" i="42"/>
  <c r="F628" i="42"/>
  <c r="O627" i="42"/>
  <c r="P627" i="42" s="1"/>
  <c r="N627" i="42"/>
  <c r="S627" i="42" s="1"/>
  <c r="M627" i="42"/>
  <c r="L627" i="42"/>
  <c r="K627" i="42"/>
  <c r="F627" i="42"/>
  <c r="N626" i="42"/>
  <c r="M626" i="42"/>
  <c r="L626" i="42"/>
  <c r="K626" i="42"/>
  <c r="F626" i="42"/>
  <c r="N625" i="42"/>
  <c r="M625" i="42"/>
  <c r="L625" i="42"/>
  <c r="K625" i="42"/>
  <c r="F625" i="42"/>
  <c r="N624" i="42"/>
  <c r="M624" i="42"/>
  <c r="O624" i="42" s="1"/>
  <c r="P624" i="42" s="1"/>
  <c r="L624" i="42"/>
  <c r="K624" i="42"/>
  <c r="F624" i="42"/>
  <c r="O623" i="42"/>
  <c r="P623" i="42" s="1"/>
  <c r="N623" i="42"/>
  <c r="M623" i="42"/>
  <c r="L623" i="42"/>
  <c r="K623" i="42"/>
  <c r="F623" i="42"/>
  <c r="N622" i="42"/>
  <c r="M622" i="42"/>
  <c r="L622" i="42"/>
  <c r="K622" i="42"/>
  <c r="F622" i="42"/>
  <c r="S621" i="42"/>
  <c r="P621" i="42"/>
  <c r="O621" i="42"/>
  <c r="N621" i="42"/>
  <c r="M621" i="42"/>
  <c r="L621" i="42"/>
  <c r="K621" i="42"/>
  <c r="F621" i="42"/>
  <c r="N620" i="42"/>
  <c r="M620" i="42"/>
  <c r="L620" i="42"/>
  <c r="K620" i="42"/>
  <c r="F620" i="42"/>
  <c r="N619" i="42"/>
  <c r="M619" i="42"/>
  <c r="L619" i="42"/>
  <c r="K619" i="42"/>
  <c r="F619" i="42"/>
  <c r="S618" i="42"/>
  <c r="O618" i="42"/>
  <c r="P618" i="42" s="1"/>
  <c r="N618" i="42"/>
  <c r="M618" i="42"/>
  <c r="L618" i="42"/>
  <c r="K618" i="42"/>
  <c r="F618" i="42"/>
  <c r="N617" i="42"/>
  <c r="M617" i="42"/>
  <c r="L617" i="42"/>
  <c r="K617" i="42"/>
  <c r="F617" i="42"/>
  <c r="N616" i="42"/>
  <c r="M616" i="42"/>
  <c r="L616" i="42"/>
  <c r="K616" i="42"/>
  <c r="F616" i="42"/>
  <c r="N615" i="42"/>
  <c r="M615" i="42"/>
  <c r="L615" i="42"/>
  <c r="K615" i="42"/>
  <c r="F615" i="42"/>
  <c r="N614" i="42"/>
  <c r="M614" i="42"/>
  <c r="L614" i="42"/>
  <c r="K614" i="42"/>
  <c r="F614" i="42"/>
  <c r="N613" i="42"/>
  <c r="M613" i="42"/>
  <c r="L613" i="42"/>
  <c r="K613" i="42"/>
  <c r="F613" i="42"/>
  <c r="N612" i="42"/>
  <c r="M612" i="42"/>
  <c r="L612" i="42"/>
  <c r="S612" i="42" s="1"/>
  <c r="K612" i="42"/>
  <c r="O612" i="42" s="1"/>
  <c r="P612" i="42" s="1"/>
  <c r="F612" i="42"/>
  <c r="N611" i="42"/>
  <c r="M611" i="42"/>
  <c r="L611" i="42"/>
  <c r="K611" i="42"/>
  <c r="O611" i="42" s="1"/>
  <c r="P611" i="42" s="1"/>
  <c r="F611" i="42"/>
  <c r="N610" i="42"/>
  <c r="M610" i="42"/>
  <c r="L610" i="42"/>
  <c r="K610" i="42"/>
  <c r="S610" i="42" s="1"/>
  <c r="F610" i="42"/>
  <c r="O609" i="42"/>
  <c r="P609" i="42" s="1"/>
  <c r="N609" i="42"/>
  <c r="S609" i="42" s="1"/>
  <c r="M609" i="42"/>
  <c r="L609" i="42"/>
  <c r="K609" i="42"/>
  <c r="F609" i="42"/>
  <c r="S608" i="42"/>
  <c r="N608" i="42"/>
  <c r="M608" i="42"/>
  <c r="L608" i="42"/>
  <c r="K608" i="42"/>
  <c r="O608" i="42" s="1"/>
  <c r="P608" i="42" s="1"/>
  <c r="F608" i="42"/>
  <c r="N607" i="42"/>
  <c r="O607" i="42" s="1"/>
  <c r="P607" i="42" s="1"/>
  <c r="M607" i="42"/>
  <c r="L607" i="42"/>
  <c r="K607" i="42"/>
  <c r="F607" i="42"/>
  <c r="N606" i="42"/>
  <c r="M606" i="42"/>
  <c r="S606" i="42" s="1"/>
  <c r="L606" i="42"/>
  <c r="O606" i="42" s="1"/>
  <c r="P606" i="42" s="1"/>
  <c r="K606" i="42"/>
  <c r="F606" i="42"/>
  <c r="S605" i="42"/>
  <c r="O605" i="42"/>
  <c r="P605" i="42" s="1"/>
  <c r="N605" i="42"/>
  <c r="M605" i="42"/>
  <c r="L605" i="42"/>
  <c r="K605" i="42"/>
  <c r="F605" i="42"/>
  <c r="N604" i="42"/>
  <c r="M604" i="42"/>
  <c r="O604" i="42" s="1"/>
  <c r="P604" i="42" s="1"/>
  <c r="L604" i="42"/>
  <c r="K604" i="42"/>
  <c r="F604" i="42"/>
  <c r="N603" i="42"/>
  <c r="M603" i="42"/>
  <c r="L603" i="42"/>
  <c r="K603" i="42"/>
  <c r="S603" i="42" s="1"/>
  <c r="F603" i="42"/>
  <c r="N602" i="42"/>
  <c r="M602" i="42"/>
  <c r="L602" i="42"/>
  <c r="K602" i="42"/>
  <c r="F602" i="42"/>
  <c r="N601" i="42"/>
  <c r="M601" i="42"/>
  <c r="L601" i="42"/>
  <c r="K601" i="42"/>
  <c r="O601" i="42" s="1"/>
  <c r="P601" i="42" s="1"/>
  <c r="F601" i="42"/>
  <c r="N600" i="42"/>
  <c r="S600" i="42" s="1"/>
  <c r="M600" i="42"/>
  <c r="L600" i="42"/>
  <c r="K600" i="42"/>
  <c r="O600" i="42" s="1"/>
  <c r="P600" i="42" s="1"/>
  <c r="F600" i="42"/>
  <c r="S599" i="42"/>
  <c r="N599" i="42"/>
  <c r="O599" i="42" s="1"/>
  <c r="P599" i="42" s="1"/>
  <c r="M599" i="42"/>
  <c r="L599" i="42"/>
  <c r="K599" i="42"/>
  <c r="F599" i="42"/>
  <c r="N598" i="42"/>
  <c r="M598" i="42"/>
  <c r="L598" i="42"/>
  <c r="K598" i="42"/>
  <c r="F598" i="42"/>
  <c r="S597" i="42"/>
  <c r="P597" i="42"/>
  <c r="N597" i="42"/>
  <c r="M597" i="42"/>
  <c r="L597" i="42"/>
  <c r="K597" i="42"/>
  <c r="O597" i="42" s="1"/>
  <c r="F597" i="42"/>
  <c r="O596" i="42"/>
  <c r="P596" i="42" s="1"/>
  <c r="N596" i="42"/>
  <c r="S596" i="42" s="1"/>
  <c r="M596" i="42"/>
  <c r="L596" i="42"/>
  <c r="K596" i="42"/>
  <c r="F596" i="42"/>
  <c r="N595" i="42"/>
  <c r="M595" i="42"/>
  <c r="L595" i="42"/>
  <c r="K595" i="42"/>
  <c r="F595" i="42"/>
  <c r="N594" i="42"/>
  <c r="M594" i="42"/>
  <c r="S594" i="42" s="1"/>
  <c r="L594" i="42"/>
  <c r="K594" i="42"/>
  <c r="F594" i="42"/>
  <c r="N593" i="42"/>
  <c r="M593" i="42"/>
  <c r="L593" i="42"/>
  <c r="K593" i="42"/>
  <c r="F593" i="42"/>
  <c r="N592" i="42"/>
  <c r="M592" i="42"/>
  <c r="L592" i="42"/>
  <c r="K592" i="42"/>
  <c r="F592" i="42"/>
  <c r="N591" i="42"/>
  <c r="M591" i="42"/>
  <c r="L591" i="42"/>
  <c r="K591" i="42"/>
  <c r="F591" i="42"/>
  <c r="N590" i="42"/>
  <c r="M590" i="42"/>
  <c r="S590" i="42" s="1"/>
  <c r="L590" i="42"/>
  <c r="K590" i="42"/>
  <c r="F590" i="42"/>
  <c r="N589" i="42"/>
  <c r="M589" i="42"/>
  <c r="L589" i="42"/>
  <c r="K589" i="42"/>
  <c r="F589" i="42"/>
  <c r="N588" i="42"/>
  <c r="M588" i="42"/>
  <c r="L588" i="42"/>
  <c r="K588" i="42"/>
  <c r="F588" i="42"/>
  <c r="S587" i="42"/>
  <c r="P587" i="42"/>
  <c r="O587" i="42"/>
  <c r="N587" i="42"/>
  <c r="M587" i="42"/>
  <c r="L587" i="42"/>
  <c r="K587" i="42"/>
  <c r="F587" i="42"/>
  <c r="N586" i="42"/>
  <c r="M586" i="42"/>
  <c r="L586" i="42"/>
  <c r="K586" i="42"/>
  <c r="F586" i="42"/>
  <c r="N585" i="42"/>
  <c r="M585" i="42"/>
  <c r="L585" i="42"/>
  <c r="K585" i="42"/>
  <c r="F585" i="42"/>
  <c r="N584" i="42"/>
  <c r="M584" i="42"/>
  <c r="S584" i="42" s="1"/>
  <c r="L584" i="42"/>
  <c r="K584" i="42"/>
  <c r="F584" i="42"/>
  <c r="O583" i="42"/>
  <c r="P583" i="42" s="1"/>
  <c r="N583" i="42"/>
  <c r="M583" i="42"/>
  <c r="L583" i="42"/>
  <c r="K583" i="42"/>
  <c r="F583" i="42"/>
  <c r="N582" i="42"/>
  <c r="M582" i="42"/>
  <c r="L582" i="42"/>
  <c r="K582" i="42"/>
  <c r="F582" i="42"/>
  <c r="N581" i="42"/>
  <c r="M581" i="42"/>
  <c r="L581" i="42"/>
  <c r="K581" i="42"/>
  <c r="F581" i="42"/>
  <c r="N580" i="42"/>
  <c r="O580" i="42" s="1"/>
  <c r="P580" i="42" s="1"/>
  <c r="M580" i="42"/>
  <c r="L580" i="42"/>
  <c r="K580" i="42"/>
  <c r="F580" i="42"/>
  <c r="N579" i="42"/>
  <c r="M579" i="42"/>
  <c r="L579" i="42"/>
  <c r="K579" i="42"/>
  <c r="F579" i="42"/>
  <c r="N578" i="42"/>
  <c r="M578" i="42"/>
  <c r="L578" i="42"/>
  <c r="K578" i="42"/>
  <c r="F578" i="42"/>
  <c r="P577" i="42"/>
  <c r="O577" i="42"/>
  <c r="N577" i="42"/>
  <c r="M577" i="42"/>
  <c r="L577" i="42"/>
  <c r="K577" i="42"/>
  <c r="F577" i="42"/>
  <c r="N576" i="42"/>
  <c r="M576" i="42"/>
  <c r="L576" i="42"/>
  <c r="K576" i="42"/>
  <c r="F576" i="42"/>
  <c r="N575" i="42"/>
  <c r="M575" i="42"/>
  <c r="L575" i="42"/>
  <c r="K575" i="42"/>
  <c r="F575" i="42"/>
  <c r="N574" i="42"/>
  <c r="M574" i="42"/>
  <c r="L574" i="42"/>
  <c r="O574" i="42" s="1"/>
  <c r="P574" i="42" s="1"/>
  <c r="K574" i="42"/>
  <c r="F574" i="42"/>
  <c r="N573" i="42"/>
  <c r="M573" i="42"/>
  <c r="L573" i="42"/>
  <c r="K573" i="42"/>
  <c r="F573" i="42"/>
  <c r="N572" i="42"/>
  <c r="M572" i="42"/>
  <c r="L572" i="42"/>
  <c r="S572" i="42" s="1"/>
  <c r="K572" i="42"/>
  <c r="O572" i="42" s="1"/>
  <c r="P572" i="42" s="1"/>
  <c r="F572" i="42"/>
  <c r="N571" i="42"/>
  <c r="M571" i="42"/>
  <c r="L571" i="42"/>
  <c r="K571" i="42"/>
  <c r="F571" i="42"/>
  <c r="N570" i="42"/>
  <c r="M570" i="42"/>
  <c r="L570" i="42"/>
  <c r="K570" i="42"/>
  <c r="F570" i="42"/>
  <c r="N569" i="42"/>
  <c r="M569" i="42"/>
  <c r="S569" i="42" s="1"/>
  <c r="L569" i="42"/>
  <c r="K569" i="42"/>
  <c r="O569" i="42" s="1"/>
  <c r="P569" i="42" s="1"/>
  <c r="F569" i="42"/>
  <c r="O568" i="42"/>
  <c r="P568" i="42" s="1"/>
  <c r="N568" i="42"/>
  <c r="M568" i="42"/>
  <c r="L568" i="42"/>
  <c r="K568" i="42"/>
  <c r="F568" i="42"/>
  <c r="N567" i="42"/>
  <c r="M567" i="42"/>
  <c r="L567" i="42"/>
  <c r="K567" i="42"/>
  <c r="F567" i="42"/>
  <c r="S566" i="42"/>
  <c r="N566" i="42"/>
  <c r="M566" i="42"/>
  <c r="L566" i="42"/>
  <c r="O566" i="42" s="1"/>
  <c r="P566" i="42" s="1"/>
  <c r="K566" i="42"/>
  <c r="F566" i="42"/>
  <c r="N565" i="42"/>
  <c r="M565" i="42"/>
  <c r="L565" i="42"/>
  <c r="K565" i="42"/>
  <c r="F565" i="42"/>
  <c r="S564" i="42"/>
  <c r="N564" i="42"/>
  <c r="M564" i="42"/>
  <c r="L564" i="42"/>
  <c r="K564" i="42"/>
  <c r="O564" i="42" s="1"/>
  <c r="P564" i="42" s="1"/>
  <c r="F564" i="42"/>
  <c r="S563" i="42"/>
  <c r="P563" i="42"/>
  <c r="O563" i="42"/>
  <c r="N563" i="42"/>
  <c r="M563" i="42"/>
  <c r="L563" i="42"/>
  <c r="K563" i="42"/>
  <c r="F563" i="42"/>
  <c r="N562" i="42"/>
  <c r="M562" i="42"/>
  <c r="L562" i="42"/>
  <c r="K562" i="42"/>
  <c r="F562" i="42"/>
  <c r="S561" i="42"/>
  <c r="P561" i="42"/>
  <c r="N561" i="42"/>
  <c r="M561" i="42"/>
  <c r="L561" i="42"/>
  <c r="K561" i="42"/>
  <c r="O561" i="42" s="1"/>
  <c r="F561" i="42"/>
  <c r="N560" i="42"/>
  <c r="M560" i="42"/>
  <c r="L560" i="42"/>
  <c r="S560" i="42" s="1"/>
  <c r="K560" i="42"/>
  <c r="F560" i="42"/>
  <c r="N559" i="42"/>
  <c r="M559" i="42"/>
  <c r="L559" i="42"/>
  <c r="K559" i="42"/>
  <c r="F559" i="42"/>
  <c r="S558" i="42"/>
  <c r="P558" i="42"/>
  <c r="O558" i="42"/>
  <c r="N558" i="42"/>
  <c r="M558" i="42"/>
  <c r="L558" i="42"/>
  <c r="K558" i="42"/>
  <c r="F558" i="42"/>
  <c r="S557" i="42"/>
  <c r="O557" i="42"/>
  <c r="P557" i="42" s="1"/>
  <c r="N557" i="42"/>
  <c r="M557" i="42"/>
  <c r="L557" i="42"/>
  <c r="K557" i="42"/>
  <c r="F557" i="42"/>
  <c r="N556" i="42"/>
  <c r="M556" i="42"/>
  <c r="L556" i="42"/>
  <c r="K556" i="42"/>
  <c r="S556" i="42" s="1"/>
  <c r="F556" i="42"/>
  <c r="N555" i="42"/>
  <c r="M555" i="42"/>
  <c r="L555" i="42"/>
  <c r="K555" i="42"/>
  <c r="F555" i="42"/>
  <c r="N554" i="42"/>
  <c r="M554" i="42"/>
  <c r="L554" i="42"/>
  <c r="K554" i="42"/>
  <c r="F554" i="42"/>
  <c r="N553" i="42"/>
  <c r="M553" i="42"/>
  <c r="L553" i="42"/>
  <c r="K553" i="42"/>
  <c r="F553" i="42"/>
  <c r="S552" i="42"/>
  <c r="P552" i="42"/>
  <c r="N552" i="42"/>
  <c r="M552" i="42"/>
  <c r="L552" i="42"/>
  <c r="K552" i="42"/>
  <c r="O552" i="42" s="1"/>
  <c r="F552" i="42"/>
  <c r="N551" i="42"/>
  <c r="M551" i="42"/>
  <c r="L551" i="42"/>
  <c r="O551" i="42" s="1"/>
  <c r="P551" i="42" s="1"/>
  <c r="K551" i="42"/>
  <c r="F551" i="42"/>
  <c r="N550" i="42"/>
  <c r="M550" i="42"/>
  <c r="L550" i="42"/>
  <c r="K550" i="42"/>
  <c r="F550" i="42"/>
  <c r="N549" i="42"/>
  <c r="M549" i="42"/>
  <c r="S549" i="42" s="1"/>
  <c r="L549" i="42"/>
  <c r="K549" i="42"/>
  <c r="F549" i="42"/>
  <c r="N548" i="42"/>
  <c r="M548" i="42"/>
  <c r="L548" i="42"/>
  <c r="K548" i="42"/>
  <c r="F548" i="42"/>
  <c r="N547" i="42"/>
  <c r="M547" i="42"/>
  <c r="L547" i="42"/>
  <c r="K547" i="42"/>
  <c r="F547" i="42"/>
  <c r="N546" i="42"/>
  <c r="M546" i="42"/>
  <c r="S546" i="42" s="1"/>
  <c r="L546" i="42"/>
  <c r="K546" i="42"/>
  <c r="F546" i="42"/>
  <c r="N545" i="42"/>
  <c r="M545" i="42"/>
  <c r="L545" i="42"/>
  <c r="S545" i="42" s="1"/>
  <c r="K545" i="42"/>
  <c r="F545" i="42"/>
  <c r="N544" i="42"/>
  <c r="M544" i="42"/>
  <c r="L544" i="42"/>
  <c r="K544" i="42"/>
  <c r="F544" i="42"/>
  <c r="N543" i="42"/>
  <c r="M543" i="42"/>
  <c r="L543" i="42"/>
  <c r="K543" i="42"/>
  <c r="F543" i="42"/>
  <c r="N542" i="42"/>
  <c r="M542" i="42"/>
  <c r="L542" i="42"/>
  <c r="K542" i="42"/>
  <c r="F542" i="42"/>
  <c r="N541" i="42"/>
  <c r="M541" i="42"/>
  <c r="L541" i="42"/>
  <c r="K541" i="42"/>
  <c r="F541" i="42"/>
  <c r="S540" i="42"/>
  <c r="N540" i="42"/>
  <c r="M540" i="42"/>
  <c r="L540" i="42"/>
  <c r="K540" i="42"/>
  <c r="O540" i="42" s="1"/>
  <c r="P540" i="42" s="1"/>
  <c r="F540" i="42"/>
  <c r="O539" i="42"/>
  <c r="P539" i="42" s="1"/>
  <c r="N539" i="42"/>
  <c r="M539" i="42"/>
  <c r="L539" i="42"/>
  <c r="K539" i="42"/>
  <c r="S539" i="42" s="1"/>
  <c r="F539" i="42"/>
  <c r="N538" i="42"/>
  <c r="M538" i="42"/>
  <c r="L538" i="42"/>
  <c r="K538" i="42"/>
  <c r="F538" i="42"/>
  <c r="N537" i="42"/>
  <c r="M537" i="42"/>
  <c r="L537" i="42"/>
  <c r="K537" i="42"/>
  <c r="S537" i="42" s="1"/>
  <c r="F537" i="42"/>
  <c r="N536" i="42"/>
  <c r="M536" i="42"/>
  <c r="L536" i="42"/>
  <c r="K536" i="42"/>
  <c r="O536" i="42" s="1"/>
  <c r="P536" i="42" s="1"/>
  <c r="F536" i="42"/>
  <c r="N535" i="42"/>
  <c r="M535" i="42"/>
  <c r="L535" i="42"/>
  <c r="K535" i="42"/>
  <c r="F535" i="42"/>
  <c r="N534" i="42"/>
  <c r="M534" i="42"/>
  <c r="O534" i="42" s="1"/>
  <c r="P534" i="42" s="1"/>
  <c r="L534" i="42"/>
  <c r="K534" i="42"/>
  <c r="S534" i="42" s="1"/>
  <c r="F534" i="42"/>
  <c r="N533" i="42"/>
  <c r="M533" i="42"/>
  <c r="L533" i="42"/>
  <c r="K533" i="42"/>
  <c r="S533" i="42" s="1"/>
  <c r="F533" i="42"/>
  <c r="N532" i="42"/>
  <c r="O532" i="42" s="1"/>
  <c r="P532" i="42" s="1"/>
  <c r="M532" i="42"/>
  <c r="L532" i="42"/>
  <c r="K532" i="42"/>
  <c r="F532" i="42"/>
  <c r="S531" i="42"/>
  <c r="N531" i="42"/>
  <c r="M531" i="42"/>
  <c r="L531" i="42"/>
  <c r="O531" i="42" s="1"/>
  <c r="P531" i="42" s="1"/>
  <c r="K531" i="42"/>
  <c r="F531" i="42"/>
  <c r="N530" i="42"/>
  <c r="S530" i="42" s="1"/>
  <c r="M530" i="42"/>
  <c r="L530" i="42"/>
  <c r="K530" i="42"/>
  <c r="F530" i="42"/>
  <c r="N529" i="42"/>
  <c r="M529" i="42"/>
  <c r="L529" i="42"/>
  <c r="K529" i="42"/>
  <c r="F529" i="42"/>
  <c r="P528" i="42"/>
  <c r="O528" i="42"/>
  <c r="N528" i="42"/>
  <c r="S528" i="42" s="1"/>
  <c r="M528" i="42"/>
  <c r="L528" i="42"/>
  <c r="K528" i="42"/>
  <c r="F528" i="42"/>
  <c r="S527" i="42"/>
  <c r="N527" i="42"/>
  <c r="M527" i="42"/>
  <c r="O527" i="42" s="1"/>
  <c r="P527" i="42" s="1"/>
  <c r="L527" i="42"/>
  <c r="K527" i="42"/>
  <c r="F527" i="42"/>
  <c r="N526" i="42"/>
  <c r="M526" i="42"/>
  <c r="L526" i="42"/>
  <c r="K526" i="42"/>
  <c r="F526" i="42"/>
  <c r="S525" i="42"/>
  <c r="O525" i="42"/>
  <c r="P525" i="42" s="1"/>
  <c r="N525" i="42"/>
  <c r="M525" i="42"/>
  <c r="L525" i="42"/>
  <c r="K525" i="42"/>
  <c r="F525" i="42"/>
  <c r="N524" i="42"/>
  <c r="O524" i="42" s="1"/>
  <c r="P524" i="42" s="1"/>
  <c r="M524" i="42"/>
  <c r="L524" i="42"/>
  <c r="K524" i="42"/>
  <c r="F524" i="42"/>
  <c r="N523" i="42"/>
  <c r="M523" i="42"/>
  <c r="L523" i="42"/>
  <c r="K523" i="42"/>
  <c r="S523" i="42" s="1"/>
  <c r="F523" i="42"/>
  <c r="N522" i="42"/>
  <c r="M522" i="42"/>
  <c r="L522" i="42"/>
  <c r="K522" i="42"/>
  <c r="F522" i="42"/>
  <c r="N521" i="42"/>
  <c r="M521" i="42"/>
  <c r="L521" i="42"/>
  <c r="K521" i="42"/>
  <c r="S521" i="42" s="1"/>
  <c r="F521" i="42"/>
  <c r="N520" i="42"/>
  <c r="M520" i="42"/>
  <c r="L520" i="42"/>
  <c r="K520" i="42"/>
  <c r="F520" i="42"/>
  <c r="N519" i="42"/>
  <c r="M519" i="42"/>
  <c r="L519" i="42"/>
  <c r="O519" i="42" s="1"/>
  <c r="P519" i="42" s="1"/>
  <c r="K519" i="42"/>
  <c r="S519" i="42" s="1"/>
  <c r="F519" i="42"/>
  <c r="N518" i="42"/>
  <c r="S518" i="42" s="1"/>
  <c r="M518" i="42"/>
  <c r="L518" i="42"/>
  <c r="K518" i="42"/>
  <c r="F518" i="42"/>
  <c r="N517" i="42"/>
  <c r="M517" i="42"/>
  <c r="L517" i="42"/>
  <c r="K517" i="42"/>
  <c r="S517" i="42" s="1"/>
  <c r="F517" i="42"/>
  <c r="N516" i="42"/>
  <c r="M516" i="42"/>
  <c r="L516" i="42"/>
  <c r="K516" i="42"/>
  <c r="S516" i="42" s="1"/>
  <c r="F516" i="42"/>
  <c r="N515" i="42"/>
  <c r="M515" i="42"/>
  <c r="O515" i="42" s="1"/>
  <c r="P515" i="42" s="1"/>
  <c r="L515" i="42"/>
  <c r="K515" i="42"/>
  <c r="F515" i="42"/>
  <c r="N514" i="42"/>
  <c r="O514" i="42" s="1"/>
  <c r="P514" i="42" s="1"/>
  <c r="M514" i="42"/>
  <c r="L514" i="42"/>
  <c r="K514" i="42"/>
  <c r="F514" i="42"/>
  <c r="S513" i="42"/>
  <c r="N513" i="42"/>
  <c r="M513" i="42"/>
  <c r="L513" i="42"/>
  <c r="K513" i="42"/>
  <c r="O513" i="42" s="1"/>
  <c r="P513" i="42" s="1"/>
  <c r="F513" i="42"/>
  <c r="N512" i="42"/>
  <c r="M512" i="42"/>
  <c r="L512" i="42"/>
  <c r="K512" i="42"/>
  <c r="F512" i="42"/>
  <c r="N511" i="42"/>
  <c r="M511" i="42"/>
  <c r="O511" i="42" s="1"/>
  <c r="P511" i="42" s="1"/>
  <c r="L511" i="42"/>
  <c r="K511" i="42"/>
  <c r="F511" i="42"/>
  <c r="N510" i="42"/>
  <c r="M510" i="42"/>
  <c r="L510" i="42"/>
  <c r="S510" i="42" s="1"/>
  <c r="K510" i="42"/>
  <c r="F510" i="42"/>
  <c r="N509" i="42"/>
  <c r="M509" i="42"/>
  <c r="L509" i="42"/>
  <c r="K509" i="42"/>
  <c r="S509" i="42" s="1"/>
  <c r="F509" i="42"/>
  <c r="O508" i="42"/>
  <c r="P508" i="42" s="1"/>
  <c r="N508" i="42"/>
  <c r="M508" i="42"/>
  <c r="L508" i="42"/>
  <c r="K508" i="42"/>
  <c r="F508" i="42"/>
  <c r="N507" i="42"/>
  <c r="M507" i="42"/>
  <c r="S507" i="42" s="1"/>
  <c r="L507" i="42"/>
  <c r="K507" i="42"/>
  <c r="O507" i="42" s="1"/>
  <c r="P507" i="42" s="1"/>
  <c r="F507" i="42"/>
  <c r="N506" i="42"/>
  <c r="M506" i="42"/>
  <c r="L506" i="42"/>
  <c r="K506" i="42"/>
  <c r="F506" i="42"/>
  <c r="N505" i="42"/>
  <c r="M505" i="42"/>
  <c r="O505" i="42" s="1"/>
  <c r="P505" i="42" s="1"/>
  <c r="L505" i="42"/>
  <c r="K505" i="42"/>
  <c r="F505" i="42"/>
  <c r="O504" i="42"/>
  <c r="P504" i="42" s="1"/>
  <c r="N504" i="42"/>
  <c r="M504" i="42"/>
  <c r="L504" i="42"/>
  <c r="K504" i="42"/>
  <c r="F504" i="42"/>
  <c r="N503" i="42"/>
  <c r="M503" i="42"/>
  <c r="L503" i="42"/>
  <c r="K503" i="42"/>
  <c r="S503" i="42" s="1"/>
  <c r="F503" i="42"/>
  <c r="N502" i="42"/>
  <c r="M502" i="42"/>
  <c r="O502" i="42" s="1"/>
  <c r="P502" i="42" s="1"/>
  <c r="L502" i="42"/>
  <c r="K502" i="42"/>
  <c r="F502" i="42"/>
  <c r="N501" i="42"/>
  <c r="M501" i="42"/>
  <c r="L501" i="42"/>
  <c r="K501" i="42"/>
  <c r="F501" i="42"/>
  <c r="N500" i="42"/>
  <c r="M500" i="42"/>
  <c r="L500" i="42"/>
  <c r="K500" i="42"/>
  <c r="F500" i="42"/>
  <c r="N499" i="42"/>
  <c r="M499" i="42"/>
  <c r="L499" i="42"/>
  <c r="K499" i="42"/>
  <c r="F499" i="42"/>
  <c r="S498" i="42"/>
  <c r="O498" i="42"/>
  <c r="P498" i="42" s="1"/>
  <c r="N498" i="42"/>
  <c r="M498" i="42"/>
  <c r="L498" i="42"/>
  <c r="K498" i="42"/>
  <c r="F498" i="42"/>
  <c r="N497" i="42"/>
  <c r="M497" i="42"/>
  <c r="L497" i="42"/>
  <c r="K497" i="42"/>
  <c r="F497" i="42"/>
  <c r="N496" i="42"/>
  <c r="M496" i="42"/>
  <c r="L496" i="42"/>
  <c r="K496" i="42"/>
  <c r="S496" i="42" s="1"/>
  <c r="F496" i="42"/>
  <c r="N495" i="42"/>
  <c r="M495" i="42"/>
  <c r="S495" i="42" s="1"/>
  <c r="L495" i="42"/>
  <c r="K495" i="42"/>
  <c r="F495" i="42"/>
  <c r="N494" i="42"/>
  <c r="M494" i="42"/>
  <c r="L494" i="42"/>
  <c r="K494" i="42"/>
  <c r="F494" i="42"/>
  <c r="O493" i="42"/>
  <c r="P493" i="42" s="1"/>
  <c r="N493" i="42"/>
  <c r="M493" i="42"/>
  <c r="L493" i="42"/>
  <c r="K493" i="42"/>
  <c r="S493" i="42" s="1"/>
  <c r="F493" i="42"/>
  <c r="N492" i="42"/>
  <c r="M492" i="42"/>
  <c r="O492" i="42" s="1"/>
  <c r="P492" i="42" s="1"/>
  <c r="L492" i="42"/>
  <c r="K492" i="42"/>
  <c r="F492" i="42"/>
  <c r="S491" i="42"/>
  <c r="N491" i="42"/>
  <c r="M491" i="42"/>
  <c r="L491" i="42"/>
  <c r="K491" i="42"/>
  <c r="O491" i="42" s="1"/>
  <c r="P491" i="42" s="1"/>
  <c r="F491" i="42"/>
  <c r="N490" i="42"/>
  <c r="O490" i="42" s="1"/>
  <c r="P490" i="42" s="1"/>
  <c r="M490" i="42"/>
  <c r="L490" i="42"/>
  <c r="K490" i="42"/>
  <c r="F490" i="42"/>
  <c r="N489" i="42"/>
  <c r="O489" i="42" s="1"/>
  <c r="P489" i="42" s="1"/>
  <c r="M489" i="42"/>
  <c r="L489" i="42"/>
  <c r="K489" i="42"/>
  <c r="S489" i="42" s="1"/>
  <c r="F489" i="42"/>
  <c r="P488" i="42"/>
  <c r="O488" i="42"/>
  <c r="N488" i="42"/>
  <c r="M488" i="42"/>
  <c r="L488" i="42"/>
  <c r="K488" i="42"/>
  <c r="F488" i="42"/>
  <c r="N487" i="42"/>
  <c r="M487" i="42"/>
  <c r="L487" i="42"/>
  <c r="K487" i="42"/>
  <c r="F487" i="42"/>
  <c r="N486" i="42"/>
  <c r="M486" i="42"/>
  <c r="O486" i="42" s="1"/>
  <c r="P486" i="42" s="1"/>
  <c r="L486" i="42"/>
  <c r="K486" i="42"/>
  <c r="S486" i="42" s="1"/>
  <c r="F486" i="42"/>
  <c r="N485" i="42"/>
  <c r="M485" i="42"/>
  <c r="L485" i="42"/>
  <c r="K485" i="42"/>
  <c r="F485" i="42"/>
  <c r="N484" i="42"/>
  <c r="M484" i="42"/>
  <c r="L484" i="42"/>
  <c r="O484" i="42" s="1"/>
  <c r="P484" i="42" s="1"/>
  <c r="K484" i="42"/>
  <c r="F484" i="42"/>
  <c r="S483" i="42"/>
  <c r="N483" i="42"/>
  <c r="M483" i="42"/>
  <c r="L483" i="42"/>
  <c r="O483" i="42" s="1"/>
  <c r="P483" i="42" s="1"/>
  <c r="K483" i="42"/>
  <c r="F483" i="42"/>
  <c r="N482" i="42"/>
  <c r="M482" i="42"/>
  <c r="S482" i="42" s="1"/>
  <c r="L482" i="42"/>
  <c r="K482" i="42"/>
  <c r="F482" i="42"/>
  <c r="N481" i="42"/>
  <c r="M481" i="42"/>
  <c r="L481" i="42"/>
  <c r="K481" i="42"/>
  <c r="S481" i="42" s="1"/>
  <c r="F481" i="42"/>
  <c r="N480" i="42"/>
  <c r="M480" i="42"/>
  <c r="L480" i="42"/>
  <c r="K480" i="42"/>
  <c r="F480" i="42"/>
  <c r="N479" i="42"/>
  <c r="M479" i="42"/>
  <c r="L479" i="42"/>
  <c r="K479" i="42"/>
  <c r="F479" i="42"/>
  <c r="N478" i="42"/>
  <c r="O478" i="42" s="1"/>
  <c r="P478" i="42" s="1"/>
  <c r="M478" i="42"/>
  <c r="L478" i="42"/>
  <c r="K478" i="42"/>
  <c r="F478" i="42"/>
  <c r="N477" i="42"/>
  <c r="M477" i="42"/>
  <c r="L477" i="42"/>
  <c r="S477" i="42" s="1"/>
  <c r="K477" i="42"/>
  <c r="F477" i="42"/>
  <c r="N476" i="42"/>
  <c r="M476" i="42"/>
  <c r="L476" i="42"/>
  <c r="K476" i="42"/>
  <c r="F476" i="42"/>
  <c r="N475" i="42"/>
  <c r="M475" i="42"/>
  <c r="L475" i="42"/>
  <c r="K475" i="42"/>
  <c r="F475" i="42"/>
  <c r="N474" i="42"/>
  <c r="M474" i="42"/>
  <c r="L474" i="42"/>
  <c r="O474" i="42" s="1"/>
  <c r="P474" i="42" s="1"/>
  <c r="K474" i="42"/>
  <c r="S474" i="42" s="1"/>
  <c r="F474" i="42"/>
  <c r="S473" i="42"/>
  <c r="N473" i="42"/>
  <c r="M473" i="42"/>
  <c r="L473" i="42"/>
  <c r="O473" i="42" s="1"/>
  <c r="P473" i="42" s="1"/>
  <c r="K473" i="42"/>
  <c r="F473" i="42"/>
  <c r="N472" i="42"/>
  <c r="M472" i="42"/>
  <c r="L472" i="42"/>
  <c r="K472" i="42"/>
  <c r="F472" i="42"/>
  <c r="N471" i="42"/>
  <c r="M471" i="42"/>
  <c r="L471" i="42"/>
  <c r="O471" i="42" s="1"/>
  <c r="P471" i="42" s="1"/>
  <c r="K471" i="42"/>
  <c r="S471" i="42" s="1"/>
  <c r="F471" i="42"/>
  <c r="S470" i="42"/>
  <c r="O470" i="42"/>
  <c r="P470" i="42" s="1"/>
  <c r="N470" i="42"/>
  <c r="M470" i="42"/>
  <c r="L470" i="42"/>
  <c r="K470" i="42"/>
  <c r="F470" i="42"/>
  <c r="N469" i="42"/>
  <c r="M469" i="42"/>
  <c r="L469" i="42"/>
  <c r="O469" i="42" s="1"/>
  <c r="P469" i="42" s="1"/>
  <c r="K469" i="42"/>
  <c r="S469" i="42" s="1"/>
  <c r="F469" i="42"/>
  <c r="S468" i="42"/>
  <c r="N468" i="42"/>
  <c r="M468" i="42"/>
  <c r="L468" i="42"/>
  <c r="K468" i="42"/>
  <c r="O468" i="42" s="1"/>
  <c r="P468" i="42" s="1"/>
  <c r="F468" i="42"/>
  <c r="N467" i="42"/>
  <c r="M467" i="42"/>
  <c r="L467" i="42"/>
  <c r="S467" i="42" s="1"/>
  <c r="K467" i="42"/>
  <c r="F467" i="42"/>
  <c r="N466" i="42"/>
  <c r="M466" i="42"/>
  <c r="L466" i="42"/>
  <c r="K466" i="42"/>
  <c r="F466" i="42"/>
  <c r="N465" i="42"/>
  <c r="M465" i="42"/>
  <c r="S465" i="42" s="1"/>
  <c r="L465" i="42"/>
  <c r="K465" i="42"/>
  <c r="F465" i="42"/>
  <c r="O464" i="42"/>
  <c r="P464" i="42" s="1"/>
  <c r="N464" i="42"/>
  <c r="M464" i="42"/>
  <c r="L464" i="42"/>
  <c r="K464" i="42"/>
  <c r="S464" i="42" s="1"/>
  <c r="F464" i="42"/>
  <c r="N463" i="42"/>
  <c r="M463" i="42"/>
  <c r="L463" i="42"/>
  <c r="O463" i="42" s="1"/>
  <c r="P463" i="42" s="1"/>
  <c r="K463" i="42"/>
  <c r="F463" i="42"/>
  <c r="S462" i="42"/>
  <c r="N462" i="42"/>
  <c r="M462" i="42"/>
  <c r="L462" i="42"/>
  <c r="K462" i="42"/>
  <c r="F462" i="42"/>
  <c r="N461" i="42"/>
  <c r="M461" i="42"/>
  <c r="L461" i="42"/>
  <c r="K461" i="42"/>
  <c r="O461" i="42" s="1"/>
  <c r="P461" i="42" s="1"/>
  <c r="F461" i="42"/>
  <c r="N460" i="42"/>
  <c r="M460" i="42"/>
  <c r="L460" i="42"/>
  <c r="K460" i="42"/>
  <c r="F460" i="42"/>
  <c r="O459" i="42"/>
  <c r="P459" i="42" s="1"/>
  <c r="N459" i="42"/>
  <c r="M459" i="42"/>
  <c r="L459" i="42"/>
  <c r="K459" i="42"/>
  <c r="S459" i="42" s="1"/>
  <c r="F459" i="42"/>
  <c r="S458" i="42"/>
  <c r="O458" i="42"/>
  <c r="P458" i="42" s="1"/>
  <c r="N458" i="42"/>
  <c r="M458" i="42"/>
  <c r="L458" i="42"/>
  <c r="K458" i="42"/>
  <c r="F458" i="42"/>
  <c r="S457" i="42"/>
  <c r="N457" i="42"/>
  <c r="M457" i="42"/>
  <c r="L457" i="42"/>
  <c r="K457" i="42"/>
  <c r="O457" i="42" s="1"/>
  <c r="P457" i="42" s="1"/>
  <c r="F457" i="42"/>
  <c r="N456" i="42"/>
  <c r="M456" i="42"/>
  <c r="L456" i="42"/>
  <c r="K456" i="42"/>
  <c r="F456" i="42"/>
  <c r="S455" i="42"/>
  <c r="N455" i="42"/>
  <c r="M455" i="42"/>
  <c r="O455" i="42" s="1"/>
  <c r="P455" i="42" s="1"/>
  <c r="L455" i="42"/>
  <c r="K455" i="42"/>
  <c r="F455" i="42"/>
  <c r="N454" i="42"/>
  <c r="M454" i="42"/>
  <c r="L454" i="42"/>
  <c r="K454" i="42"/>
  <c r="F454" i="42"/>
  <c r="N453" i="42"/>
  <c r="M453" i="42"/>
  <c r="L453" i="42"/>
  <c r="K453" i="42"/>
  <c r="F453" i="42"/>
  <c r="N452" i="42"/>
  <c r="M452" i="42"/>
  <c r="L452" i="42"/>
  <c r="O452" i="42" s="1"/>
  <c r="P452" i="42" s="1"/>
  <c r="K452" i="42"/>
  <c r="F452" i="42"/>
  <c r="N451" i="42"/>
  <c r="M451" i="42"/>
  <c r="S451" i="42" s="1"/>
  <c r="L451" i="42"/>
  <c r="K451" i="42"/>
  <c r="F451" i="42"/>
  <c r="S450" i="42"/>
  <c r="N450" i="42"/>
  <c r="M450" i="42"/>
  <c r="L450" i="42"/>
  <c r="K450" i="42"/>
  <c r="F450" i="42"/>
  <c r="S449" i="42"/>
  <c r="N449" i="42"/>
  <c r="M449" i="42"/>
  <c r="L449" i="42"/>
  <c r="O449" i="42" s="1"/>
  <c r="P449" i="42" s="1"/>
  <c r="K449" i="42"/>
  <c r="F449" i="42"/>
  <c r="N448" i="42"/>
  <c r="M448" i="42"/>
  <c r="L448" i="42"/>
  <c r="O448" i="42" s="1"/>
  <c r="P448" i="42" s="1"/>
  <c r="K448" i="42"/>
  <c r="F448" i="42"/>
  <c r="O447" i="42"/>
  <c r="P447" i="42" s="1"/>
  <c r="N447" i="42"/>
  <c r="M447" i="42"/>
  <c r="L447" i="42"/>
  <c r="K447" i="42"/>
  <c r="S447" i="42" s="1"/>
  <c r="F447" i="42"/>
  <c r="N446" i="42"/>
  <c r="M446" i="42"/>
  <c r="L446" i="42"/>
  <c r="K446" i="42"/>
  <c r="F446" i="42"/>
  <c r="N445" i="42"/>
  <c r="M445" i="42"/>
  <c r="L445" i="42"/>
  <c r="K445" i="42"/>
  <c r="O445" i="42" s="1"/>
  <c r="P445" i="42" s="1"/>
  <c r="F445" i="42"/>
  <c r="N444" i="42"/>
  <c r="O444" i="42" s="1"/>
  <c r="P444" i="42" s="1"/>
  <c r="M444" i="42"/>
  <c r="L444" i="42"/>
  <c r="S444" i="42" s="1"/>
  <c r="K444" i="42"/>
  <c r="F444" i="42"/>
  <c r="N443" i="42"/>
  <c r="M443" i="42"/>
  <c r="L443" i="42"/>
  <c r="K443" i="42"/>
  <c r="F443" i="42"/>
  <c r="S442" i="42"/>
  <c r="O442" i="42"/>
  <c r="P442" i="42" s="1"/>
  <c r="N442" i="42"/>
  <c r="M442" i="42"/>
  <c r="L442" i="42"/>
  <c r="K442" i="42"/>
  <c r="F442" i="42"/>
  <c r="N441" i="42"/>
  <c r="M441" i="42"/>
  <c r="L441" i="42"/>
  <c r="K441" i="42"/>
  <c r="F441" i="42"/>
  <c r="N440" i="42"/>
  <c r="M440" i="42"/>
  <c r="L440" i="42"/>
  <c r="K440" i="42"/>
  <c r="F440" i="42"/>
  <c r="P439" i="42"/>
  <c r="O439" i="42"/>
  <c r="N439" i="42"/>
  <c r="S439" i="42" s="1"/>
  <c r="M439" i="42"/>
  <c r="L439" i="42"/>
  <c r="K439" i="42"/>
  <c r="F439" i="42"/>
  <c r="O438" i="42"/>
  <c r="P438" i="42" s="1"/>
  <c r="N438" i="42"/>
  <c r="M438" i="42"/>
  <c r="S438" i="42" s="1"/>
  <c r="L438" i="42"/>
  <c r="K438" i="42"/>
  <c r="F438" i="42"/>
  <c r="N437" i="42"/>
  <c r="M437" i="42"/>
  <c r="L437" i="42"/>
  <c r="K437" i="42"/>
  <c r="S437" i="42" s="1"/>
  <c r="F437" i="42"/>
  <c r="N436" i="42"/>
  <c r="M436" i="42"/>
  <c r="S436" i="42" s="1"/>
  <c r="L436" i="42"/>
  <c r="K436" i="42"/>
  <c r="F436" i="42"/>
  <c r="N435" i="42"/>
  <c r="M435" i="42"/>
  <c r="L435" i="42"/>
  <c r="K435" i="42"/>
  <c r="F435" i="42"/>
  <c r="S434" i="42"/>
  <c r="O434" i="42"/>
  <c r="P434" i="42" s="1"/>
  <c r="N434" i="42"/>
  <c r="M434" i="42"/>
  <c r="L434" i="42"/>
  <c r="K434" i="42"/>
  <c r="F434" i="42"/>
  <c r="N433" i="42"/>
  <c r="M433" i="42"/>
  <c r="L433" i="42"/>
  <c r="K433" i="42"/>
  <c r="S433" i="42" s="1"/>
  <c r="F433" i="42"/>
  <c r="N432" i="42"/>
  <c r="M432" i="42"/>
  <c r="L432" i="42"/>
  <c r="K432" i="42"/>
  <c r="F432" i="42"/>
  <c r="N431" i="42"/>
  <c r="M431" i="42"/>
  <c r="L431" i="42"/>
  <c r="K431" i="42"/>
  <c r="F431" i="42"/>
  <c r="N430" i="42"/>
  <c r="M430" i="42"/>
  <c r="L430" i="42"/>
  <c r="K430" i="42"/>
  <c r="F430" i="42"/>
  <c r="S429" i="42"/>
  <c r="P429" i="42"/>
  <c r="O429" i="42"/>
  <c r="N429" i="42"/>
  <c r="M429" i="42"/>
  <c r="L429" i="42"/>
  <c r="K429" i="42"/>
  <c r="F429" i="42"/>
  <c r="S428" i="42"/>
  <c r="N428" i="42"/>
  <c r="M428" i="42"/>
  <c r="L428" i="42"/>
  <c r="K428" i="42"/>
  <c r="O428" i="42" s="1"/>
  <c r="P428" i="42" s="1"/>
  <c r="F428" i="42"/>
  <c r="N427" i="42"/>
  <c r="M427" i="42"/>
  <c r="L427" i="42"/>
  <c r="K427" i="42"/>
  <c r="F427" i="42"/>
  <c r="S426" i="42"/>
  <c r="N426" i="42"/>
  <c r="O426" i="42" s="1"/>
  <c r="P426" i="42" s="1"/>
  <c r="M426" i="42"/>
  <c r="L426" i="42"/>
  <c r="K426" i="42"/>
  <c r="F426" i="42"/>
  <c r="N425" i="42"/>
  <c r="M425" i="42"/>
  <c r="L425" i="42"/>
  <c r="K425" i="42"/>
  <c r="S425" i="42" s="1"/>
  <c r="F425" i="42"/>
  <c r="N424" i="42"/>
  <c r="M424" i="42"/>
  <c r="L424" i="42"/>
  <c r="K424" i="42"/>
  <c r="F424" i="42"/>
  <c r="O423" i="42"/>
  <c r="P423" i="42" s="1"/>
  <c r="N423" i="42"/>
  <c r="S423" i="42" s="1"/>
  <c r="M423" i="42"/>
  <c r="L423" i="42"/>
  <c r="K423" i="42"/>
  <c r="F423" i="42"/>
  <c r="O422" i="42"/>
  <c r="P422" i="42" s="1"/>
  <c r="N422" i="42"/>
  <c r="M422" i="42"/>
  <c r="L422" i="42"/>
  <c r="K422" i="42"/>
  <c r="S422" i="42" s="1"/>
  <c r="F422" i="42"/>
  <c r="N421" i="42"/>
  <c r="M421" i="42"/>
  <c r="L421" i="42"/>
  <c r="K421" i="42"/>
  <c r="F421" i="42"/>
  <c r="N420" i="42"/>
  <c r="M420" i="42"/>
  <c r="L420" i="42"/>
  <c r="K420" i="42"/>
  <c r="F420" i="42"/>
  <c r="N419" i="42"/>
  <c r="M419" i="42"/>
  <c r="L419" i="42"/>
  <c r="K419" i="42"/>
  <c r="F419" i="42"/>
  <c r="S418" i="42"/>
  <c r="N418" i="42"/>
  <c r="M418" i="42"/>
  <c r="L418" i="42"/>
  <c r="K418" i="42"/>
  <c r="O418" i="42" s="1"/>
  <c r="P418" i="42" s="1"/>
  <c r="F418" i="42"/>
  <c r="N417" i="42"/>
  <c r="M417" i="42"/>
  <c r="L417" i="42"/>
  <c r="K417" i="42"/>
  <c r="S417" i="42" s="1"/>
  <c r="F417" i="42"/>
  <c r="N416" i="42"/>
  <c r="M416" i="42"/>
  <c r="L416" i="42"/>
  <c r="K416" i="42"/>
  <c r="F416" i="42"/>
  <c r="S415" i="42"/>
  <c r="P415" i="42"/>
  <c r="N415" i="42"/>
  <c r="M415" i="42"/>
  <c r="L415" i="42"/>
  <c r="K415" i="42"/>
  <c r="O415" i="42" s="1"/>
  <c r="F415" i="42"/>
  <c r="N414" i="42"/>
  <c r="M414" i="42"/>
  <c r="L414" i="42"/>
  <c r="S414" i="42" s="1"/>
  <c r="K414" i="42"/>
  <c r="F414" i="42"/>
  <c r="N413" i="42"/>
  <c r="M413" i="42"/>
  <c r="L413" i="42"/>
  <c r="K413" i="42"/>
  <c r="F413" i="42"/>
  <c r="O412" i="42"/>
  <c r="P412" i="42" s="1"/>
  <c r="N412" i="42"/>
  <c r="M412" i="42"/>
  <c r="L412" i="42"/>
  <c r="K412" i="42"/>
  <c r="S412" i="42" s="1"/>
  <c r="F412" i="42"/>
  <c r="N411" i="42"/>
  <c r="M411" i="42"/>
  <c r="L411" i="42"/>
  <c r="O411" i="42" s="1"/>
  <c r="P411" i="42" s="1"/>
  <c r="K411" i="42"/>
  <c r="S411" i="42" s="1"/>
  <c r="F411" i="42"/>
  <c r="N410" i="42"/>
  <c r="M410" i="42"/>
  <c r="L410" i="42"/>
  <c r="K410" i="42"/>
  <c r="O410" i="42" s="1"/>
  <c r="P410" i="42" s="1"/>
  <c r="F410" i="42"/>
  <c r="N409" i="42"/>
  <c r="O409" i="42" s="1"/>
  <c r="P409" i="42" s="1"/>
  <c r="M409" i="42"/>
  <c r="L409" i="42"/>
  <c r="K409" i="42"/>
  <c r="F409" i="42"/>
  <c r="N408" i="42"/>
  <c r="M408" i="42"/>
  <c r="L408" i="42"/>
  <c r="K408" i="42"/>
  <c r="F408" i="42"/>
  <c r="S407" i="42"/>
  <c r="O407" i="42"/>
  <c r="P407" i="42" s="1"/>
  <c r="N407" i="42"/>
  <c r="M407" i="42"/>
  <c r="L407" i="42"/>
  <c r="K407" i="42"/>
  <c r="F407" i="42"/>
  <c r="N406" i="42"/>
  <c r="M406" i="42"/>
  <c r="S406" i="42" s="1"/>
  <c r="L406" i="42"/>
  <c r="K406" i="42"/>
  <c r="F406" i="42"/>
  <c r="N405" i="42"/>
  <c r="M405" i="42"/>
  <c r="L405" i="42"/>
  <c r="K405" i="42"/>
  <c r="F405" i="42"/>
  <c r="S404" i="42"/>
  <c r="N404" i="42"/>
  <c r="O404" i="42" s="1"/>
  <c r="P404" i="42" s="1"/>
  <c r="M404" i="42"/>
  <c r="L404" i="42"/>
  <c r="K404" i="42"/>
  <c r="F404" i="42"/>
  <c r="N403" i="42"/>
  <c r="M403" i="42"/>
  <c r="S403" i="42" s="1"/>
  <c r="L403" i="42"/>
  <c r="K403" i="42"/>
  <c r="O403" i="42" s="1"/>
  <c r="P403" i="42" s="1"/>
  <c r="F403" i="42"/>
  <c r="N402" i="42"/>
  <c r="M402" i="42"/>
  <c r="L402" i="42"/>
  <c r="K402" i="42"/>
  <c r="F402" i="42"/>
  <c r="S401" i="42"/>
  <c r="N401" i="42"/>
  <c r="M401" i="42"/>
  <c r="O401" i="42" s="1"/>
  <c r="P401" i="42" s="1"/>
  <c r="L401" i="42"/>
  <c r="K401" i="42"/>
  <c r="F401" i="42"/>
  <c r="N400" i="42"/>
  <c r="M400" i="42"/>
  <c r="L400" i="42"/>
  <c r="K400" i="42"/>
  <c r="F400" i="42"/>
  <c r="N399" i="42"/>
  <c r="M399" i="42"/>
  <c r="L399" i="42"/>
  <c r="K399" i="42"/>
  <c r="F399" i="42"/>
  <c r="N398" i="42"/>
  <c r="M398" i="42"/>
  <c r="L398" i="42"/>
  <c r="K398" i="42"/>
  <c r="F398" i="42"/>
  <c r="N397" i="42"/>
  <c r="O397" i="42" s="1"/>
  <c r="P397" i="42" s="1"/>
  <c r="M397" i="42"/>
  <c r="L397" i="42"/>
  <c r="K397" i="42"/>
  <c r="F397" i="42"/>
  <c r="N396" i="42"/>
  <c r="M396" i="42"/>
  <c r="L396" i="42"/>
  <c r="K396" i="42"/>
  <c r="F396" i="42"/>
  <c r="N395" i="42"/>
  <c r="M395" i="42"/>
  <c r="L395" i="42"/>
  <c r="K395" i="42"/>
  <c r="F395" i="42"/>
  <c r="N394" i="42"/>
  <c r="M394" i="42"/>
  <c r="L394" i="42"/>
  <c r="K394" i="42"/>
  <c r="F394" i="42"/>
  <c r="N393" i="42"/>
  <c r="M393" i="42"/>
  <c r="L393" i="42"/>
  <c r="S393" i="42" s="1"/>
  <c r="K393" i="42"/>
  <c r="F393" i="42"/>
  <c r="N392" i="42"/>
  <c r="M392" i="42"/>
  <c r="L392" i="42"/>
  <c r="S392" i="42" s="1"/>
  <c r="K392" i="42"/>
  <c r="F392" i="42"/>
  <c r="N391" i="42"/>
  <c r="M391" i="42"/>
  <c r="L391" i="42"/>
  <c r="K391" i="42"/>
  <c r="F391" i="42"/>
  <c r="N390" i="42"/>
  <c r="M390" i="42"/>
  <c r="L390" i="42"/>
  <c r="K390" i="42"/>
  <c r="F390" i="42"/>
  <c r="N389" i="42"/>
  <c r="M389" i="42"/>
  <c r="S389" i="42" s="1"/>
  <c r="L389" i="42"/>
  <c r="K389" i="42"/>
  <c r="O389" i="42" s="1"/>
  <c r="P389" i="42" s="1"/>
  <c r="F389" i="42"/>
  <c r="N388" i="42"/>
  <c r="M388" i="42"/>
  <c r="L388" i="42"/>
  <c r="K388" i="42"/>
  <c r="F388" i="42"/>
  <c r="N387" i="42"/>
  <c r="M387" i="42"/>
  <c r="L387" i="42"/>
  <c r="K387" i="42"/>
  <c r="S387" i="42" s="1"/>
  <c r="F387" i="42"/>
  <c r="N386" i="42"/>
  <c r="M386" i="42"/>
  <c r="L386" i="42"/>
  <c r="K386" i="42"/>
  <c r="F386" i="42"/>
  <c r="S385" i="42"/>
  <c r="N385" i="42"/>
  <c r="M385" i="42"/>
  <c r="L385" i="42"/>
  <c r="K385" i="42"/>
  <c r="O385" i="42" s="1"/>
  <c r="P385" i="42" s="1"/>
  <c r="F385" i="42"/>
  <c r="S384" i="42"/>
  <c r="O384" i="42"/>
  <c r="P384" i="42" s="1"/>
  <c r="N384" i="42"/>
  <c r="M384" i="42"/>
  <c r="L384" i="42"/>
  <c r="K384" i="42"/>
  <c r="F384" i="42"/>
  <c r="N383" i="42"/>
  <c r="M383" i="42"/>
  <c r="L383" i="42"/>
  <c r="K383" i="42"/>
  <c r="F383" i="42"/>
  <c r="S382" i="42"/>
  <c r="O382" i="42"/>
  <c r="P382" i="42" s="1"/>
  <c r="N382" i="42"/>
  <c r="M382" i="42"/>
  <c r="L382" i="42"/>
  <c r="K382" i="42"/>
  <c r="F382" i="42"/>
  <c r="N381" i="42"/>
  <c r="M381" i="42"/>
  <c r="L381" i="42"/>
  <c r="K381" i="42"/>
  <c r="O381" i="42" s="1"/>
  <c r="P381" i="42" s="1"/>
  <c r="F381" i="42"/>
  <c r="N380" i="42"/>
  <c r="M380" i="42"/>
  <c r="L380" i="42"/>
  <c r="S380" i="42" s="1"/>
  <c r="K380" i="42"/>
  <c r="F380" i="42"/>
  <c r="S379" i="42"/>
  <c r="P379" i="42"/>
  <c r="O379" i="42"/>
  <c r="N379" i="42"/>
  <c r="M379" i="42"/>
  <c r="L379" i="42"/>
  <c r="K379" i="42"/>
  <c r="F379" i="42"/>
  <c r="N378" i="42"/>
  <c r="M378" i="42"/>
  <c r="O378" i="42" s="1"/>
  <c r="P378" i="42" s="1"/>
  <c r="L378" i="42"/>
  <c r="S378" i="42" s="1"/>
  <c r="K378" i="42"/>
  <c r="F378" i="42"/>
  <c r="N377" i="42"/>
  <c r="M377" i="42"/>
  <c r="L377" i="42"/>
  <c r="K377" i="42"/>
  <c r="F377" i="42"/>
  <c r="O376" i="42"/>
  <c r="P376" i="42" s="1"/>
  <c r="N376" i="42"/>
  <c r="M376" i="42"/>
  <c r="S376" i="42" s="1"/>
  <c r="L376" i="42"/>
  <c r="K376" i="42"/>
  <c r="F376" i="42"/>
  <c r="O375" i="42"/>
  <c r="P375" i="42" s="1"/>
  <c r="N375" i="42"/>
  <c r="M375" i="42"/>
  <c r="L375" i="42"/>
  <c r="K375" i="42"/>
  <c r="F375" i="42"/>
  <c r="N374" i="42"/>
  <c r="M374" i="42"/>
  <c r="L374" i="42"/>
  <c r="K374" i="42"/>
  <c r="O374" i="42" s="1"/>
  <c r="P374" i="42" s="1"/>
  <c r="F374" i="42"/>
  <c r="N373" i="42"/>
  <c r="M373" i="42"/>
  <c r="L373" i="42"/>
  <c r="K373" i="42"/>
  <c r="F373" i="42"/>
  <c r="N372" i="42"/>
  <c r="M372" i="42"/>
  <c r="S372" i="42" s="1"/>
  <c r="L372" i="42"/>
  <c r="K372" i="42"/>
  <c r="O372" i="42" s="1"/>
  <c r="P372" i="42" s="1"/>
  <c r="F372" i="42"/>
  <c r="N371" i="42"/>
  <c r="M371" i="42"/>
  <c r="O371" i="42" s="1"/>
  <c r="P371" i="42" s="1"/>
  <c r="L371" i="42"/>
  <c r="S371" i="42" s="1"/>
  <c r="K371" i="42"/>
  <c r="F371" i="42"/>
  <c r="N370" i="42"/>
  <c r="M370" i="42"/>
  <c r="L370" i="42"/>
  <c r="K370" i="42"/>
  <c r="S370" i="42" s="1"/>
  <c r="F370" i="42"/>
  <c r="N369" i="42"/>
  <c r="M369" i="42"/>
  <c r="L369" i="42"/>
  <c r="K369" i="42"/>
  <c r="F369" i="42"/>
  <c r="S368" i="42"/>
  <c r="N368" i="42"/>
  <c r="M368" i="42"/>
  <c r="L368" i="42"/>
  <c r="K368" i="42"/>
  <c r="O368" i="42" s="1"/>
  <c r="P368" i="42" s="1"/>
  <c r="F368" i="42"/>
  <c r="N367" i="42"/>
  <c r="M367" i="42"/>
  <c r="L367" i="42"/>
  <c r="K367" i="42"/>
  <c r="O367" i="42" s="1"/>
  <c r="P367" i="42" s="1"/>
  <c r="F367" i="42"/>
  <c r="N366" i="42"/>
  <c r="M366" i="42"/>
  <c r="L366" i="42"/>
  <c r="K366" i="42"/>
  <c r="F366" i="42"/>
  <c r="N365" i="42"/>
  <c r="M365" i="42"/>
  <c r="S365" i="42" s="1"/>
  <c r="L365" i="42"/>
  <c r="K365" i="42"/>
  <c r="O365" i="42" s="1"/>
  <c r="P365" i="42" s="1"/>
  <c r="F365" i="42"/>
  <c r="N364" i="42"/>
  <c r="M364" i="42"/>
  <c r="L364" i="42"/>
  <c r="K364" i="42"/>
  <c r="S364" i="42" s="1"/>
  <c r="F364" i="42"/>
  <c r="N363" i="42"/>
  <c r="M363" i="42"/>
  <c r="L363" i="42"/>
  <c r="S363" i="42" s="1"/>
  <c r="K363" i="42"/>
  <c r="F363" i="42"/>
  <c r="N362" i="42"/>
  <c r="O362" i="42" s="1"/>
  <c r="P362" i="42" s="1"/>
  <c r="M362" i="42"/>
  <c r="L362" i="42"/>
  <c r="K362" i="42"/>
  <c r="F362" i="42"/>
  <c r="N361" i="42"/>
  <c r="M361" i="42"/>
  <c r="L361" i="42"/>
  <c r="K361" i="42"/>
  <c r="S361" i="42" s="1"/>
  <c r="F361" i="42"/>
  <c r="N360" i="42"/>
  <c r="M360" i="42"/>
  <c r="L360" i="42"/>
  <c r="K360" i="42"/>
  <c r="S360" i="42" s="1"/>
  <c r="F360" i="42"/>
  <c r="N359" i="42"/>
  <c r="M359" i="42"/>
  <c r="L359" i="42"/>
  <c r="K359" i="42"/>
  <c r="F359" i="42"/>
  <c r="S358" i="42"/>
  <c r="N358" i="42"/>
  <c r="M358" i="42"/>
  <c r="L358" i="42"/>
  <c r="K358" i="42"/>
  <c r="O358" i="42" s="1"/>
  <c r="P358" i="42" s="1"/>
  <c r="F358" i="42"/>
  <c r="N357" i="42"/>
  <c r="M357" i="42"/>
  <c r="L357" i="42"/>
  <c r="S357" i="42" s="1"/>
  <c r="K357" i="42"/>
  <c r="F357" i="42"/>
  <c r="N356" i="42"/>
  <c r="M356" i="42"/>
  <c r="L356" i="42"/>
  <c r="K356" i="42"/>
  <c r="F356" i="42"/>
  <c r="O355" i="42"/>
  <c r="P355" i="42" s="1"/>
  <c r="N355" i="42"/>
  <c r="M355" i="42"/>
  <c r="L355" i="42"/>
  <c r="S355" i="42" s="1"/>
  <c r="K355" i="42"/>
  <c r="F355" i="42"/>
  <c r="N354" i="42"/>
  <c r="M354" i="42"/>
  <c r="L354" i="42"/>
  <c r="K354" i="42"/>
  <c r="S354" i="42" s="1"/>
  <c r="F354" i="42"/>
  <c r="N353" i="42"/>
  <c r="M353" i="42"/>
  <c r="L353" i="42"/>
  <c r="K353" i="42"/>
  <c r="F353" i="42"/>
  <c r="N352" i="42"/>
  <c r="O352" i="42" s="1"/>
  <c r="P352" i="42" s="1"/>
  <c r="M352" i="42"/>
  <c r="L352" i="42"/>
  <c r="K352" i="42"/>
  <c r="F352" i="42"/>
  <c r="N351" i="42"/>
  <c r="M351" i="42"/>
  <c r="L351" i="42"/>
  <c r="S351" i="42" s="1"/>
  <c r="K351" i="42"/>
  <c r="F351" i="42"/>
  <c r="N350" i="42"/>
  <c r="M350" i="42"/>
  <c r="S350" i="42" s="1"/>
  <c r="L350" i="42"/>
  <c r="K350" i="42"/>
  <c r="F350" i="42"/>
  <c r="S349" i="42"/>
  <c r="N349" i="42"/>
  <c r="M349" i="42"/>
  <c r="L349" i="42"/>
  <c r="K349" i="42"/>
  <c r="O349" i="42" s="1"/>
  <c r="P349" i="42" s="1"/>
  <c r="F349" i="42"/>
  <c r="N348" i="42"/>
  <c r="M348" i="42"/>
  <c r="L348" i="42"/>
  <c r="K348" i="42"/>
  <c r="S348" i="42" s="1"/>
  <c r="F348" i="42"/>
  <c r="N347" i="42"/>
  <c r="M347" i="42"/>
  <c r="L347" i="42"/>
  <c r="S347" i="42" s="1"/>
  <c r="K347" i="42"/>
  <c r="F347" i="42"/>
  <c r="S346" i="42"/>
  <c r="N346" i="42"/>
  <c r="M346" i="42"/>
  <c r="L346" i="42"/>
  <c r="O346" i="42" s="1"/>
  <c r="P346" i="42" s="1"/>
  <c r="K346" i="42"/>
  <c r="F346" i="42"/>
  <c r="S345" i="42"/>
  <c r="N345" i="42"/>
  <c r="M345" i="42"/>
  <c r="L345" i="42"/>
  <c r="O345" i="42" s="1"/>
  <c r="P345" i="42" s="1"/>
  <c r="K345" i="42"/>
  <c r="F345" i="42"/>
  <c r="N344" i="42"/>
  <c r="M344" i="42"/>
  <c r="L344" i="42"/>
  <c r="K344" i="42"/>
  <c r="F344" i="42"/>
  <c r="N343" i="42"/>
  <c r="O343" i="42" s="1"/>
  <c r="P343" i="42" s="1"/>
  <c r="M343" i="42"/>
  <c r="L343" i="42"/>
  <c r="K343" i="42"/>
  <c r="S343" i="42" s="1"/>
  <c r="F343" i="42"/>
  <c r="P342" i="42"/>
  <c r="O342" i="42"/>
  <c r="N342" i="42"/>
  <c r="M342" i="42"/>
  <c r="L342" i="42"/>
  <c r="K342" i="42"/>
  <c r="S342" i="42" s="1"/>
  <c r="F342" i="42"/>
  <c r="N341" i="42"/>
  <c r="M341" i="42"/>
  <c r="L341" i="42"/>
  <c r="K341" i="42"/>
  <c r="O341" i="42" s="1"/>
  <c r="P341" i="42" s="1"/>
  <c r="F341" i="42"/>
  <c r="N340" i="42"/>
  <c r="M340" i="42"/>
  <c r="L340" i="42"/>
  <c r="K340" i="42"/>
  <c r="F340" i="42"/>
  <c r="O339" i="42"/>
  <c r="P339" i="42" s="1"/>
  <c r="N339" i="42"/>
  <c r="M339" i="42"/>
  <c r="L339" i="42"/>
  <c r="K339" i="42"/>
  <c r="S339" i="42" s="1"/>
  <c r="F339" i="42"/>
  <c r="N338" i="42"/>
  <c r="M338" i="42"/>
  <c r="L338" i="42"/>
  <c r="S338" i="42" s="1"/>
  <c r="K338" i="42"/>
  <c r="F338" i="42"/>
  <c r="N337" i="42"/>
  <c r="M337" i="42"/>
  <c r="S337" i="42" s="1"/>
  <c r="L337" i="42"/>
  <c r="K337" i="42"/>
  <c r="F337" i="42"/>
  <c r="S336" i="42"/>
  <c r="N336" i="42"/>
  <c r="M336" i="42"/>
  <c r="L336" i="42"/>
  <c r="K336" i="42"/>
  <c r="O336" i="42" s="1"/>
  <c r="P336" i="42" s="1"/>
  <c r="F336" i="42"/>
  <c r="N335" i="42"/>
  <c r="M335" i="42"/>
  <c r="L335" i="42"/>
  <c r="O335" i="42" s="1"/>
  <c r="P335" i="42" s="1"/>
  <c r="K335" i="42"/>
  <c r="S335" i="42" s="1"/>
  <c r="F335" i="42"/>
  <c r="N334" i="42"/>
  <c r="M334" i="42"/>
  <c r="L334" i="42"/>
  <c r="K334" i="42"/>
  <c r="O334" i="42" s="1"/>
  <c r="P334" i="42" s="1"/>
  <c r="F334" i="42"/>
  <c r="P333" i="42"/>
  <c r="O333" i="42"/>
  <c r="N333" i="42"/>
  <c r="M333" i="42"/>
  <c r="L333" i="42"/>
  <c r="K333" i="42"/>
  <c r="S333" i="42" s="1"/>
  <c r="F333" i="42"/>
  <c r="S332" i="42"/>
  <c r="O332" i="42"/>
  <c r="P332" i="42" s="1"/>
  <c r="N332" i="42"/>
  <c r="M332" i="42"/>
  <c r="L332" i="42"/>
  <c r="K332" i="42"/>
  <c r="F332" i="42"/>
  <c r="N331" i="42"/>
  <c r="M331" i="42"/>
  <c r="L331" i="42"/>
  <c r="K331" i="42"/>
  <c r="S331" i="42" s="1"/>
  <c r="F331" i="42"/>
  <c r="N330" i="42"/>
  <c r="O330" i="42" s="1"/>
  <c r="P330" i="42" s="1"/>
  <c r="M330" i="42"/>
  <c r="L330" i="42"/>
  <c r="K330" i="42"/>
  <c r="S330" i="42" s="1"/>
  <c r="F330" i="42"/>
  <c r="O329" i="42"/>
  <c r="P329" i="42" s="1"/>
  <c r="N329" i="42"/>
  <c r="M329" i="42"/>
  <c r="L329" i="42"/>
  <c r="K329" i="42"/>
  <c r="S329" i="42" s="1"/>
  <c r="F329" i="42"/>
  <c r="N328" i="42"/>
  <c r="M328" i="42"/>
  <c r="L328" i="42"/>
  <c r="K328" i="42"/>
  <c r="S328" i="42" s="1"/>
  <c r="F328" i="42"/>
  <c r="N327" i="42"/>
  <c r="M327" i="42"/>
  <c r="S327" i="42" s="1"/>
  <c r="L327" i="42"/>
  <c r="K327" i="42"/>
  <c r="F327" i="42"/>
  <c r="S326" i="42"/>
  <c r="N326" i="42"/>
  <c r="M326" i="42"/>
  <c r="L326" i="42"/>
  <c r="K326" i="42"/>
  <c r="O326" i="42" s="1"/>
  <c r="P326" i="42" s="1"/>
  <c r="F326" i="42"/>
  <c r="N325" i="42"/>
  <c r="M325" i="42"/>
  <c r="L325" i="42"/>
  <c r="K325" i="42"/>
  <c r="S325" i="42" s="1"/>
  <c r="F325" i="42"/>
  <c r="N324" i="42"/>
  <c r="M324" i="42"/>
  <c r="L324" i="42"/>
  <c r="K324" i="42"/>
  <c r="F324" i="42"/>
  <c r="S323" i="42"/>
  <c r="O323" i="42"/>
  <c r="P323" i="42" s="1"/>
  <c r="N323" i="42"/>
  <c r="M323" i="42"/>
  <c r="L323" i="42"/>
  <c r="K323" i="42"/>
  <c r="F323" i="42"/>
  <c r="N322" i="42"/>
  <c r="M322" i="42"/>
  <c r="S322" i="42" s="1"/>
  <c r="L322" i="42"/>
  <c r="K322" i="42"/>
  <c r="F322" i="42"/>
  <c r="N321" i="42"/>
  <c r="M321" i="42"/>
  <c r="L321" i="42"/>
  <c r="K321" i="42"/>
  <c r="F321" i="42"/>
  <c r="N320" i="42"/>
  <c r="O320" i="42" s="1"/>
  <c r="P320" i="42" s="1"/>
  <c r="M320" i="42"/>
  <c r="L320" i="42"/>
  <c r="K320" i="42"/>
  <c r="S320" i="42" s="1"/>
  <c r="F320" i="42"/>
  <c r="N319" i="42"/>
  <c r="M319" i="42"/>
  <c r="L319" i="42"/>
  <c r="S319" i="42" s="1"/>
  <c r="K319" i="42"/>
  <c r="F319" i="42"/>
  <c r="N318" i="42"/>
  <c r="M318" i="42"/>
  <c r="L318" i="42"/>
  <c r="K318" i="42"/>
  <c r="F318" i="42"/>
  <c r="N317" i="42"/>
  <c r="M317" i="42"/>
  <c r="S317" i="42" s="1"/>
  <c r="L317" i="42"/>
  <c r="K317" i="42"/>
  <c r="O317" i="42" s="1"/>
  <c r="P317" i="42" s="1"/>
  <c r="F317" i="42"/>
  <c r="N316" i="42"/>
  <c r="M316" i="42"/>
  <c r="L316" i="42"/>
  <c r="K316" i="42"/>
  <c r="S316" i="42" s="1"/>
  <c r="F316" i="42"/>
  <c r="N315" i="42"/>
  <c r="M315" i="42"/>
  <c r="L315" i="42"/>
  <c r="O315" i="42" s="1"/>
  <c r="P315" i="42" s="1"/>
  <c r="K315" i="42"/>
  <c r="F315" i="42"/>
  <c r="S314" i="42"/>
  <c r="O314" i="42"/>
  <c r="P314" i="42" s="1"/>
  <c r="N314" i="42"/>
  <c r="M314" i="42"/>
  <c r="L314" i="42"/>
  <c r="K314" i="42"/>
  <c r="F314" i="42"/>
  <c r="S313" i="42"/>
  <c r="N313" i="42"/>
  <c r="M313" i="42"/>
  <c r="L313" i="42"/>
  <c r="K313" i="42"/>
  <c r="O313" i="42" s="1"/>
  <c r="P313" i="42" s="1"/>
  <c r="F313" i="42"/>
  <c r="N312" i="42"/>
  <c r="M312" i="42"/>
  <c r="L312" i="42"/>
  <c r="K312" i="42"/>
  <c r="S312" i="42" s="1"/>
  <c r="F312" i="42"/>
  <c r="N311" i="42"/>
  <c r="M311" i="42"/>
  <c r="L311" i="42"/>
  <c r="K311" i="42"/>
  <c r="F311" i="42"/>
  <c r="S310" i="42"/>
  <c r="O310" i="42"/>
  <c r="P310" i="42" s="1"/>
  <c r="N310" i="42"/>
  <c r="M310" i="42"/>
  <c r="L310" i="42"/>
  <c r="K310" i="42"/>
  <c r="F310" i="42"/>
  <c r="N309" i="42"/>
  <c r="M309" i="42"/>
  <c r="L309" i="42"/>
  <c r="K309" i="42"/>
  <c r="O309" i="42" s="1"/>
  <c r="P309" i="42" s="1"/>
  <c r="F309" i="42"/>
  <c r="N308" i="42"/>
  <c r="M308" i="42"/>
  <c r="L308" i="42"/>
  <c r="K308" i="42"/>
  <c r="F308" i="42"/>
  <c r="O307" i="42"/>
  <c r="P307" i="42" s="1"/>
  <c r="N307" i="42"/>
  <c r="M307" i="42"/>
  <c r="L307" i="42"/>
  <c r="K307" i="42"/>
  <c r="S307" i="42" s="1"/>
  <c r="F307" i="42"/>
  <c r="N306" i="42"/>
  <c r="M306" i="42"/>
  <c r="L306" i="42"/>
  <c r="K306" i="42"/>
  <c r="S306" i="42" s="1"/>
  <c r="F306" i="42"/>
  <c r="N305" i="42"/>
  <c r="M305" i="42"/>
  <c r="L305" i="42"/>
  <c r="K305" i="42"/>
  <c r="F305" i="42"/>
  <c r="N304" i="42"/>
  <c r="M304" i="42"/>
  <c r="L304" i="42"/>
  <c r="O304" i="42" s="1"/>
  <c r="P304" i="42" s="1"/>
  <c r="K304" i="42"/>
  <c r="F304" i="42"/>
  <c r="N303" i="42"/>
  <c r="M303" i="42"/>
  <c r="L303" i="42"/>
  <c r="S303" i="42" s="1"/>
  <c r="K303" i="42"/>
  <c r="F303" i="42"/>
  <c r="N302" i="42"/>
  <c r="M302" i="42"/>
  <c r="S302" i="42" s="1"/>
  <c r="L302" i="42"/>
  <c r="K302" i="42"/>
  <c r="F302" i="42"/>
  <c r="S301" i="42"/>
  <c r="N301" i="42"/>
  <c r="M301" i="42"/>
  <c r="L301" i="42"/>
  <c r="K301" i="42"/>
  <c r="O301" i="42" s="1"/>
  <c r="P301" i="42" s="1"/>
  <c r="F301" i="42"/>
  <c r="N300" i="42"/>
  <c r="M300" i="42"/>
  <c r="L300" i="42"/>
  <c r="K300" i="42"/>
  <c r="S300" i="42" s="1"/>
  <c r="F300" i="42"/>
  <c r="N299" i="42"/>
  <c r="M299" i="42"/>
  <c r="L299" i="42"/>
  <c r="S299" i="42" s="1"/>
  <c r="K299" i="42"/>
  <c r="F299" i="42"/>
  <c r="S298" i="42"/>
  <c r="N298" i="42"/>
  <c r="M298" i="42"/>
  <c r="L298" i="42"/>
  <c r="O298" i="42" s="1"/>
  <c r="P298" i="42" s="1"/>
  <c r="K298" i="42"/>
  <c r="F298" i="42"/>
  <c r="S297" i="42"/>
  <c r="N297" i="42"/>
  <c r="M297" i="42"/>
  <c r="L297" i="42"/>
  <c r="O297" i="42" s="1"/>
  <c r="P297" i="42" s="1"/>
  <c r="K297" i="42"/>
  <c r="F297" i="42"/>
  <c r="N296" i="42"/>
  <c r="M296" i="42"/>
  <c r="L296" i="42"/>
  <c r="K296" i="42"/>
  <c r="S296" i="42" s="1"/>
  <c r="F296" i="42"/>
  <c r="P295" i="42"/>
  <c r="O295" i="42"/>
  <c r="N295" i="42"/>
  <c r="M295" i="42"/>
  <c r="L295" i="42"/>
  <c r="K295" i="42"/>
  <c r="S295" i="42" s="1"/>
  <c r="F295" i="42"/>
  <c r="S294" i="42"/>
  <c r="N294" i="42"/>
  <c r="M294" i="42"/>
  <c r="L294" i="42"/>
  <c r="K294" i="42"/>
  <c r="O294" i="42" s="1"/>
  <c r="P294" i="42" s="1"/>
  <c r="F294" i="42"/>
  <c r="N293" i="42"/>
  <c r="M293" i="42"/>
  <c r="L293" i="42"/>
  <c r="K293" i="42"/>
  <c r="S293" i="42" s="1"/>
  <c r="F293" i="42"/>
  <c r="N292" i="42"/>
  <c r="O292" i="42" s="1"/>
  <c r="P292" i="42" s="1"/>
  <c r="M292" i="42"/>
  <c r="L292" i="42"/>
  <c r="K292" i="42"/>
  <c r="S292" i="42" s="1"/>
  <c r="F292" i="42"/>
  <c r="P291" i="42"/>
  <c r="O291" i="42"/>
  <c r="N291" i="42"/>
  <c r="M291" i="42"/>
  <c r="L291" i="42"/>
  <c r="K291" i="42"/>
  <c r="S291" i="42" s="1"/>
  <c r="F291" i="42"/>
  <c r="N290" i="42"/>
  <c r="M290" i="42"/>
  <c r="L290" i="42"/>
  <c r="K290" i="42"/>
  <c r="S290" i="42" s="1"/>
  <c r="F290" i="42"/>
  <c r="N289" i="42"/>
  <c r="M289" i="42"/>
  <c r="L289" i="42"/>
  <c r="K289" i="42"/>
  <c r="F289" i="42"/>
  <c r="S288" i="42"/>
  <c r="N288" i="42"/>
  <c r="M288" i="42"/>
  <c r="O288" i="42" s="1"/>
  <c r="P288" i="42" s="1"/>
  <c r="L288" i="42"/>
  <c r="K288" i="42"/>
  <c r="F288" i="42"/>
  <c r="N287" i="42"/>
  <c r="M287" i="42"/>
  <c r="L287" i="42"/>
  <c r="S287" i="42" s="1"/>
  <c r="K287" i="42"/>
  <c r="F287" i="42"/>
  <c r="N286" i="42"/>
  <c r="M286" i="42"/>
  <c r="L286" i="42"/>
  <c r="K286" i="42"/>
  <c r="F286" i="42"/>
  <c r="N285" i="42"/>
  <c r="M285" i="42"/>
  <c r="L285" i="42"/>
  <c r="O285" i="42" s="1"/>
  <c r="P285" i="42" s="1"/>
  <c r="K285" i="42"/>
  <c r="F285" i="42"/>
  <c r="N284" i="42"/>
  <c r="M284" i="42"/>
  <c r="L284" i="42"/>
  <c r="K284" i="42"/>
  <c r="O284" i="42" s="1"/>
  <c r="P284" i="42" s="1"/>
  <c r="F284" i="42"/>
  <c r="N283" i="42"/>
  <c r="M283" i="42"/>
  <c r="O283" i="42" s="1"/>
  <c r="P283" i="42" s="1"/>
  <c r="L283" i="42"/>
  <c r="K283" i="42"/>
  <c r="S283" i="42" s="1"/>
  <c r="F283" i="42"/>
  <c r="S282" i="42"/>
  <c r="N282" i="42"/>
  <c r="M282" i="42"/>
  <c r="L282" i="42"/>
  <c r="K282" i="42"/>
  <c r="O282" i="42" s="1"/>
  <c r="P282" i="42" s="1"/>
  <c r="F282" i="42"/>
  <c r="N281" i="42"/>
  <c r="M281" i="42"/>
  <c r="L281" i="42"/>
  <c r="K281" i="42"/>
  <c r="F281" i="42"/>
  <c r="N280" i="42"/>
  <c r="M280" i="42"/>
  <c r="L280" i="42"/>
  <c r="O280" i="42" s="1"/>
  <c r="P280" i="42" s="1"/>
  <c r="K280" i="42"/>
  <c r="S280" i="42" s="1"/>
  <c r="F280" i="42"/>
  <c r="S279" i="42"/>
  <c r="N279" i="42"/>
  <c r="M279" i="42"/>
  <c r="L279" i="42"/>
  <c r="O279" i="42" s="1"/>
  <c r="P279" i="42" s="1"/>
  <c r="K279" i="42"/>
  <c r="F279" i="42"/>
  <c r="S278" i="42"/>
  <c r="N278" i="42"/>
  <c r="M278" i="42"/>
  <c r="L278" i="42"/>
  <c r="K278" i="42"/>
  <c r="O278" i="42" s="1"/>
  <c r="P278" i="42" s="1"/>
  <c r="F278" i="42"/>
  <c r="N277" i="42"/>
  <c r="M277" i="42"/>
  <c r="L277" i="42"/>
  <c r="K277" i="42"/>
  <c r="S277" i="42" s="1"/>
  <c r="F277" i="42"/>
  <c r="P276" i="42"/>
  <c r="O276" i="42"/>
  <c r="N276" i="42"/>
  <c r="M276" i="42"/>
  <c r="L276" i="42"/>
  <c r="K276" i="42"/>
  <c r="S276" i="42" s="1"/>
  <c r="F276" i="42"/>
  <c r="S275" i="42"/>
  <c r="P275" i="42"/>
  <c r="N275" i="42"/>
  <c r="M275" i="42"/>
  <c r="L275" i="42"/>
  <c r="K275" i="42"/>
  <c r="O275" i="42" s="1"/>
  <c r="F275" i="42"/>
  <c r="N274" i="42"/>
  <c r="M274" i="42"/>
  <c r="L274" i="42"/>
  <c r="K274" i="42"/>
  <c r="S274" i="42" s="1"/>
  <c r="F274" i="42"/>
  <c r="N273" i="42"/>
  <c r="O273" i="42" s="1"/>
  <c r="P273" i="42" s="1"/>
  <c r="M273" i="42"/>
  <c r="L273" i="42"/>
  <c r="K273" i="42"/>
  <c r="F273" i="42"/>
  <c r="N272" i="42"/>
  <c r="M272" i="42"/>
  <c r="L272" i="42"/>
  <c r="K272" i="42"/>
  <c r="F272" i="42"/>
  <c r="N271" i="42"/>
  <c r="M271" i="42"/>
  <c r="L271" i="42"/>
  <c r="K271" i="42"/>
  <c r="S271" i="42" s="1"/>
  <c r="F271" i="42"/>
  <c r="N270" i="42"/>
  <c r="M270" i="42"/>
  <c r="S270" i="42" s="1"/>
  <c r="L270" i="42"/>
  <c r="K270" i="42"/>
  <c r="F270" i="42"/>
  <c r="S269" i="42"/>
  <c r="N269" i="42"/>
  <c r="M269" i="42"/>
  <c r="L269" i="42"/>
  <c r="K269" i="42"/>
  <c r="F269" i="42"/>
  <c r="N268" i="42"/>
  <c r="M268" i="42"/>
  <c r="L268" i="42"/>
  <c r="K268" i="42"/>
  <c r="S268" i="42" s="1"/>
  <c r="F268" i="42"/>
  <c r="N267" i="42"/>
  <c r="M267" i="42"/>
  <c r="L267" i="42"/>
  <c r="K267" i="42"/>
  <c r="F267" i="42"/>
  <c r="S266" i="42"/>
  <c r="N266" i="42"/>
  <c r="M266" i="42"/>
  <c r="L266" i="42"/>
  <c r="K266" i="42"/>
  <c r="F266" i="42"/>
  <c r="N265" i="42"/>
  <c r="M265" i="42"/>
  <c r="L265" i="42"/>
  <c r="K265" i="42"/>
  <c r="S265" i="42" s="1"/>
  <c r="F265" i="42"/>
  <c r="N264" i="42"/>
  <c r="M264" i="42"/>
  <c r="L264" i="42"/>
  <c r="K264" i="42"/>
  <c r="F264" i="42"/>
  <c r="N263" i="42"/>
  <c r="M263" i="42"/>
  <c r="L263" i="42"/>
  <c r="K263" i="42"/>
  <c r="F263" i="42"/>
  <c r="N262" i="42"/>
  <c r="M262" i="42"/>
  <c r="L262" i="42"/>
  <c r="S262" i="42" s="1"/>
  <c r="K262" i="42"/>
  <c r="F262" i="42"/>
  <c r="N261" i="42"/>
  <c r="M261" i="42"/>
  <c r="L261" i="42"/>
  <c r="K261" i="42"/>
  <c r="F261" i="42"/>
  <c r="N260" i="42"/>
  <c r="M260" i="42"/>
  <c r="L260" i="42"/>
  <c r="K260" i="42"/>
  <c r="S260" i="42" s="1"/>
  <c r="F260" i="42"/>
  <c r="N259" i="42"/>
  <c r="M259" i="42"/>
  <c r="L259" i="42"/>
  <c r="K259" i="42"/>
  <c r="S259" i="42" s="1"/>
  <c r="F259" i="42"/>
  <c r="N258" i="42"/>
  <c r="M258" i="42"/>
  <c r="O258" i="42" s="1"/>
  <c r="P258" i="42" s="1"/>
  <c r="L258" i="42"/>
  <c r="K258" i="42"/>
  <c r="S258" i="42" s="1"/>
  <c r="F258" i="42"/>
  <c r="S257" i="42"/>
  <c r="N257" i="42"/>
  <c r="M257" i="42"/>
  <c r="L257" i="42"/>
  <c r="K257" i="42"/>
  <c r="F257" i="42"/>
  <c r="S256" i="42"/>
  <c r="N256" i="42"/>
  <c r="M256" i="42"/>
  <c r="L256" i="42"/>
  <c r="O256" i="42" s="1"/>
  <c r="P256" i="42" s="1"/>
  <c r="K256" i="42"/>
  <c r="F256" i="42"/>
  <c r="N255" i="42"/>
  <c r="M255" i="42"/>
  <c r="L255" i="42"/>
  <c r="O255" i="42" s="1"/>
  <c r="P255" i="42" s="1"/>
  <c r="K255" i="42"/>
  <c r="S255" i="42" s="1"/>
  <c r="F255" i="42"/>
  <c r="S254" i="42"/>
  <c r="P254" i="42"/>
  <c r="N254" i="42"/>
  <c r="M254" i="42"/>
  <c r="L254" i="42"/>
  <c r="K254" i="42"/>
  <c r="O254" i="42" s="1"/>
  <c r="F254" i="42"/>
  <c r="S253" i="42"/>
  <c r="N253" i="42"/>
  <c r="M253" i="42"/>
  <c r="L253" i="42"/>
  <c r="K253" i="42"/>
  <c r="O253" i="42" s="1"/>
  <c r="P253" i="42" s="1"/>
  <c r="F253" i="42"/>
  <c r="N252" i="42"/>
  <c r="M252" i="42"/>
  <c r="L252" i="42"/>
  <c r="K252" i="42"/>
  <c r="S252" i="42" s="1"/>
  <c r="F252" i="42"/>
  <c r="N251" i="42"/>
  <c r="M251" i="42"/>
  <c r="L251" i="42"/>
  <c r="K251" i="42"/>
  <c r="S251" i="42" s="1"/>
  <c r="F251" i="42"/>
  <c r="P250" i="42"/>
  <c r="O250" i="42"/>
  <c r="N250" i="42"/>
  <c r="M250" i="42"/>
  <c r="L250" i="42"/>
  <c r="K250" i="42"/>
  <c r="S250" i="42" s="1"/>
  <c r="F250" i="42"/>
  <c r="N249" i="42"/>
  <c r="M249" i="42"/>
  <c r="L249" i="42"/>
  <c r="K249" i="42"/>
  <c r="S249" i="42" s="1"/>
  <c r="F249" i="42"/>
  <c r="N248" i="42"/>
  <c r="M248" i="42"/>
  <c r="L248" i="42"/>
  <c r="K248" i="42"/>
  <c r="F248" i="42"/>
  <c r="S247" i="42"/>
  <c r="O247" i="42"/>
  <c r="P247" i="42" s="1"/>
  <c r="N247" i="42"/>
  <c r="M247" i="42"/>
  <c r="L247" i="42"/>
  <c r="K247" i="42"/>
  <c r="F247" i="42"/>
  <c r="N246" i="42"/>
  <c r="M246" i="42"/>
  <c r="L246" i="42"/>
  <c r="K246" i="42"/>
  <c r="S246" i="42" s="1"/>
  <c r="F246" i="42"/>
  <c r="N245" i="42"/>
  <c r="M245" i="42"/>
  <c r="L245" i="42"/>
  <c r="K245" i="42"/>
  <c r="F245" i="42"/>
  <c r="S244" i="42"/>
  <c r="N244" i="42"/>
  <c r="M244" i="42"/>
  <c r="L244" i="42"/>
  <c r="K244" i="42"/>
  <c r="O244" i="42" s="1"/>
  <c r="P244" i="42" s="1"/>
  <c r="F244" i="42"/>
  <c r="N243" i="42"/>
  <c r="M243" i="42"/>
  <c r="L243" i="42"/>
  <c r="K243" i="42"/>
  <c r="S243" i="42" s="1"/>
  <c r="F243" i="42"/>
  <c r="N242" i="42"/>
  <c r="M242" i="42"/>
  <c r="L242" i="42"/>
  <c r="K242" i="42"/>
  <c r="F242" i="42"/>
  <c r="O241" i="42"/>
  <c r="P241" i="42" s="1"/>
  <c r="N241" i="42"/>
  <c r="M241" i="42"/>
  <c r="L241" i="42"/>
  <c r="K241" i="42"/>
  <c r="S241" i="42" s="1"/>
  <c r="F241" i="42"/>
  <c r="N240" i="42"/>
  <c r="M240" i="42"/>
  <c r="L240" i="42"/>
  <c r="K240" i="42"/>
  <c r="S240" i="42" s="1"/>
  <c r="F240" i="42"/>
  <c r="N239" i="42"/>
  <c r="M239" i="42"/>
  <c r="L239" i="42"/>
  <c r="K239" i="42"/>
  <c r="F239" i="42"/>
  <c r="N238" i="42"/>
  <c r="M238" i="42"/>
  <c r="L238" i="42"/>
  <c r="O238" i="42" s="1"/>
  <c r="P238" i="42" s="1"/>
  <c r="K238" i="42"/>
  <c r="S238" i="42" s="1"/>
  <c r="F238" i="42"/>
  <c r="N237" i="42"/>
  <c r="M237" i="42"/>
  <c r="L237" i="42"/>
  <c r="S237" i="42" s="1"/>
  <c r="K237" i="42"/>
  <c r="F237" i="42"/>
  <c r="N236" i="42"/>
  <c r="M236" i="42"/>
  <c r="S236" i="42" s="1"/>
  <c r="L236" i="42"/>
  <c r="K236" i="42"/>
  <c r="F236" i="42"/>
  <c r="S235" i="42"/>
  <c r="N235" i="42"/>
  <c r="M235" i="42"/>
  <c r="L235" i="42"/>
  <c r="K235" i="42"/>
  <c r="O235" i="42" s="1"/>
  <c r="P235" i="42" s="1"/>
  <c r="F235" i="42"/>
  <c r="N234" i="42"/>
  <c r="M234" i="42"/>
  <c r="L234" i="42"/>
  <c r="K234" i="42"/>
  <c r="S234" i="42" s="1"/>
  <c r="F234" i="42"/>
  <c r="N233" i="42"/>
  <c r="M233" i="42"/>
  <c r="L233" i="42"/>
  <c r="K233" i="42"/>
  <c r="F233" i="42"/>
  <c r="S232" i="42"/>
  <c r="P232" i="42"/>
  <c r="N232" i="42"/>
  <c r="M232" i="42"/>
  <c r="L232" i="42"/>
  <c r="O232" i="42" s="1"/>
  <c r="K232" i="42"/>
  <c r="F232" i="42"/>
  <c r="S231" i="42"/>
  <c r="N231" i="42"/>
  <c r="M231" i="42"/>
  <c r="L231" i="42"/>
  <c r="O231" i="42" s="1"/>
  <c r="P231" i="42" s="1"/>
  <c r="K231" i="42"/>
  <c r="F231" i="42"/>
  <c r="N230" i="42"/>
  <c r="M230" i="42"/>
  <c r="L230" i="42"/>
  <c r="K230" i="42"/>
  <c r="O230" i="42" s="1"/>
  <c r="P230" i="42" s="1"/>
  <c r="F230" i="42"/>
  <c r="O229" i="42"/>
  <c r="P229" i="42" s="1"/>
  <c r="N229" i="42"/>
  <c r="M229" i="42"/>
  <c r="L229" i="42"/>
  <c r="K229" i="42"/>
  <c r="S229" i="42" s="1"/>
  <c r="F229" i="42"/>
  <c r="S228" i="42"/>
  <c r="N228" i="42"/>
  <c r="M228" i="42"/>
  <c r="L228" i="42"/>
  <c r="K228" i="42"/>
  <c r="O228" i="42" s="1"/>
  <c r="P228" i="42" s="1"/>
  <c r="F228" i="42"/>
  <c r="N227" i="42"/>
  <c r="M227" i="42"/>
  <c r="L227" i="42"/>
  <c r="S227" i="42" s="1"/>
  <c r="K227" i="42"/>
  <c r="F227" i="42"/>
  <c r="O226" i="42"/>
  <c r="P226" i="42" s="1"/>
  <c r="N226" i="42"/>
  <c r="M226" i="42"/>
  <c r="L226" i="42"/>
  <c r="K226" i="42"/>
  <c r="F226" i="42"/>
  <c r="P225" i="42"/>
  <c r="O225" i="42"/>
  <c r="N225" i="42"/>
  <c r="M225" i="42"/>
  <c r="L225" i="42"/>
  <c r="K225" i="42"/>
  <c r="S225" i="42" s="1"/>
  <c r="F225" i="42"/>
  <c r="N224" i="42"/>
  <c r="M224" i="42"/>
  <c r="L224" i="42"/>
  <c r="K224" i="42"/>
  <c r="F224" i="42"/>
  <c r="N223" i="42"/>
  <c r="M223" i="42"/>
  <c r="L223" i="42"/>
  <c r="K223" i="42"/>
  <c r="F223" i="42"/>
  <c r="S222" i="42"/>
  <c r="O222" i="42"/>
  <c r="P222" i="42" s="1"/>
  <c r="N222" i="42"/>
  <c r="M222" i="42"/>
  <c r="L222" i="42"/>
  <c r="K222" i="42"/>
  <c r="F222" i="42"/>
  <c r="N221" i="42"/>
  <c r="M221" i="42"/>
  <c r="L221" i="42"/>
  <c r="K221" i="42"/>
  <c r="O221" i="42" s="1"/>
  <c r="P221" i="42" s="1"/>
  <c r="F221" i="42"/>
  <c r="N220" i="42"/>
  <c r="M220" i="42"/>
  <c r="L220" i="42"/>
  <c r="K220" i="42"/>
  <c r="F220" i="42"/>
  <c r="S219" i="42"/>
  <c r="N219" i="42"/>
  <c r="M219" i="42"/>
  <c r="L219" i="42"/>
  <c r="K219" i="42"/>
  <c r="O219" i="42" s="1"/>
  <c r="P219" i="42" s="1"/>
  <c r="F219" i="42"/>
  <c r="N218" i="42"/>
  <c r="M218" i="42"/>
  <c r="L218" i="42"/>
  <c r="K218" i="42"/>
  <c r="F218" i="42"/>
  <c r="N217" i="42"/>
  <c r="M217" i="42"/>
  <c r="L217" i="42"/>
  <c r="K217" i="42"/>
  <c r="F217" i="42"/>
  <c r="O216" i="42"/>
  <c r="P216" i="42" s="1"/>
  <c r="N216" i="42"/>
  <c r="M216" i="42"/>
  <c r="L216" i="42"/>
  <c r="K216" i="42"/>
  <c r="S216" i="42" s="1"/>
  <c r="F216" i="42"/>
  <c r="N215" i="42"/>
  <c r="M215" i="42"/>
  <c r="L215" i="42"/>
  <c r="S215" i="42" s="1"/>
  <c r="K215" i="42"/>
  <c r="F215" i="42"/>
  <c r="N214" i="42"/>
  <c r="M214" i="42"/>
  <c r="L214" i="42"/>
  <c r="K214" i="42"/>
  <c r="F214" i="42"/>
  <c r="N213" i="42"/>
  <c r="M213" i="42"/>
  <c r="L213" i="42"/>
  <c r="O213" i="42" s="1"/>
  <c r="P213" i="42" s="1"/>
  <c r="K213" i="42"/>
  <c r="S213" i="42" s="1"/>
  <c r="F213" i="42"/>
  <c r="N212" i="42"/>
  <c r="M212" i="42"/>
  <c r="L212" i="42"/>
  <c r="K212" i="42"/>
  <c r="O212" i="42" s="1"/>
  <c r="P212" i="42" s="1"/>
  <c r="F212" i="42"/>
  <c r="N211" i="42"/>
  <c r="M211" i="42"/>
  <c r="O211" i="42" s="1"/>
  <c r="P211" i="42" s="1"/>
  <c r="L211" i="42"/>
  <c r="K211" i="42"/>
  <c r="S211" i="42" s="1"/>
  <c r="F211" i="42"/>
  <c r="S210" i="42"/>
  <c r="N210" i="42"/>
  <c r="M210" i="42"/>
  <c r="L210" i="42"/>
  <c r="K210" i="42"/>
  <c r="O210" i="42" s="1"/>
  <c r="P210" i="42" s="1"/>
  <c r="F210" i="42"/>
  <c r="N209" i="42"/>
  <c r="M209" i="42"/>
  <c r="L209" i="42"/>
  <c r="K209" i="42"/>
  <c r="F209" i="42"/>
  <c r="N208" i="42"/>
  <c r="M208" i="42"/>
  <c r="L208" i="42"/>
  <c r="O208" i="42" s="1"/>
  <c r="P208" i="42" s="1"/>
  <c r="K208" i="42"/>
  <c r="S208" i="42" s="1"/>
  <c r="F208" i="42"/>
  <c r="S207" i="42"/>
  <c r="P207" i="42"/>
  <c r="N207" i="42"/>
  <c r="M207" i="42"/>
  <c r="L207" i="42"/>
  <c r="O207" i="42" s="1"/>
  <c r="K207" i="42"/>
  <c r="F207" i="42"/>
  <c r="S206" i="42"/>
  <c r="N206" i="42"/>
  <c r="M206" i="42"/>
  <c r="L206" i="42"/>
  <c r="K206" i="42"/>
  <c r="O206" i="42" s="1"/>
  <c r="P206" i="42" s="1"/>
  <c r="F206" i="42"/>
  <c r="N205" i="42"/>
  <c r="M205" i="42"/>
  <c r="L205" i="42"/>
  <c r="K205" i="42"/>
  <c r="S205" i="42" s="1"/>
  <c r="F205" i="42"/>
  <c r="P204" i="42"/>
  <c r="O204" i="42"/>
  <c r="N204" i="42"/>
  <c r="M204" i="42"/>
  <c r="L204" i="42"/>
  <c r="K204" i="42"/>
  <c r="S204" i="42" s="1"/>
  <c r="F204" i="42"/>
  <c r="S203" i="42"/>
  <c r="N203" i="42"/>
  <c r="M203" i="42"/>
  <c r="L203" i="42"/>
  <c r="K203" i="42"/>
  <c r="F203" i="42"/>
  <c r="N202" i="42"/>
  <c r="M202" i="42"/>
  <c r="L202" i="42"/>
  <c r="K202" i="42"/>
  <c r="S202" i="42" s="1"/>
  <c r="F202" i="42"/>
  <c r="O201" i="42"/>
  <c r="P201" i="42" s="1"/>
  <c r="N201" i="42"/>
  <c r="M201" i="42"/>
  <c r="L201" i="42"/>
  <c r="K201" i="42"/>
  <c r="S201" i="42" s="1"/>
  <c r="F201" i="42"/>
  <c r="N200" i="42"/>
  <c r="M200" i="42"/>
  <c r="L200" i="42"/>
  <c r="K200" i="42"/>
  <c r="F200" i="42"/>
  <c r="N199" i="42"/>
  <c r="M199" i="42"/>
  <c r="L199" i="42"/>
  <c r="K199" i="42"/>
  <c r="S199" i="42" s="1"/>
  <c r="F199" i="42"/>
  <c r="N198" i="42"/>
  <c r="M198" i="42"/>
  <c r="S198" i="42" s="1"/>
  <c r="L198" i="42"/>
  <c r="K198" i="42"/>
  <c r="F198" i="42"/>
  <c r="S197" i="42"/>
  <c r="N197" i="42"/>
  <c r="M197" i="42"/>
  <c r="L197" i="42"/>
  <c r="K197" i="42"/>
  <c r="F197" i="42"/>
  <c r="N196" i="42"/>
  <c r="M196" i="42"/>
  <c r="L196" i="42"/>
  <c r="K196" i="42"/>
  <c r="S196" i="42" s="1"/>
  <c r="F196" i="42"/>
  <c r="N195" i="42"/>
  <c r="M195" i="42"/>
  <c r="L195" i="42"/>
  <c r="K195" i="42"/>
  <c r="F195" i="42"/>
  <c r="N194" i="42"/>
  <c r="M194" i="42"/>
  <c r="S194" i="42" s="1"/>
  <c r="L194" i="42"/>
  <c r="K194" i="42"/>
  <c r="F194" i="42"/>
  <c r="N193" i="42"/>
  <c r="M193" i="42"/>
  <c r="L193" i="42"/>
  <c r="K193" i="42"/>
  <c r="S193" i="42" s="1"/>
  <c r="F193" i="42"/>
  <c r="N192" i="42"/>
  <c r="M192" i="42"/>
  <c r="L192" i="42"/>
  <c r="K192" i="42"/>
  <c r="F192" i="42"/>
  <c r="N191" i="42"/>
  <c r="M191" i="42"/>
  <c r="L191" i="42"/>
  <c r="K191" i="42"/>
  <c r="F191" i="42"/>
  <c r="N190" i="42"/>
  <c r="M190" i="42"/>
  <c r="L190" i="42"/>
  <c r="S190" i="42" s="1"/>
  <c r="K190" i="42"/>
  <c r="F190" i="42"/>
  <c r="N189" i="42"/>
  <c r="M189" i="42"/>
  <c r="L189" i="42"/>
  <c r="K189" i="42"/>
  <c r="F189" i="42"/>
  <c r="N188" i="42"/>
  <c r="M188" i="42"/>
  <c r="L188" i="42"/>
  <c r="K188" i="42"/>
  <c r="S188" i="42" s="1"/>
  <c r="F188" i="42"/>
  <c r="N187" i="42"/>
  <c r="M187" i="42"/>
  <c r="L187" i="42"/>
  <c r="K187" i="42"/>
  <c r="S187" i="42" s="1"/>
  <c r="F187" i="42"/>
  <c r="N186" i="42"/>
  <c r="M186" i="42"/>
  <c r="O186" i="42" s="1"/>
  <c r="P186" i="42" s="1"/>
  <c r="L186" i="42"/>
  <c r="K186" i="42"/>
  <c r="S186" i="42" s="1"/>
  <c r="F186" i="42"/>
  <c r="S185" i="42"/>
  <c r="N185" i="42"/>
  <c r="M185" i="42"/>
  <c r="L185" i="42"/>
  <c r="K185" i="42"/>
  <c r="F185" i="42"/>
  <c r="S184" i="42"/>
  <c r="N184" i="42"/>
  <c r="M184" i="42"/>
  <c r="L184" i="42"/>
  <c r="O184" i="42" s="1"/>
  <c r="P184" i="42" s="1"/>
  <c r="K184" i="42"/>
  <c r="F184" i="42"/>
  <c r="N183" i="42"/>
  <c r="M183" i="42"/>
  <c r="L183" i="42"/>
  <c r="O183" i="42" s="1"/>
  <c r="P183" i="42" s="1"/>
  <c r="K183" i="42"/>
  <c r="S183" i="42" s="1"/>
  <c r="F183" i="42"/>
  <c r="S182" i="42"/>
  <c r="P182" i="42"/>
  <c r="N182" i="42"/>
  <c r="M182" i="42"/>
  <c r="L182" i="42"/>
  <c r="K182" i="42"/>
  <c r="O182" i="42" s="1"/>
  <c r="F182" i="42"/>
  <c r="S181" i="42"/>
  <c r="N181" i="42"/>
  <c r="M181" i="42"/>
  <c r="L181" i="42"/>
  <c r="K181" i="42"/>
  <c r="O181" i="42" s="1"/>
  <c r="P181" i="42" s="1"/>
  <c r="F181" i="42"/>
  <c r="N180" i="42"/>
  <c r="M180" i="42"/>
  <c r="L180" i="42"/>
  <c r="K180" i="42"/>
  <c r="S180" i="42" s="1"/>
  <c r="F180" i="42"/>
  <c r="N179" i="42"/>
  <c r="M179" i="42"/>
  <c r="L179" i="42"/>
  <c r="K179" i="42"/>
  <c r="F179" i="42"/>
  <c r="P178" i="42"/>
  <c r="O178" i="42"/>
  <c r="N178" i="42"/>
  <c r="M178" i="42"/>
  <c r="L178" i="42"/>
  <c r="K178" i="42"/>
  <c r="S178" i="42" s="1"/>
  <c r="F178" i="42"/>
  <c r="N177" i="42"/>
  <c r="M177" i="42"/>
  <c r="L177" i="42"/>
  <c r="K177" i="42"/>
  <c r="S177" i="42" s="1"/>
  <c r="F177" i="42"/>
  <c r="N176" i="42"/>
  <c r="M176" i="42"/>
  <c r="L176" i="42"/>
  <c r="S176" i="42" s="1"/>
  <c r="K176" i="42"/>
  <c r="F176" i="42"/>
  <c r="S175" i="42"/>
  <c r="O175" i="42"/>
  <c r="P175" i="42" s="1"/>
  <c r="N175" i="42"/>
  <c r="M175" i="42"/>
  <c r="L175" i="42"/>
  <c r="K175" i="42"/>
  <c r="F175" i="42"/>
  <c r="N174" i="42"/>
  <c r="M174" i="42"/>
  <c r="L174" i="42"/>
  <c r="O174" i="42" s="1"/>
  <c r="P174" i="42" s="1"/>
  <c r="K174" i="42"/>
  <c r="S174" i="42" s="1"/>
  <c r="F174" i="42"/>
  <c r="N173" i="42"/>
  <c r="M173" i="42"/>
  <c r="L173" i="42"/>
  <c r="S173" i="42" s="1"/>
  <c r="K173" i="42"/>
  <c r="F173" i="42"/>
  <c r="N172" i="42"/>
  <c r="S172" i="42" s="1"/>
  <c r="M172" i="42"/>
  <c r="L172" i="42"/>
  <c r="K172" i="42"/>
  <c r="O172" i="42" s="1"/>
  <c r="P172" i="42" s="1"/>
  <c r="F172" i="42"/>
  <c r="N171" i="42"/>
  <c r="M171" i="42"/>
  <c r="L171" i="42"/>
  <c r="K171" i="42"/>
  <c r="S171" i="42" s="1"/>
  <c r="F171" i="42"/>
  <c r="N170" i="42"/>
  <c r="M170" i="42"/>
  <c r="L170" i="42"/>
  <c r="K170" i="42"/>
  <c r="F170" i="42"/>
  <c r="O169" i="42"/>
  <c r="P169" i="42" s="1"/>
  <c r="N169" i="42"/>
  <c r="M169" i="42"/>
  <c r="L169" i="42"/>
  <c r="K169" i="42"/>
  <c r="S169" i="42" s="1"/>
  <c r="F169" i="42"/>
  <c r="N168" i="42"/>
  <c r="M168" i="42"/>
  <c r="O168" i="42" s="1"/>
  <c r="P168" i="42" s="1"/>
  <c r="L168" i="42"/>
  <c r="K168" i="42"/>
  <c r="S168" i="42" s="1"/>
  <c r="F168" i="42"/>
  <c r="N167" i="42"/>
  <c r="M167" i="42"/>
  <c r="L167" i="42"/>
  <c r="K167" i="42"/>
  <c r="F167" i="42"/>
  <c r="N166" i="42"/>
  <c r="M166" i="42"/>
  <c r="L166" i="42"/>
  <c r="O166" i="42" s="1"/>
  <c r="P166" i="42" s="1"/>
  <c r="K166" i="42"/>
  <c r="S166" i="42" s="1"/>
  <c r="F166" i="42"/>
  <c r="N165" i="42"/>
  <c r="M165" i="42"/>
  <c r="L165" i="42"/>
  <c r="S165" i="42" s="1"/>
  <c r="K165" i="42"/>
  <c r="F165" i="42"/>
  <c r="N164" i="42"/>
  <c r="M164" i="42"/>
  <c r="S164" i="42" s="1"/>
  <c r="L164" i="42"/>
  <c r="K164" i="42"/>
  <c r="F164" i="42"/>
  <c r="S163" i="42"/>
  <c r="N163" i="42"/>
  <c r="M163" i="42"/>
  <c r="L163" i="42"/>
  <c r="K163" i="42"/>
  <c r="O163" i="42" s="1"/>
  <c r="P163" i="42" s="1"/>
  <c r="F163" i="42"/>
  <c r="N162" i="42"/>
  <c r="M162" i="42"/>
  <c r="L162" i="42"/>
  <c r="K162" i="42"/>
  <c r="S162" i="42" s="1"/>
  <c r="F162" i="42"/>
  <c r="N161" i="42"/>
  <c r="M161" i="42"/>
  <c r="L161" i="42"/>
  <c r="K161" i="42"/>
  <c r="F161" i="42"/>
  <c r="S160" i="42"/>
  <c r="P160" i="42"/>
  <c r="N160" i="42"/>
  <c r="M160" i="42"/>
  <c r="L160" i="42"/>
  <c r="O160" i="42" s="1"/>
  <c r="K160" i="42"/>
  <c r="F160" i="42"/>
  <c r="S159" i="42"/>
  <c r="N159" i="42"/>
  <c r="M159" i="42"/>
  <c r="L159" i="42"/>
  <c r="O159" i="42" s="1"/>
  <c r="P159" i="42" s="1"/>
  <c r="K159" i="42"/>
  <c r="F159" i="42"/>
  <c r="N158" i="42"/>
  <c r="M158" i="42"/>
  <c r="L158" i="42"/>
  <c r="K158" i="42"/>
  <c r="O158" i="42" s="1"/>
  <c r="P158" i="42" s="1"/>
  <c r="F158" i="42"/>
  <c r="P157" i="42"/>
  <c r="O157" i="42"/>
  <c r="N157" i="42"/>
  <c r="M157" i="42"/>
  <c r="L157" i="42"/>
  <c r="K157" i="42"/>
  <c r="S157" i="42" s="1"/>
  <c r="F157" i="42"/>
  <c r="S156" i="42"/>
  <c r="N156" i="42"/>
  <c r="M156" i="42"/>
  <c r="L156" i="42"/>
  <c r="K156" i="42"/>
  <c r="O156" i="42" s="1"/>
  <c r="P156" i="42" s="1"/>
  <c r="F156" i="42"/>
  <c r="N155" i="42"/>
  <c r="M155" i="42"/>
  <c r="S155" i="42" s="1"/>
  <c r="L155" i="42"/>
  <c r="K155" i="42"/>
  <c r="F155" i="42"/>
  <c r="O154" i="42"/>
  <c r="P154" i="42" s="1"/>
  <c r="N154" i="42"/>
  <c r="M154" i="42"/>
  <c r="L154" i="42"/>
  <c r="K154" i="42"/>
  <c r="S154" i="42" s="1"/>
  <c r="F154" i="42"/>
  <c r="P153" i="42"/>
  <c r="O153" i="42"/>
  <c r="N153" i="42"/>
  <c r="M153" i="42"/>
  <c r="L153" i="42"/>
  <c r="K153" i="42"/>
  <c r="S153" i="42" s="1"/>
  <c r="F153" i="42"/>
  <c r="N152" i="42"/>
  <c r="M152" i="42"/>
  <c r="L152" i="42"/>
  <c r="K152" i="42"/>
  <c r="F152" i="42"/>
  <c r="N151" i="42"/>
  <c r="M151" i="42"/>
  <c r="S151" i="42" s="1"/>
  <c r="L151" i="42"/>
  <c r="K151" i="42"/>
  <c r="F151" i="42"/>
  <c r="S150" i="42"/>
  <c r="O150" i="42"/>
  <c r="P150" i="42" s="1"/>
  <c r="N150" i="42"/>
  <c r="M150" i="42"/>
  <c r="L150" i="42"/>
  <c r="K150" i="42"/>
  <c r="F150" i="42"/>
  <c r="N149" i="42"/>
  <c r="M149" i="42"/>
  <c r="L149" i="42"/>
  <c r="K149" i="42"/>
  <c r="O149" i="42" s="1"/>
  <c r="P149" i="42" s="1"/>
  <c r="F149" i="42"/>
  <c r="N148" i="42"/>
  <c r="M148" i="42"/>
  <c r="L148" i="42"/>
  <c r="K148" i="42"/>
  <c r="F148" i="42"/>
  <c r="N147" i="42"/>
  <c r="S147" i="42" s="1"/>
  <c r="M147" i="42"/>
  <c r="L147" i="42"/>
  <c r="K147" i="42"/>
  <c r="O147" i="42" s="1"/>
  <c r="P147" i="42" s="1"/>
  <c r="F147" i="42"/>
  <c r="N146" i="42"/>
  <c r="M146" i="42"/>
  <c r="L146" i="42"/>
  <c r="K146" i="42"/>
  <c r="F146" i="42"/>
  <c r="N145" i="42"/>
  <c r="M145" i="42"/>
  <c r="L145" i="42"/>
  <c r="K145" i="42"/>
  <c r="F145" i="42"/>
  <c r="O144" i="42"/>
  <c r="P144" i="42" s="1"/>
  <c r="N144" i="42"/>
  <c r="M144" i="42"/>
  <c r="L144" i="42"/>
  <c r="S144" i="42" s="1"/>
  <c r="K144" i="42"/>
  <c r="F144" i="42"/>
  <c r="N143" i="42"/>
  <c r="M143" i="42"/>
  <c r="L143" i="42"/>
  <c r="S143" i="42" s="1"/>
  <c r="K143" i="42"/>
  <c r="F143" i="42"/>
  <c r="N142" i="42"/>
  <c r="M142" i="42"/>
  <c r="L142" i="42"/>
  <c r="K142" i="42"/>
  <c r="F142" i="42"/>
  <c r="N141" i="42"/>
  <c r="M141" i="42"/>
  <c r="L141" i="42"/>
  <c r="O141" i="42" s="1"/>
  <c r="P141" i="42" s="1"/>
  <c r="K141" i="42"/>
  <c r="S141" i="42" s="1"/>
  <c r="F141" i="42"/>
  <c r="N140" i="42"/>
  <c r="M140" i="42"/>
  <c r="L140" i="42"/>
  <c r="K140" i="42"/>
  <c r="O140" i="42" s="1"/>
  <c r="P140" i="42" s="1"/>
  <c r="F140" i="42"/>
  <c r="N139" i="42"/>
  <c r="M139" i="42"/>
  <c r="O139" i="42" s="1"/>
  <c r="P139" i="42" s="1"/>
  <c r="L139" i="42"/>
  <c r="K139" i="42"/>
  <c r="S139" i="42" s="1"/>
  <c r="F139" i="42"/>
  <c r="S138" i="42"/>
  <c r="N138" i="42"/>
  <c r="M138" i="42"/>
  <c r="L138" i="42"/>
  <c r="K138" i="42"/>
  <c r="O138" i="42" s="1"/>
  <c r="P138" i="42" s="1"/>
  <c r="F138" i="42"/>
  <c r="N137" i="42"/>
  <c r="M137" i="42"/>
  <c r="L137" i="42"/>
  <c r="K137" i="42"/>
  <c r="F137" i="42"/>
  <c r="N136" i="42"/>
  <c r="M136" i="42"/>
  <c r="L136" i="42"/>
  <c r="O136" i="42" s="1"/>
  <c r="P136" i="42" s="1"/>
  <c r="K136" i="42"/>
  <c r="S136" i="42" s="1"/>
  <c r="F136" i="42"/>
  <c r="S135" i="42"/>
  <c r="P135" i="42"/>
  <c r="N135" i="42"/>
  <c r="M135" i="42"/>
  <c r="L135" i="42"/>
  <c r="O135" i="42" s="1"/>
  <c r="K135" i="42"/>
  <c r="F135" i="42"/>
  <c r="S134" i="42"/>
  <c r="N134" i="42"/>
  <c r="M134" i="42"/>
  <c r="L134" i="42"/>
  <c r="K134" i="42"/>
  <c r="O134" i="42" s="1"/>
  <c r="P134" i="42" s="1"/>
  <c r="F134" i="42"/>
  <c r="N133" i="42"/>
  <c r="M133" i="42"/>
  <c r="L133" i="42"/>
  <c r="K133" i="42"/>
  <c r="S133" i="42" s="1"/>
  <c r="F133" i="42"/>
  <c r="P132" i="42"/>
  <c r="O132" i="42"/>
  <c r="N132" i="42"/>
  <c r="M132" i="42"/>
  <c r="L132" i="42"/>
  <c r="K132" i="42"/>
  <c r="S132" i="42" s="1"/>
  <c r="F132" i="42"/>
  <c r="S131" i="42"/>
  <c r="N131" i="42"/>
  <c r="M131" i="42"/>
  <c r="L131" i="42"/>
  <c r="K131" i="42"/>
  <c r="F131" i="42"/>
  <c r="N130" i="42"/>
  <c r="M130" i="42"/>
  <c r="L130" i="42"/>
  <c r="K130" i="42"/>
  <c r="S130" i="42" s="1"/>
  <c r="F130" i="42"/>
  <c r="N129" i="42"/>
  <c r="O129" i="42" s="1"/>
  <c r="P129" i="42" s="1"/>
  <c r="M129" i="42"/>
  <c r="L129" i="42"/>
  <c r="K129" i="42"/>
  <c r="S129" i="42" s="1"/>
  <c r="F129" i="42"/>
  <c r="N128" i="42"/>
  <c r="M128" i="42"/>
  <c r="L128" i="42"/>
  <c r="K128" i="42"/>
  <c r="F128" i="42"/>
  <c r="N127" i="42"/>
  <c r="M127" i="42"/>
  <c r="L127" i="42"/>
  <c r="O127" i="42" s="1"/>
  <c r="P127" i="42" s="1"/>
  <c r="K127" i="42"/>
  <c r="S127" i="42" s="1"/>
  <c r="F127" i="42"/>
  <c r="N126" i="42"/>
  <c r="M126" i="42"/>
  <c r="S126" i="42" s="1"/>
  <c r="L126" i="42"/>
  <c r="O126" i="42" s="1"/>
  <c r="P126" i="42" s="1"/>
  <c r="K126" i="42"/>
  <c r="F126" i="42"/>
  <c r="S125" i="42"/>
  <c r="N125" i="42"/>
  <c r="M125" i="42"/>
  <c r="L125" i="42"/>
  <c r="K125" i="42"/>
  <c r="F125" i="42"/>
  <c r="N124" i="42"/>
  <c r="M124" i="42"/>
  <c r="L124" i="42"/>
  <c r="K124" i="42"/>
  <c r="S124" i="42" s="1"/>
  <c r="F124" i="42"/>
  <c r="N123" i="42"/>
  <c r="M123" i="42"/>
  <c r="L123" i="42"/>
  <c r="K123" i="42"/>
  <c r="F123" i="42"/>
  <c r="N122" i="42"/>
  <c r="M122" i="42"/>
  <c r="S122" i="42" s="1"/>
  <c r="L122" i="42"/>
  <c r="K122" i="42"/>
  <c r="F122" i="42"/>
  <c r="N121" i="42"/>
  <c r="M121" i="42"/>
  <c r="S121" i="42" s="1"/>
  <c r="L121" i="42"/>
  <c r="K121" i="42"/>
  <c r="F121" i="42"/>
  <c r="N120" i="42"/>
  <c r="M120" i="42"/>
  <c r="L120" i="42"/>
  <c r="K120" i="42"/>
  <c r="F120" i="42"/>
  <c r="N119" i="42"/>
  <c r="M119" i="42"/>
  <c r="L119" i="42"/>
  <c r="K119" i="42"/>
  <c r="F119" i="42"/>
  <c r="N118" i="42"/>
  <c r="M118" i="42"/>
  <c r="L118" i="42"/>
  <c r="S118" i="42" s="1"/>
  <c r="K118" i="42"/>
  <c r="F118" i="42"/>
  <c r="N117" i="42"/>
  <c r="M117" i="42"/>
  <c r="L117" i="42"/>
  <c r="K117" i="42"/>
  <c r="F117" i="42"/>
  <c r="N116" i="42"/>
  <c r="M116" i="42"/>
  <c r="L116" i="42"/>
  <c r="K116" i="42"/>
  <c r="S116" i="42" s="1"/>
  <c r="F116" i="42"/>
  <c r="N115" i="42"/>
  <c r="M115" i="42"/>
  <c r="L115" i="42"/>
  <c r="K115" i="42"/>
  <c r="S115" i="42" s="1"/>
  <c r="F115" i="42"/>
  <c r="N114" i="42"/>
  <c r="M114" i="42"/>
  <c r="L114" i="42"/>
  <c r="K114" i="42"/>
  <c r="S114" i="42" s="1"/>
  <c r="F114" i="42"/>
  <c r="S113" i="42"/>
  <c r="N113" i="42"/>
  <c r="M113" i="42"/>
  <c r="L113" i="42"/>
  <c r="K113" i="42"/>
  <c r="F113" i="42"/>
  <c r="S112" i="42"/>
  <c r="N112" i="42"/>
  <c r="M112" i="42"/>
  <c r="L112" i="42"/>
  <c r="O112" i="42" s="1"/>
  <c r="P112" i="42" s="1"/>
  <c r="K112" i="42"/>
  <c r="F112" i="42"/>
  <c r="N111" i="42"/>
  <c r="M111" i="42"/>
  <c r="L111" i="42"/>
  <c r="O111" i="42" s="1"/>
  <c r="P111" i="42" s="1"/>
  <c r="K111" i="42"/>
  <c r="S111" i="42" s="1"/>
  <c r="F111" i="42"/>
  <c r="N110" i="42"/>
  <c r="M110" i="42"/>
  <c r="L110" i="42"/>
  <c r="K110" i="42"/>
  <c r="O110" i="42" s="1"/>
  <c r="P110" i="42" s="1"/>
  <c r="F110" i="42"/>
  <c r="S109" i="42"/>
  <c r="N109" i="42"/>
  <c r="M109" i="42"/>
  <c r="L109" i="42"/>
  <c r="K109" i="42"/>
  <c r="O109" i="42" s="1"/>
  <c r="P109" i="42" s="1"/>
  <c r="F109" i="42"/>
  <c r="N108" i="42"/>
  <c r="M108" i="42"/>
  <c r="L108" i="42"/>
  <c r="K108" i="42"/>
  <c r="F108" i="42"/>
  <c r="N107" i="42"/>
  <c r="M107" i="42"/>
  <c r="L107" i="42"/>
  <c r="K107" i="42"/>
  <c r="S107" i="42" s="1"/>
  <c r="F107" i="42"/>
  <c r="P106" i="42"/>
  <c r="O106" i="42"/>
  <c r="N106" i="42"/>
  <c r="M106" i="42"/>
  <c r="L106" i="42"/>
  <c r="S106" i="42" s="1"/>
  <c r="K106" i="42"/>
  <c r="F106" i="42"/>
  <c r="N105" i="42"/>
  <c r="M105" i="42"/>
  <c r="L105" i="42"/>
  <c r="K105" i="42"/>
  <c r="S105" i="42" s="1"/>
  <c r="F105" i="42"/>
  <c r="N104" i="42"/>
  <c r="M104" i="42"/>
  <c r="L104" i="42"/>
  <c r="S104" i="42" s="1"/>
  <c r="K104" i="42"/>
  <c r="F104" i="42"/>
  <c r="S103" i="42"/>
  <c r="O103" i="42"/>
  <c r="P103" i="42" s="1"/>
  <c r="N103" i="42"/>
  <c r="M103" i="42"/>
  <c r="L103" i="42"/>
  <c r="K103" i="42"/>
  <c r="F103" i="42"/>
  <c r="N102" i="42"/>
  <c r="M102" i="42"/>
  <c r="L102" i="42"/>
  <c r="O102" i="42" s="1"/>
  <c r="P102" i="42" s="1"/>
  <c r="K102" i="42"/>
  <c r="S102" i="42" s="1"/>
  <c r="F102" i="42"/>
  <c r="S101" i="42"/>
  <c r="N101" i="42"/>
  <c r="M101" i="42"/>
  <c r="L101" i="42"/>
  <c r="K101" i="42"/>
  <c r="F101" i="42"/>
  <c r="N100" i="42"/>
  <c r="S100" i="42" s="1"/>
  <c r="M100" i="42"/>
  <c r="L100" i="42"/>
  <c r="K100" i="42"/>
  <c r="O100" i="42" s="1"/>
  <c r="P100" i="42" s="1"/>
  <c r="F100" i="42"/>
  <c r="N99" i="42"/>
  <c r="M99" i="42"/>
  <c r="L99" i="42"/>
  <c r="K99" i="42"/>
  <c r="S99" i="42" s="1"/>
  <c r="F99" i="42"/>
  <c r="N98" i="42"/>
  <c r="M98" i="42"/>
  <c r="L98" i="42"/>
  <c r="K98" i="42"/>
  <c r="F98" i="42"/>
  <c r="O97" i="42"/>
  <c r="P97" i="42" s="1"/>
  <c r="N97" i="42"/>
  <c r="M97" i="42"/>
  <c r="L97" i="42"/>
  <c r="S97" i="42" s="1"/>
  <c r="K97" i="42"/>
  <c r="F97" i="42"/>
  <c r="N96" i="42"/>
  <c r="M96" i="42"/>
  <c r="S96" i="42" s="1"/>
  <c r="L96" i="42"/>
  <c r="K96" i="42"/>
  <c r="F96" i="42"/>
  <c r="N95" i="42"/>
  <c r="M95" i="42"/>
  <c r="L95" i="42"/>
  <c r="K95" i="42"/>
  <c r="F95" i="42"/>
  <c r="N94" i="42"/>
  <c r="M94" i="42"/>
  <c r="L94" i="42"/>
  <c r="K94" i="42"/>
  <c r="O94" i="42" s="1"/>
  <c r="P94" i="42" s="1"/>
  <c r="F94" i="42"/>
  <c r="N93" i="42"/>
  <c r="M93" i="42"/>
  <c r="L93" i="42"/>
  <c r="S93" i="42" s="1"/>
  <c r="K93" i="42"/>
  <c r="F93" i="42"/>
  <c r="N92" i="42"/>
  <c r="M92" i="42"/>
  <c r="S92" i="42" s="1"/>
  <c r="L92" i="42"/>
  <c r="K92" i="42"/>
  <c r="F92" i="42"/>
  <c r="S91" i="42"/>
  <c r="N91" i="42"/>
  <c r="M91" i="42"/>
  <c r="L91" i="42"/>
  <c r="K91" i="42"/>
  <c r="O91" i="42" s="1"/>
  <c r="P91" i="42" s="1"/>
  <c r="F91" i="42"/>
  <c r="N90" i="42"/>
  <c r="M90" i="42"/>
  <c r="L90" i="42"/>
  <c r="K90" i="42"/>
  <c r="S90" i="42" s="1"/>
  <c r="F90" i="42"/>
  <c r="N89" i="42"/>
  <c r="M89" i="42"/>
  <c r="L89" i="42"/>
  <c r="K89" i="42"/>
  <c r="F89" i="42"/>
  <c r="N88" i="42"/>
  <c r="M88" i="42"/>
  <c r="L88" i="42"/>
  <c r="O88" i="42" s="1"/>
  <c r="P88" i="42" s="1"/>
  <c r="K88" i="42"/>
  <c r="F88" i="42"/>
  <c r="S87" i="42"/>
  <c r="N87" i="42"/>
  <c r="M87" i="42"/>
  <c r="L87" i="42"/>
  <c r="O87" i="42" s="1"/>
  <c r="P87" i="42" s="1"/>
  <c r="K87" i="42"/>
  <c r="F87" i="42"/>
  <c r="N86" i="42"/>
  <c r="M86" i="42"/>
  <c r="L86" i="42"/>
  <c r="K86" i="42"/>
  <c r="F86" i="42"/>
  <c r="N85" i="42"/>
  <c r="M85" i="42"/>
  <c r="L85" i="42"/>
  <c r="K85" i="42"/>
  <c r="S85" i="42" s="1"/>
  <c r="F85" i="42"/>
  <c r="S84" i="42"/>
  <c r="N84" i="42"/>
  <c r="M84" i="42"/>
  <c r="L84" i="42"/>
  <c r="K84" i="42"/>
  <c r="O84" i="42" s="1"/>
  <c r="P84" i="42" s="1"/>
  <c r="F84" i="42"/>
  <c r="N83" i="42"/>
  <c r="M83" i="42"/>
  <c r="S83" i="42" s="1"/>
  <c r="L83" i="42"/>
  <c r="K83" i="42"/>
  <c r="F83" i="42"/>
  <c r="O82" i="42"/>
  <c r="P82" i="42" s="1"/>
  <c r="N82" i="42"/>
  <c r="M82" i="42"/>
  <c r="L82" i="42"/>
  <c r="K82" i="42"/>
  <c r="F82" i="42"/>
  <c r="P81" i="42"/>
  <c r="O81" i="42"/>
  <c r="N81" i="42"/>
  <c r="M81" i="42"/>
  <c r="L81" i="42"/>
  <c r="S81" i="42" s="1"/>
  <c r="K81" i="42"/>
  <c r="F81" i="42"/>
  <c r="N80" i="42"/>
  <c r="M80" i="42"/>
  <c r="L80" i="42"/>
  <c r="K80" i="42"/>
  <c r="F80" i="42"/>
  <c r="N79" i="42"/>
  <c r="M79" i="42"/>
  <c r="S79" i="42" s="1"/>
  <c r="L79" i="42"/>
  <c r="K79" i="42"/>
  <c r="F79" i="42"/>
  <c r="S78" i="42"/>
  <c r="O78" i="42"/>
  <c r="P78" i="42" s="1"/>
  <c r="N78" i="42"/>
  <c r="M78" i="42"/>
  <c r="L78" i="42"/>
  <c r="K78" i="42"/>
  <c r="F78" i="42"/>
  <c r="N77" i="42"/>
  <c r="M77" i="42"/>
  <c r="L77" i="42"/>
  <c r="K77" i="42"/>
  <c r="F77" i="42"/>
  <c r="N76" i="42"/>
  <c r="M76" i="42"/>
  <c r="L76" i="42"/>
  <c r="K76" i="42"/>
  <c r="F76" i="42"/>
  <c r="N75" i="42"/>
  <c r="S75" i="42" s="1"/>
  <c r="M75" i="42"/>
  <c r="L75" i="42"/>
  <c r="K75" i="42"/>
  <c r="F75" i="42"/>
  <c r="N74" i="42"/>
  <c r="M74" i="42"/>
  <c r="L74" i="42"/>
  <c r="K74" i="42"/>
  <c r="F74" i="42"/>
  <c r="N73" i="42"/>
  <c r="M73" i="42"/>
  <c r="L73" i="42"/>
  <c r="K73" i="42"/>
  <c r="S73" i="42" s="1"/>
  <c r="F73" i="42"/>
  <c r="O72" i="42"/>
  <c r="P72" i="42" s="1"/>
  <c r="N72" i="42"/>
  <c r="M72" i="42"/>
  <c r="L72" i="42"/>
  <c r="S72" i="42" s="1"/>
  <c r="K72" i="42"/>
  <c r="F72" i="42"/>
  <c r="N71" i="42"/>
  <c r="M71" i="42"/>
  <c r="L71" i="42"/>
  <c r="S71" i="42" s="1"/>
  <c r="K71" i="42"/>
  <c r="F71" i="42"/>
  <c r="N70" i="42"/>
  <c r="M70" i="42"/>
  <c r="L70" i="42"/>
  <c r="K70" i="42"/>
  <c r="O70" i="42" s="1"/>
  <c r="P70" i="42" s="1"/>
  <c r="F70" i="42"/>
  <c r="N69" i="42"/>
  <c r="M69" i="42"/>
  <c r="L69" i="42"/>
  <c r="K69" i="42"/>
  <c r="O69" i="42" s="1"/>
  <c r="P69" i="42" s="1"/>
  <c r="F69" i="42"/>
  <c r="N68" i="42"/>
  <c r="M68" i="42"/>
  <c r="L68" i="42"/>
  <c r="K68" i="42"/>
  <c r="O68" i="42" s="1"/>
  <c r="P68" i="42" s="1"/>
  <c r="F68" i="42"/>
  <c r="N67" i="42"/>
  <c r="M67" i="42"/>
  <c r="L67" i="42"/>
  <c r="K67" i="42"/>
  <c r="F67" i="42"/>
  <c r="N66" i="42"/>
  <c r="M66" i="42"/>
  <c r="L66" i="42"/>
  <c r="K66" i="42"/>
  <c r="O66" i="42" s="1"/>
  <c r="P66" i="42" s="1"/>
  <c r="F66" i="42"/>
  <c r="N65" i="42"/>
  <c r="M65" i="42"/>
  <c r="L65" i="42"/>
  <c r="K65" i="42"/>
  <c r="F65" i="42"/>
  <c r="N64" i="42"/>
  <c r="M64" i="42"/>
  <c r="L64" i="42"/>
  <c r="O64" i="42" s="1"/>
  <c r="P64" i="42" s="1"/>
  <c r="K64" i="42"/>
  <c r="F64" i="42"/>
  <c r="P63" i="42"/>
  <c r="N63" i="42"/>
  <c r="M63" i="42"/>
  <c r="L63" i="42"/>
  <c r="O63" i="42" s="1"/>
  <c r="K63" i="42"/>
  <c r="F63" i="42"/>
  <c r="S62" i="42"/>
  <c r="N62" i="42"/>
  <c r="M62" i="42"/>
  <c r="L62" i="42"/>
  <c r="K62" i="42"/>
  <c r="O62" i="42" s="1"/>
  <c r="P62" i="42" s="1"/>
  <c r="F62" i="42"/>
  <c r="N61" i="42"/>
  <c r="M61" i="42"/>
  <c r="L61" i="42"/>
  <c r="K61" i="42"/>
  <c r="F61" i="42"/>
  <c r="P60" i="42"/>
  <c r="O60" i="42"/>
  <c r="N60" i="42"/>
  <c r="M60" i="42"/>
  <c r="L60" i="42"/>
  <c r="K60" i="42"/>
  <c r="S60" i="42" s="1"/>
  <c r="F60" i="42"/>
  <c r="S59" i="42"/>
  <c r="N59" i="42"/>
  <c r="M59" i="42"/>
  <c r="L59" i="42"/>
  <c r="K59" i="42"/>
  <c r="F59" i="42"/>
  <c r="N58" i="42"/>
  <c r="M58" i="42"/>
  <c r="L58" i="42"/>
  <c r="K58" i="42"/>
  <c r="S58" i="42" s="1"/>
  <c r="F58" i="42"/>
  <c r="N57" i="42"/>
  <c r="O57" i="42" s="1"/>
  <c r="P57" i="42" s="1"/>
  <c r="M57" i="42"/>
  <c r="L57" i="42"/>
  <c r="K57" i="42"/>
  <c r="F57" i="42"/>
  <c r="N56" i="42"/>
  <c r="M56" i="42"/>
  <c r="L56" i="42"/>
  <c r="K56" i="42"/>
  <c r="F56" i="42"/>
  <c r="N55" i="42"/>
  <c r="M55" i="42"/>
  <c r="L55" i="42"/>
  <c r="K55" i="42"/>
  <c r="F55" i="42"/>
  <c r="N54" i="42"/>
  <c r="M54" i="42"/>
  <c r="S54" i="42" s="1"/>
  <c r="L54" i="42"/>
  <c r="K54" i="42"/>
  <c r="F54" i="42"/>
  <c r="S53" i="42"/>
  <c r="N53" i="42"/>
  <c r="M53" i="42"/>
  <c r="L53" i="42"/>
  <c r="K53" i="42"/>
  <c r="F53" i="42"/>
  <c r="N52" i="42"/>
  <c r="M52" i="42"/>
  <c r="L52" i="42"/>
  <c r="K52" i="42"/>
  <c r="F52" i="42"/>
  <c r="N51" i="42"/>
  <c r="M51" i="42"/>
  <c r="L51" i="42"/>
  <c r="K51" i="42"/>
  <c r="F51" i="42"/>
  <c r="N50" i="42"/>
  <c r="M50" i="42"/>
  <c r="L50" i="42"/>
  <c r="K50" i="42"/>
  <c r="F50" i="42"/>
  <c r="N49" i="42"/>
  <c r="M49" i="42"/>
  <c r="S49" i="42" s="1"/>
  <c r="L49" i="42"/>
  <c r="K49" i="42"/>
  <c r="F49" i="42"/>
  <c r="N48" i="42"/>
  <c r="M48" i="42"/>
  <c r="L48" i="42"/>
  <c r="K48" i="42"/>
  <c r="F48" i="42"/>
  <c r="N47" i="42"/>
  <c r="M47" i="42"/>
  <c r="L47" i="42"/>
  <c r="K47" i="42"/>
  <c r="F47" i="42"/>
  <c r="N46" i="42"/>
  <c r="M46" i="42"/>
  <c r="L46" i="42"/>
  <c r="S46" i="42" s="1"/>
  <c r="K46" i="42"/>
  <c r="O46" i="42" s="1"/>
  <c r="P46" i="42" s="1"/>
  <c r="F46" i="42"/>
  <c r="N45" i="42"/>
  <c r="M45" i="42"/>
  <c r="L45" i="42"/>
  <c r="K45" i="42"/>
  <c r="O45" i="42" s="1"/>
  <c r="P45" i="42" s="1"/>
  <c r="F45" i="42"/>
  <c r="N44" i="42"/>
  <c r="M44" i="42"/>
  <c r="L44" i="42"/>
  <c r="K44" i="42"/>
  <c r="F44" i="42"/>
  <c r="N43" i="42"/>
  <c r="M43" i="42"/>
  <c r="L43" i="42"/>
  <c r="K43" i="42"/>
  <c r="S43" i="42" s="1"/>
  <c r="F43" i="42"/>
  <c r="N42" i="42"/>
  <c r="M42" i="42"/>
  <c r="L42" i="42"/>
  <c r="K42" i="42"/>
  <c r="F42" i="42"/>
  <c r="N41" i="42"/>
  <c r="M41" i="42"/>
  <c r="S41" i="42" s="1"/>
  <c r="L41" i="42"/>
  <c r="K41" i="42"/>
  <c r="F41" i="42"/>
  <c r="S40" i="42"/>
  <c r="N40" i="42"/>
  <c r="M40" i="42"/>
  <c r="L40" i="42"/>
  <c r="O40" i="42" s="1"/>
  <c r="P40" i="42" s="1"/>
  <c r="K40" i="42"/>
  <c r="F40" i="42"/>
  <c r="N39" i="42"/>
  <c r="M39" i="42"/>
  <c r="L39" i="42"/>
  <c r="O39" i="42" s="1"/>
  <c r="P39" i="42" s="1"/>
  <c r="K39" i="42"/>
  <c r="S39" i="42" s="1"/>
  <c r="F39" i="42"/>
  <c r="N38" i="42"/>
  <c r="M38" i="42"/>
  <c r="L38" i="42"/>
  <c r="K38" i="42"/>
  <c r="S38" i="42" s="1"/>
  <c r="F38" i="42"/>
  <c r="S37" i="42"/>
  <c r="N37" i="42"/>
  <c r="M37" i="42"/>
  <c r="L37" i="42"/>
  <c r="K37" i="42"/>
  <c r="O37" i="42" s="1"/>
  <c r="P37" i="42" s="1"/>
  <c r="F37" i="42"/>
  <c r="N36" i="42"/>
  <c r="M36" i="42"/>
  <c r="L36" i="42"/>
  <c r="K36" i="42"/>
  <c r="F36" i="42"/>
  <c r="N35" i="42"/>
  <c r="M35" i="42"/>
  <c r="L35" i="42"/>
  <c r="K35" i="42"/>
  <c r="F35" i="42"/>
  <c r="O34" i="42"/>
  <c r="P34" i="42" s="1"/>
  <c r="N34" i="42"/>
  <c r="M34" i="42"/>
  <c r="L34" i="42"/>
  <c r="S34" i="42" s="1"/>
  <c r="K34" i="42"/>
  <c r="F34" i="42"/>
  <c r="N33" i="42"/>
  <c r="M33" i="42"/>
  <c r="L33" i="42"/>
  <c r="K33" i="42"/>
  <c r="F33" i="42"/>
  <c r="N32" i="42"/>
  <c r="M32" i="42"/>
  <c r="L32" i="42"/>
  <c r="K32" i="42"/>
  <c r="F32" i="42"/>
  <c r="O31" i="42"/>
  <c r="P31" i="42" s="1"/>
  <c r="N31" i="42"/>
  <c r="S31" i="42" s="1"/>
  <c r="M31" i="42"/>
  <c r="L31" i="42"/>
  <c r="K31" i="42"/>
  <c r="F31" i="42"/>
  <c r="N30" i="42"/>
  <c r="M30" i="42"/>
  <c r="L30" i="42"/>
  <c r="K30" i="42"/>
  <c r="F30" i="42"/>
  <c r="N29" i="42"/>
  <c r="M29" i="42"/>
  <c r="L29" i="42"/>
  <c r="S29" i="42" s="1"/>
  <c r="K29" i="42"/>
  <c r="F29" i="42"/>
  <c r="S28" i="42"/>
  <c r="N28" i="42"/>
  <c r="M28" i="42"/>
  <c r="L28" i="42"/>
  <c r="K28" i="42"/>
  <c r="F28" i="42"/>
  <c r="N27" i="42"/>
  <c r="M27" i="42"/>
  <c r="L27" i="42"/>
  <c r="K27" i="42"/>
  <c r="F27" i="42"/>
  <c r="N26" i="42"/>
  <c r="M26" i="42"/>
  <c r="L26" i="42"/>
  <c r="K26" i="42"/>
  <c r="F26" i="42"/>
  <c r="O25" i="42"/>
  <c r="P25" i="42" s="1"/>
  <c r="N25" i="42"/>
  <c r="M25" i="42"/>
  <c r="L25" i="42"/>
  <c r="K25" i="42"/>
  <c r="F25" i="42"/>
  <c r="N24" i="42"/>
  <c r="M24" i="42"/>
  <c r="S24" i="42" s="1"/>
  <c r="L24" i="42"/>
  <c r="K24" i="42"/>
  <c r="F24" i="42"/>
  <c r="N23" i="42"/>
  <c r="M23" i="42"/>
  <c r="L23" i="42"/>
  <c r="K23" i="42"/>
  <c r="F23" i="42"/>
  <c r="N22" i="42"/>
  <c r="M22" i="42"/>
  <c r="L22" i="42"/>
  <c r="K22" i="42"/>
  <c r="F22" i="42"/>
  <c r="N21" i="42"/>
  <c r="M21" i="42"/>
  <c r="L21" i="42"/>
  <c r="S21" i="42" s="1"/>
  <c r="K21" i="42"/>
  <c r="O21" i="42" s="1"/>
  <c r="P21" i="42" s="1"/>
  <c r="F21" i="42"/>
  <c r="N20" i="42"/>
  <c r="M20" i="42"/>
  <c r="S20" i="42" s="1"/>
  <c r="L20" i="42"/>
  <c r="K20" i="42"/>
  <c r="F20" i="42"/>
  <c r="N19" i="42"/>
  <c r="M19" i="42"/>
  <c r="L19" i="42"/>
  <c r="K19" i="42"/>
  <c r="O19" i="42" s="1"/>
  <c r="P19" i="42" s="1"/>
  <c r="F19" i="42"/>
  <c r="N18" i="42"/>
  <c r="M18" i="42"/>
  <c r="L18" i="42"/>
  <c r="K18" i="42"/>
  <c r="S18" i="42" s="1"/>
  <c r="F18" i="42"/>
  <c r="N17" i="42"/>
  <c r="M17" i="42"/>
  <c r="L17" i="42"/>
  <c r="K17" i="42"/>
  <c r="F17" i="42"/>
  <c r="N16" i="42"/>
  <c r="M16" i="42"/>
  <c r="L16" i="42"/>
  <c r="K16" i="42"/>
  <c r="F16" i="42"/>
  <c r="S15" i="42"/>
  <c r="N15" i="42"/>
  <c r="M15" i="42"/>
  <c r="L15" i="42"/>
  <c r="O15" i="42" s="1"/>
  <c r="P15" i="42" s="1"/>
  <c r="K15" i="42"/>
  <c r="F15" i="42"/>
  <c r="N14" i="42"/>
  <c r="M14" i="42"/>
  <c r="L14" i="42"/>
  <c r="K14" i="42"/>
  <c r="F14" i="42"/>
  <c r="P13" i="42"/>
  <c r="O13" i="42"/>
  <c r="N13" i="42"/>
  <c r="M13" i="42"/>
  <c r="L13" i="42"/>
  <c r="K13" i="42"/>
  <c r="F13" i="42"/>
  <c r="S12" i="42"/>
  <c r="P12" i="42"/>
  <c r="N12" i="42"/>
  <c r="M12" i="42"/>
  <c r="L12" i="42"/>
  <c r="K12" i="42"/>
  <c r="O12" i="42" s="1"/>
  <c r="F12" i="42"/>
  <c r="N11" i="42"/>
  <c r="M11" i="42"/>
  <c r="S11" i="42" s="1"/>
  <c r="L11" i="42"/>
  <c r="K11" i="42"/>
  <c r="F11" i="42"/>
  <c r="N10" i="42"/>
  <c r="M10" i="42"/>
  <c r="L10" i="42"/>
  <c r="K10" i="42"/>
  <c r="S10" i="42" s="1"/>
  <c r="F10" i="42"/>
  <c r="P9" i="42"/>
  <c r="O9" i="42"/>
  <c r="N9" i="42"/>
  <c r="M9" i="42"/>
  <c r="L9" i="42"/>
  <c r="S9" i="42" s="1"/>
  <c r="K9" i="42"/>
  <c r="F9" i="42"/>
  <c r="N8" i="42"/>
  <c r="M8" i="42"/>
  <c r="L8" i="42"/>
  <c r="K8" i="42"/>
  <c r="F8" i="42"/>
  <c r="N7" i="42"/>
  <c r="M7" i="42"/>
  <c r="S7" i="42" s="1"/>
  <c r="L7" i="42"/>
  <c r="O7" i="42" s="1"/>
  <c r="P7" i="42" s="1"/>
  <c r="K7" i="42"/>
  <c r="F7" i="42"/>
  <c r="S6" i="42"/>
  <c r="O6" i="42"/>
  <c r="P6" i="42" s="1"/>
  <c r="N6" i="42"/>
  <c r="M6" i="42"/>
  <c r="L6" i="42"/>
  <c r="K6" i="42"/>
  <c r="F6" i="42"/>
  <c r="N5" i="42"/>
  <c r="M5" i="42"/>
  <c r="L5" i="42"/>
  <c r="K5" i="42"/>
  <c r="F5" i="42"/>
  <c r="N490" i="28"/>
  <c r="M490" i="28"/>
  <c r="L490" i="28"/>
  <c r="K490" i="28"/>
  <c r="F490" i="28"/>
  <c r="N489" i="28"/>
  <c r="M489" i="28"/>
  <c r="S489" i="28" s="1"/>
  <c r="L489" i="28"/>
  <c r="K489" i="28"/>
  <c r="F489" i="28"/>
  <c r="N488" i="28"/>
  <c r="M488" i="28"/>
  <c r="L488" i="28"/>
  <c r="K488" i="28"/>
  <c r="F488" i="28"/>
  <c r="O487" i="28"/>
  <c r="P487" i="28" s="1"/>
  <c r="N487" i="28"/>
  <c r="M487" i="28"/>
  <c r="L487" i="28"/>
  <c r="K487" i="28"/>
  <c r="F487" i="28"/>
  <c r="N486" i="28"/>
  <c r="M486" i="28"/>
  <c r="L486" i="28"/>
  <c r="K486" i="28"/>
  <c r="F486" i="28"/>
  <c r="N485" i="28"/>
  <c r="M485" i="28"/>
  <c r="L485" i="28"/>
  <c r="S485" i="28" s="1"/>
  <c r="K485" i="28"/>
  <c r="F485" i="28"/>
  <c r="N484" i="28"/>
  <c r="M484" i="28"/>
  <c r="L484" i="28"/>
  <c r="K484" i="28"/>
  <c r="O484" i="28" s="1"/>
  <c r="P484" i="28" s="1"/>
  <c r="F484" i="28"/>
  <c r="O483" i="28"/>
  <c r="P483" i="28" s="1"/>
  <c r="N483" i="28"/>
  <c r="M483" i="28"/>
  <c r="L483" i="28"/>
  <c r="K483" i="28"/>
  <c r="F483" i="28"/>
  <c r="N482" i="28"/>
  <c r="M482" i="28"/>
  <c r="L482" i="28"/>
  <c r="K482" i="28"/>
  <c r="F482" i="28"/>
  <c r="N481" i="28"/>
  <c r="M481" i="28"/>
  <c r="L481" i="28"/>
  <c r="K481" i="28"/>
  <c r="S481" i="28" s="1"/>
  <c r="F481" i="28"/>
  <c r="N480" i="28"/>
  <c r="M480" i="28"/>
  <c r="S480" i="28" s="1"/>
  <c r="L480" i="28"/>
  <c r="K480" i="28"/>
  <c r="F480" i="28"/>
  <c r="N479" i="28"/>
  <c r="M479" i="28"/>
  <c r="L479" i="28"/>
  <c r="K479" i="28"/>
  <c r="F479" i="28"/>
  <c r="O478" i="28"/>
  <c r="P478" i="28" s="1"/>
  <c r="N478" i="28"/>
  <c r="M478" i="28"/>
  <c r="L478" i="28"/>
  <c r="K478" i="28"/>
  <c r="S478" i="28" s="1"/>
  <c r="F478" i="28"/>
  <c r="S477" i="28"/>
  <c r="N477" i="28"/>
  <c r="M477" i="28"/>
  <c r="L477" i="28"/>
  <c r="O477" i="28" s="1"/>
  <c r="P477" i="28" s="1"/>
  <c r="K477" i="28"/>
  <c r="F477" i="28"/>
  <c r="S476" i="28"/>
  <c r="N476" i="28"/>
  <c r="M476" i="28"/>
  <c r="L476" i="28"/>
  <c r="K476" i="28"/>
  <c r="O476" i="28" s="1"/>
  <c r="P476" i="28" s="1"/>
  <c r="F476" i="28"/>
  <c r="S475" i="28"/>
  <c r="N475" i="28"/>
  <c r="M475" i="28"/>
  <c r="L475" i="28"/>
  <c r="K475" i="28"/>
  <c r="F475" i="28"/>
  <c r="N474" i="28"/>
  <c r="M474" i="28"/>
  <c r="L474" i="28"/>
  <c r="K474" i="28"/>
  <c r="F474" i="28"/>
  <c r="S473" i="28"/>
  <c r="N473" i="28"/>
  <c r="M473" i="28"/>
  <c r="L473" i="28"/>
  <c r="K473" i="28"/>
  <c r="F473" i="28"/>
  <c r="N472" i="28"/>
  <c r="M472" i="28"/>
  <c r="L472" i="28"/>
  <c r="K472" i="28"/>
  <c r="S472" i="28" s="1"/>
  <c r="F472" i="28"/>
  <c r="N471" i="28"/>
  <c r="M471" i="28"/>
  <c r="L471" i="28"/>
  <c r="K471" i="28"/>
  <c r="S471" i="28" s="1"/>
  <c r="F471" i="28"/>
  <c r="N470" i="28"/>
  <c r="M470" i="28"/>
  <c r="L470" i="28"/>
  <c r="K470" i="28"/>
  <c r="F470" i="28"/>
  <c r="N469" i="28"/>
  <c r="M469" i="28"/>
  <c r="L469" i="28"/>
  <c r="S469" i="28" s="1"/>
  <c r="K469" i="28"/>
  <c r="F469" i="28"/>
  <c r="N468" i="28"/>
  <c r="M468" i="28"/>
  <c r="L468" i="28"/>
  <c r="O468" i="28" s="1"/>
  <c r="P468" i="28" s="1"/>
  <c r="K468" i="28"/>
  <c r="F468" i="28"/>
  <c r="N467" i="28"/>
  <c r="M467" i="28"/>
  <c r="S467" i="28" s="1"/>
  <c r="L467" i="28"/>
  <c r="K467" i="28"/>
  <c r="F467" i="28"/>
  <c r="N466" i="28"/>
  <c r="M466" i="28"/>
  <c r="L466" i="28"/>
  <c r="K466" i="28"/>
  <c r="F466" i="28"/>
  <c r="N465" i="28"/>
  <c r="M465" i="28"/>
  <c r="L465" i="28"/>
  <c r="K465" i="28"/>
  <c r="F465" i="28"/>
  <c r="N464" i="28"/>
  <c r="M464" i="28"/>
  <c r="L464" i="28"/>
  <c r="S464" i="28" s="1"/>
  <c r="K464" i="28"/>
  <c r="F464" i="28"/>
  <c r="N463" i="28"/>
  <c r="M463" i="28"/>
  <c r="L463" i="28"/>
  <c r="K463" i="28"/>
  <c r="F463" i="28"/>
  <c r="N462" i="28"/>
  <c r="M462" i="28"/>
  <c r="L462" i="28"/>
  <c r="K462" i="28"/>
  <c r="F462" i="28"/>
  <c r="N461" i="28"/>
  <c r="M461" i="28"/>
  <c r="L461" i="28"/>
  <c r="K461" i="28"/>
  <c r="F461" i="28"/>
  <c r="N460" i="28"/>
  <c r="M460" i="28"/>
  <c r="L460" i="28"/>
  <c r="S460" i="28" s="1"/>
  <c r="K460" i="28"/>
  <c r="O460" i="28" s="1"/>
  <c r="P460" i="28" s="1"/>
  <c r="F460" i="28"/>
  <c r="S459" i="28"/>
  <c r="N459" i="28"/>
  <c r="M459" i="28"/>
  <c r="L459" i="28"/>
  <c r="K459" i="28"/>
  <c r="F459" i="28"/>
  <c r="N458" i="28"/>
  <c r="M458" i="28"/>
  <c r="L458" i="28"/>
  <c r="K458" i="28"/>
  <c r="O458" i="28" s="1"/>
  <c r="P458" i="28" s="1"/>
  <c r="F458" i="28"/>
  <c r="N457" i="28"/>
  <c r="M457" i="28"/>
  <c r="L457" i="28"/>
  <c r="K457" i="28"/>
  <c r="F457" i="28"/>
  <c r="N456" i="28"/>
  <c r="M456" i="28"/>
  <c r="L456" i="28"/>
  <c r="K456" i="28"/>
  <c r="F456" i="28"/>
  <c r="S455" i="28"/>
  <c r="N455" i="28"/>
  <c r="M455" i="28"/>
  <c r="L455" i="28"/>
  <c r="K455" i="28"/>
  <c r="F455" i="28"/>
  <c r="S454" i="28"/>
  <c r="N454" i="28"/>
  <c r="M454" i="28"/>
  <c r="L454" i="28"/>
  <c r="O454" i="28" s="1"/>
  <c r="P454" i="28" s="1"/>
  <c r="K454" i="28"/>
  <c r="F454" i="28"/>
  <c r="N453" i="28"/>
  <c r="M453" i="28"/>
  <c r="L453" i="28"/>
  <c r="O453" i="28" s="1"/>
  <c r="P453" i="28" s="1"/>
  <c r="K453" i="28"/>
  <c r="S453" i="28" s="1"/>
  <c r="F453" i="28"/>
  <c r="N452" i="28"/>
  <c r="M452" i="28"/>
  <c r="L452" i="28"/>
  <c r="K452" i="28"/>
  <c r="O452" i="28" s="1"/>
  <c r="P452" i="28" s="1"/>
  <c r="F452" i="28"/>
  <c r="S451" i="28"/>
  <c r="N451" i="28"/>
  <c r="M451" i="28"/>
  <c r="L451" i="28"/>
  <c r="K451" i="28"/>
  <c r="O451" i="28" s="1"/>
  <c r="P451" i="28" s="1"/>
  <c r="F451" i="28"/>
  <c r="N450" i="28"/>
  <c r="S450" i="28" s="1"/>
  <c r="M450" i="28"/>
  <c r="L450" i="28"/>
  <c r="K450" i="28"/>
  <c r="F450" i="28"/>
  <c r="N449" i="28"/>
  <c r="M449" i="28"/>
  <c r="L449" i="28"/>
  <c r="K449" i="28"/>
  <c r="F449" i="28"/>
  <c r="P448" i="28"/>
  <c r="O448" i="28"/>
  <c r="N448" i="28"/>
  <c r="M448" i="28"/>
  <c r="L448" i="28"/>
  <c r="S448" i="28" s="1"/>
  <c r="K448" i="28"/>
  <c r="F448" i="28"/>
  <c r="N447" i="28"/>
  <c r="M447" i="28"/>
  <c r="L447" i="28"/>
  <c r="K447" i="28"/>
  <c r="F447" i="28"/>
  <c r="N446" i="28"/>
  <c r="M446" i="28"/>
  <c r="L446" i="28"/>
  <c r="K446" i="28"/>
  <c r="F446" i="28"/>
  <c r="N445" i="28"/>
  <c r="S445" i="28" s="1"/>
  <c r="M445" i="28"/>
  <c r="L445" i="28"/>
  <c r="K445" i="28"/>
  <c r="F445" i="28"/>
  <c r="N444" i="28"/>
  <c r="M444" i="28"/>
  <c r="L444" i="28"/>
  <c r="S444" i="28" s="1"/>
  <c r="K444" i="28"/>
  <c r="F444" i="28"/>
  <c r="S443" i="28"/>
  <c r="N443" i="28"/>
  <c r="M443" i="28"/>
  <c r="L443" i="28"/>
  <c r="K443" i="28"/>
  <c r="F443" i="28"/>
  <c r="S442" i="28"/>
  <c r="P442" i="28"/>
  <c r="N442" i="28"/>
  <c r="M442" i="28"/>
  <c r="L442" i="28"/>
  <c r="K442" i="28"/>
  <c r="O442" i="28" s="1"/>
  <c r="F442" i="28"/>
  <c r="N441" i="28"/>
  <c r="M441" i="28"/>
  <c r="L441" i="28"/>
  <c r="K441" i="28"/>
  <c r="F441" i="28"/>
  <c r="N440" i="28"/>
  <c r="M440" i="28"/>
  <c r="L440" i="28"/>
  <c r="K440" i="28"/>
  <c r="F440" i="28"/>
  <c r="N439" i="28"/>
  <c r="M439" i="28"/>
  <c r="L439" i="28"/>
  <c r="S439" i="28" s="1"/>
  <c r="K439" i="28"/>
  <c r="F439" i="28"/>
  <c r="O438" i="28"/>
  <c r="P438" i="28" s="1"/>
  <c r="N438" i="28"/>
  <c r="M438" i="28"/>
  <c r="S438" i="28" s="1"/>
  <c r="L438" i="28"/>
  <c r="K438" i="28"/>
  <c r="F438" i="28"/>
  <c r="N437" i="28"/>
  <c r="M437" i="28"/>
  <c r="L437" i="28"/>
  <c r="K437" i="28"/>
  <c r="F437" i="28"/>
  <c r="S436" i="28"/>
  <c r="O436" i="28"/>
  <c r="P436" i="28" s="1"/>
  <c r="N436" i="28"/>
  <c r="M436" i="28"/>
  <c r="L436" i="28"/>
  <c r="K436" i="28"/>
  <c r="F436" i="28"/>
  <c r="N435" i="28"/>
  <c r="M435" i="28"/>
  <c r="L435" i="28"/>
  <c r="K435" i="28"/>
  <c r="S435" i="28" s="1"/>
  <c r="F435" i="28"/>
  <c r="S434" i="28"/>
  <c r="N434" i="28"/>
  <c r="M434" i="28"/>
  <c r="L434" i="28"/>
  <c r="K434" i="28"/>
  <c r="O434" i="28" s="1"/>
  <c r="P434" i="28" s="1"/>
  <c r="F434" i="28"/>
  <c r="N433" i="28"/>
  <c r="M433" i="28"/>
  <c r="S433" i="28" s="1"/>
  <c r="L433" i="28"/>
  <c r="K433" i="28"/>
  <c r="F433" i="28"/>
  <c r="N432" i="28"/>
  <c r="M432" i="28"/>
  <c r="L432" i="28"/>
  <c r="K432" i="28"/>
  <c r="F432" i="28"/>
  <c r="N431" i="28"/>
  <c r="M431" i="28"/>
  <c r="L431" i="28"/>
  <c r="K431" i="28"/>
  <c r="F431" i="28"/>
  <c r="N430" i="28"/>
  <c r="M430" i="28"/>
  <c r="L430" i="28"/>
  <c r="S430" i="28" s="1"/>
  <c r="K430" i="28"/>
  <c r="F430" i="28"/>
  <c r="S429" i="28"/>
  <c r="N429" i="28"/>
  <c r="M429" i="28"/>
  <c r="L429" i="28"/>
  <c r="O429" i="28" s="1"/>
  <c r="P429" i="28" s="1"/>
  <c r="K429" i="28"/>
  <c r="F429" i="28"/>
  <c r="N428" i="28"/>
  <c r="M428" i="28"/>
  <c r="L428" i="28"/>
  <c r="K428" i="28"/>
  <c r="F428" i="28"/>
  <c r="N427" i="28"/>
  <c r="M427" i="28"/>
  <c r="L427" i="28"/>
  <c r="S427" i="28" s="1"/>
  <c r="K427" i="28"/>
  <c r="F427" i="28"/>
  <c r="N426" i="28"/>
  <c r="M426" i="28"/>
  <c r="L426" i="28"/>
  <c r="K426" i="28"/>
  <c r="O426" i="28" s="1"/>
  <c r="P426" i="28" s="1"/>
  <c r="F426" i="28"/>
  <c r="N425" i="28"/>
  <c r="M425" i="28"/>
  <c r="S425" i="28" s="1"/>
  <c r="L425" i="28"/>
  <c r="K425" i="28"/>
  <c r="F425" i="28"/>
  <c r="N424" i="28"/>
  <c r="M424" i="28"/>
  <c r="L424" i="28"/>
  <c r="K424" i="28"/>
  <c r="S424" i="28" s="1"/>
  <c r="F424" i="28"/>
  <c r="N423" i="28"/>
  <c r="M423" i="28"/>
  <c r="L423" i="28"/>
  <c r="S423" i="28" s="1"/>
  <c r="K423" i="28"/>
  <c r="F423" i="28"/>
  <c r="N422" i="28"/>
  <c r="M422" i="28"/>
  <c r="L422" i="28"/>
  <c r="K422" i="28"/>
  <c r="F422" i="28"/>
  <c r="S421" i="28"/>
  <c r="N421" i="28"/>
  <c r="M421" i="28"/>
  <c r="L421" i="28"/>
  <c r="O421" i="28" s="1"/>
  <c r="P421" i="28" s="1"/>
  <c r="K421" i="28"/>
  <c r="F421" i="28"/>
  <c r="O420" i="28"/>
  <c r="P420" i="28" s="1"/>
  <c r="N420" i="28"/>
  <c r="S420" i="28" s="1"/>
  <c r="M420" i="28"/>
  <c r="L420" i="28"/>
  <c r="K420" i="28"/>
  <c r="F420" i="28"/>
  <c r="N419" i="28"/>
  <c r="M419" i="28"/>
  <c r="L419" i="28"/>
  <c r="K419" i="28"/>
  <c r="O419" i="28" s="1"/>
  <c r="P419" i="28" s="1"/>
  <c r="F419" i="28"/>
  <c r="N418" i="28"/>
  <c r="M418" i="28"/>
  <c r="L418" i="28"/>
  <c r="O418" i="28" s="1"/>
  <c r="P418" i="28" s="1"/>
  <c r="K418" i="28"/>
  <c r="F418" i="28"/>
  <c r="S417" i="28"/>
  <c r="N417" i="28"/>
  <c r="M417" i="28"/>
  <c r="L417" i="28"/>
  <c r="K417" i="28"/>
  <c r="F417" i="28"/>
  <c r="N416" i="28"/>
  <c r="M416" i="28"/>
  <c r="L416" i="28"/>
  <c r="K416" i="28"/>
  <c r="O416" i="28" s="1"/>
  <c r="P416" i="28" s="1"/>
  <c r="F416" i="28"/>
  <c r="N415" i="28"/>
  <c r="M415" i="28"/>
  <c r="L415" i="28"/>
  <c r="O415" i="28" s="1"/>
  <c r="P415" i="28" s="1"/>
  <c r="K415" i="28"/>
  <c r="F415" i="28"/>
  <c r="P414" i="28"/>
  <c r="O414" i="28"/>
  <c r="N414" i="28"/>
  <c r="M414" i="28"/>
  <c r="L414" i="28"/>
  <c r="S414" i="28" s="1"/>
  <c r="K414" i="28"/>
  <c r="F414" i="28"/>
  <c r="N413" i="28"/>
  <c r="M413" i="28"/>
  <c r="L413" i="28"/>
  <c r="K413" i="28"/>
  <c r="F413" i="28"/>
  <c r="N412" i="28"/>
  <c r="M412" i="28"/>
  <c r="L412" i="28"/>
  <c r="K412" i="28"/>
  <c r="O412" i="28" s="1"/>
  <c r="P412" i="28" s="1"/>
  <c r="F412" i="28"/>
  <c r="N411" i="28"/>
  <c r="M411" i="28"/>
  <c r="L411" i="28"/>
  <c r="K411" i="28"/>
  <c r="S411" i="28" s="1"/>
  <c r="F411" i="28"/>
  <c r="N410" i="28"/>
  <c r="M410" i="28"/>
  <c r="L410" i="28"/>
  <c r="K410" i="28"/>
  <c r="F410" i="28"/>
  <c r="N409" i="28"/>
  <c r="M409" i="28"/>
  <c r="L409" i="28"/>
  <c r="S409" i="28" s="1"/>
  <c r="K409" i="28"/>
  <c r="F409" i="28"/>
  <c r="N408" i="28"/>
  <c r="M408" i="28"/>
  <c r="L408" i="28"/>
  <c r="K408" i="28"/>
  <c r="O408" i="28" s="1"/>
  <c r="P408" i="28" s="1"/>
  <c r="F408" i="28"/>
  <c r="N407" i="28"/>
  <c r="M407" i="28"/>
  <c r="L407" i="28"/>
  <c r="K407" i="28"/>
  <c r="F407" i="28"/>
  <c r="S406" i="28"/>
  <c r="O406" i="28"/>
  <c r="P406" i="28" s="1"/>
  <c r="N406" i="28"/>
  <c r="M406" i="28"/>
  <c r="L406" i="28"/>
  <c r="K406" i="28"/>
  <c r="F406" i="28"/>
  <c r="N405" i="28"/>
  <c r="M405" i="28"/>
  <c r="L405" i="28"/>
  <c r="K405" i="28"/>
  <c r="S405" i="28" s="1"/>
  <c r="F405" i="28"/>
  <c r="N404" i="28"/>
  <c r="M404" i="28"/>
  <c r="L404" i="28"/>
  <c r="K404" i="28"/>
  <c r="F404" i="28"/>
  <c r="S403" i="28"/>
  <c r="N403" i="28"/>
  <c r="M403" i="28"/>
  <c r="L403" i="28"/>
  <c r="K403" i="28"/>
  <c r="O403" i="28" s="1"/>
  <c r="P403" i="28" s="1"/>
  <c r="F403" i="28"/>
  <c r="P402" i="28"/>
  <c r="O402" i="28"/>
  <c r="N402" i="28"/>
  <c r="S402" i="28" s="1"/>
  <c r="M402" i="28"/>
  <c r="L402" i="28"/>
  <c r="K402" i="28"/>
  <c r="F402" i="28"/>
  <c r="N401" i="28"/>
  <c r="M401" i="28"/>
  <c r="L401" i="28"/>
  <c r="S401" i="28" s="1"/>
  <c r="K401" i="28"/>
  <c r="F401" i="28"/>
  <c r="N400" i="28"/>
  <c r="M400" i="28"/>
  <c r="L400" i="28"/>
  <c r="O400" i="28" s="1"/>
  <c r="P400" i="28" s="1"/>
  <c r="K400" i="28"/>
  <c r="F400" i="28"/>
  <c r="N399" i="28"/>
  <c r="M399" i="28"/>
  <c r="S399" i="28" s="1"/>
  <c r="L399" i="28"/>
  <c r="K399" i="28"/>
  <c r="F399" i="28"/>
  <c r="N398" i="28"/>
  <c r="M398" i="28"/>
  <c r="L398" i="28"/>
  <c r="K398" i="28"/>
  <c r="O398" i="28" s="1"/>
  <c r="P398" i="28" s="1"/>
  <c r="F398" i="28"/>
  <c r="N397" i="28"/>
  <c r="M397" i="28"/>
  <c r="L397" i="28"/>
  <c r="K397" i="28"/>
  <c r="S397" i="28" s="1"/>
  <c r="F397" i="28"/>
  <c r="N396" i="28"/>
  <c r="M396" i="28"/>
  <c r="L396" i="28"/>
  <c r="S396" i="28" s="1"/>
  <c r="K396" i="28"/>
  <c r="F396" i="28"/>
  <c r="N395" i="28"/>
  <c r="M395" i="28"/>
  <c r="S395" i="28" s="1"/>
  <c r="L395" i="28"/>
  <c r="K395" i="28"/>
  <c r="F395" i="28"/>
  <c r="N394" i="28"/>
  <c r="M394" i="28"/>
  <c r="L394" i="28"/>
  <c r="K394" i="28"/>
  <c r="F394" i="28"/>
  <c r="O393" i="28"/>
  <c r="P393" i="28" s="1"/>
  <c r="N393" i="28"/>
  <c r="M393" i="28"/>
  <c r="L393" i="28"/>
  <c r="K393" i="28"/>
  <c r="F393" i="28"/>
  <c r="S392" i="28"/>
  <c r="N392" i="28"/>
  <c r="M392" i="28"/>
  <c r="L392" i="28"/>
  <c r="K392" i="28"/>
  <c r="F392" i="28"/>
  <c r="N391" i="28"/>
  <c r="M391" i="28"/>
  <c r="S391" i="28" s="1"/>
  <c r="L391" i="28"/>
  <c r="K391" i="28"/>
  <c r="O391" i="28" s="1"/>
  <c r="P391" i="28" s="1"/>
  <c r="F391" i="28"/>
  <c r="N390" i="28"/>
  <c r="S390" i="28" s="1"/>
  <c r="M390" i="28"/>
  <c r="L390" i="28"/>
  <c r="K390" i="28"/>
  <c r="O390" i="28" s="1"/>
  <c r="P390" i="28" s="1"/>
  <c r="F390" i="28"/>
  <c r="N389" i="28"/>
  <c r="M389" i="28"/>
  <c r="L389" i="28"/>
  <c r="K389" i="28"/>
  <c r="F389" i="28"/>
  <c r="N388" i="28"/>
  <c r="M388" i="28"/>
  <c r="L388" i="28"/>
  <c r="K388" i="28"/>
  <c r="S388" i="28" s="1"/>
  <c r="F388" i="28"/>
  <c r="N387" i="28"/>
  <c r="M387" i="28"/>
  <c r="L387" i="28"/>
  <c r="K387" i="28"/>
  <c r="S387" i="28" s="1"/>
  <c r="F387" i="28"/>
  <c r="N386" i="28"/>
  <c r="M386" i="28"/>
  <c r="L386" i="28"/>
  <c r="K386" i="28"/>
  <c r="O386" i="28" s="1"/>
  <c r="P386" i="28" s="1"/>
  <c r="F386" i="28"/>
  <c r="N385" i="28"/>
  <c r="M385" i="28"/>
  <c r="L385" i="28"/>
  <c r="K385" i="28"/>
  <c r="S385" i="28" s="1"/>
  <c r="F385" i="28"/>
  <c r="N384" i="28"/>
  <c r="M384" i="28"/>
  <c r="L384" i="28"/>
  <c r="K384" i="28"/>
  <c r="S384" i="28" s="1"/>
  <c r="F384" i="28"/>
  <c r="S383" i="28"/>
  <c r="N383" i="28"/>
  <c r="M383" i="28"/>
  <c r="L383" i="28"/>
  <c r="K383" i="28"/>
  <c r="F383" i="28"/>
  <c r="N382" i="28"/>
  <c r="M382" i="28"/>
  <c r="L382" i="28"/>
  <c r="S382" i="28" s="1"/>
  <c r="K382" i="28"/>
  <c r="F382" i="28"/>
  <c r="N381" i="28"/>
  <c r="M381" i="28"/>
  <c r="L381" i="28"/>
  <c r="K381" i="28"/>
  <c r="S381" i="28" s="1"/>
  <c r="F381" i="28"/>
  <c r="N380" i="28"/>
  <c r="M380" i="28"/>
  <c r="L380" i="28"/>
  <c r="O380" i="28" s="1"/>
  <c r="P380" i="28" s="1"/>
  <c r="K380" i="28"/>
  <c r="S380" i="28" s="1"/>
  <c r="F380" i="28"/>
  <c r="N379" i="28"/>
  <c r="M379" i="28"/>
  <c r="L379" i="28"/>
  <c r="K379" i="28"/>
  <c r="F379" i="28"/>
  <c r="N378" i="28"/>
  <c r="M378" i="28"/>
  <c r="L378" i="28"/>
  <c r="K378" i="28"/>
  <c r="S378" i="28" s="1"/>
  <c r="F378" i="28"/>
  <c r="N377" i="28"/>
  <c r="M377" i="28"/>
  <c r="S377" i="28" s="1"/>
  <c r="L377" i="28"/>
  <c r="K377" i="28"/>
  <c r="O377" i="28" s="1"/>
  <c r="P377" i="28" s="1"/>
  <c r="F377" i="28"/>
  <c r="S376" i="28"/>
  <c r="N376" i="28"/>
  <c r="M376" i="28"/>
  <c r="L376" i="28"/>
  <c r="K376" i="28"/>
  <c r="F376" i="28"/>
  <c r="N375" i="28"/>
  <c r="M375" i="28"/>
  <c r="L375" i="28"/>
  <c r="K375" i="28"/>
  <c r="S375" i="28" s="1"/>
  <c r="F375" i="28"/>
  <c r="N374" i="28"/>
  <c r="M374" i="28"/>
  <c r="L374" i="28"/>
  <c r="K374" i="28"/>
  <c r="S374" i="28" s="1"/>
  <c r="F374" i="28"/>
  <c r="N373" i="28"/>
  <c r="M373" i="28"/>
  <c r="L373" i="28"/>
  <c r="K373" i="28"/>
  <c r="F373" i="28"/>
  <c r="P372" i="28"/>
  <c r="O372" i="28"/>
  <c r="N372" i="28"/>
  <c r="S372" i="28" s="1"/>
  <c r="M372" i="28"/>
  <c r="L372" i="28"/>
  <c r="K372" i="28"/>
  <c r="F372" i="28"/>
  <c r="N371" i="28"/>
  <c r="M371" i="28"/>
  <c r="S371" i="28" s="1"/>
  <c r="L371" i="28"/>
  <c r="K371" i="28"/>
  <c r="O371" i="28" s="1"/>
  <c r="P371" i="28" s="1"/>
  <c r="F371" i="28"/>
  <c r="N370" i="28"/>
  <c r="M370" i="28"/>
  <c r="L370" i="28"/>
  <c r="S370" i="28" s="1"/>
  <c r="K370" i="28"/>
  <c r="F370" i="28"/>
  <c r="N369" i="28"/>
  <c r="M369" i="28"/>
  <c r="S369" i="28" s="1"/>
  <c r="L369" i="28"/>
  <c r="O369" i="28" s="1"/>
  <c r="P369" i="28" s="1"/>
  <c r="K369" i="28"/>
  <c r="F369" i="28"/>
  <c r="N368" i="28"/>
  <c r="M368" i="28"/>
  <c r="L368" i="28"/>
  <c r="K368" i="28"/>
  <c r="S368" i="28" s="1"/>
  <c r="F368" i="28"/>
  <c r="N367" i="28"/>
  <c r="M367" i="28"/>
  <c r="L367" i="28"/>
  <c r="K367" i="28"/>
  <c r="S367" i="28" s="1"/>
  <c r="F367" i="28"/>
  <c r="N366" i="28"/>
  <c r="M366" i="28"/>
  <c r="L366" i="28"/>
  <c r="K366" i="28"/>
  <c r="S366" i="28" s="1"/>
  <c r="F366" i="28"/>
  <c r="N365" i="28"/>
  <c r="M365" i="28"/>
  <c r="L365" i="28"/>
  <c r="K365" i="28"/>
  <c r="S365" i="28" s="1"/>
  <c r="F365" i="28"/>
  <c r="N364" i="28"/>
  <c r="M364" i="28"/>
  <c r="L364" i="28"/>
  <c r="K364" i="28"/>
  <c r="F364" i="28"/>
  <c r="P363" i="28"/>
  <c r="O363" i="28"/>
  <c r="N363" i="28"/>
  <c r="M363" i="28"/>
  <c r="S363" i="28" s="1"/>
  <c r="L363" i="28"/>
  <c r="K363" i="28"/>
  <c r="F363" i="28"/>
  <c r="N362" i="28"/>
  <c r="M362" i="28"/>
  <c r="L362" i="28"/>
  <c r="K362" i="28"/>
  <c r="S362" i="28" s="1"/>
  <c r="F362" i="28"/>
  <c r="N361" i="28"/>
  <c r="M361" i="28"/>
  <c r="L361" i="28"/>
  <c r="K361" i="28"/>
  <c r="F361" i="28"/>
  <c r="N360" i="28"/>
  <c r="S360" i="28" s="1"/>
  <c r="M360" i="28"/>
  <c r="L360" i="28"/>
  <c r="K360" i="28"/>
  <c r="O360" i="28" s="1"/>
  <c r="P360" i="28" s="1"/>
  <c r="F360" i="28"/>
  <c r="S359" i="28"/>
  <c r="P359" i="28"/>
  <c r="O359" i="28"/>
  <c r="N359" i="28"/>
  <c r="M359" i="28"/>
  <c r="L359" i="28"/>
  <c r="K359" i="28"/>
  <c r="F359" i="28"/>
  <c r="N358" i="28"/>
  <c r="M358" i="28"/>
  <c r="L358" i="28"/>
  <c r="K358" i="28"/>
  <c r="O358" i="28" s="1"/>
  <c r="P358" i="28" s="1"/>
  <c r="F358" i="28"/>
  <c r="N357" i="28"/>
  <c r="M357" i="28"/>
  <c r="L357" i="28"/>
  <c r="O357" i="28" s="1"/>
  <c r="P357" i="28" s="1"/>
  <c r="K357" i="28"/>
  <c r="S357" i="28" s="1"/>
  <c r="F357" i="28"/>
  <c r="N356" i="28"/>
  <c r="M356" i="28"/>
  <c r="S356" i="28" s="1"/>
  <c r="L356" i="28"/>
  <c r="O356" i="28" s="1"/>
  <c r="P356" i="28" s="1"/>
  <c r="K356" i="28"/>
  <c r="F356" i="28"/>
  <c r="N355" i="28"/>
  <c r="M355" i="28"/>
  <c r="L355" i="28"/>
  <c r="K355" i="28"/>
  <c r="F355" i="28"/>
  <c r="N354" i="28"/>
  <c r="M354" i="28"/>
  <c r="S354" i="28" s="1"/>
  <c r="L354" i="28"/>
  <c r="K354" i="28"/>
  <c r="O354" i="28" s="1"/>
  <c r="P354" i="28" s="1"/>
  <c r="F354" i="28"/>
  <c r="N353" i="28"/>
  <c r="M353" i="28"/>
  <c r="L353" i="28"/>
  <c r="K353" i="28"/>
  <c r="S353" i="28" s="1"/>
  <c r="F353" i="28"/>
  <c r="N352" i="28"/>
  <c r="M352" i="28"/>
  <c r="L352" i="28"/>
  <c r="K352" i="28"/>
  <c r="F352" i="28"/>
  <c r="N351" i="28"/>
  <c r="M351" i="28"/>
  <c r="L351" i="28"/>
  <c r="K351" i="28"/>
  <c r="S351" i="28" s="1"/>
  <c r="F351" i="28"/>
  <c r="P350" i="28"/>
  <c r="O350" i="28"/>
  <c r="N350" i="28"/>
  <c r="M350" i="28"/>
  <c r="S350" i="28" s="1"/>
  <c r="L350" i="28"/>
  <c r="K350" i="28"/>
  <c r="F350" i="28"/>
  <c r="S349" i="28"/>
  <c r="N349" i="28"/>
  <c r="M349" i="28"/>
  <c r="L349" i="28"/>
  <c r="K349" i="28"/>
  <c r="F349" i="28"/>
  <c r="N348" i="28"/>
  <c r="M348" i="28"/>
  <c r="S348" i="28" s="1"/>
  <c r="L348" i="28"/>
  <c r="K348" i="28"/>
  <c r="O348" i="28" s="1"/>
  <c r="P348" i="28" s="1"/>
  <c r="F348" i="28"/>
  <c r="N347" i="28"/>
  <c r="S347" i="28" s="1"/>
  <c r="M347" i="28"/>
  <c r="L347" i="28"/>
  <c r="K347" i="28"/>
  <c r="O347" i="28" s="1"/>
  <c r="P347" i="28" s="1"/>
  <c r="F347" i="28"/>
  <c r="N346" i="28"/>
  <c r="M346" i="28"/>
  <c r="L346" i="28"/>
  <c r="S346" i="28" s="1"/>
  <c r="K346" i="28"/>
  <c r="F346" i="28"/>
  <c r="N345" i="28"/>
  <c r="M345" i="28"/>
  <c r="L345" i="28"/>
  <c r="K345" i="28"/>
  <c r="S345" i="28" s="1"/>
  <c r="F345" i="28"/>
  <c r="N344" i="28"/>
  <c r="M344" i="28"/>
  <c r="L344" i="28"/>
  <c r="O344" i="28" s="1"/>
  <c r="P344" i="28" s="1"/>
  <c r="K344" i="28"/>
  <c r="S344" i="28" s="1"/>
  <c r="F344" i="28"/>
  <c r="N343" i="28"/>
  <c r="M343" i="28"/>
  <c r="L343" i="28"/>
  <c r="K343" i="28"/>
  <c r="F343" i="28"/>
  <c r="N342" i="28"/>
  <c r="M342" i="28"/>
  <c r="L342" i="28"/>
  <c r="K342" i="28"/>
  <c r="S342" i="28" s="1"/>
  <c r="F342" i="28"/>
  <c r="N341" i="28"/>
  <c r="M341" i="28"/>
  <c r="S341" i="28" s="1"/>
  <c r="L341" i="28"/>
  <c r="K341" i="28"/>
  <c r="O341" i="28" s="1"/>
  <c r="P341" i="28" s="1"/>
  <c r="F341" i="28"/>
  <c r="S340" i="28"/>
  <c r="N340" i="28"/>
  <c r="M340" i="28"/>
  <c r="L340" i="28"/>
  <c r="K340" i="28"/>
  <c r="F340" i="28"/>
  <c r="N339" i="28"/>
  <c r="M339" i="28"/>
  <c r="L339" i="28"/>
  <c r="K339" i="28"/>
  <c r="S339" i="28" s="1"/>
  <c r="F339" i="28"/>
  <c r="N338" i="28"/>
  <c r="M338" i="28"/>
  <c r="L338" i="28"/>
  <c r="K338" i="28"/>
  <c r="S338" i="28" s="1"/>
  <c r="F338" i="28"/>
  <c r="N337" i="28"/>
  <c r="M337" i="28"/>
  <c r="L337" i="28"/>
  <c r="K337" i="28"/>
  <c r="F337" i="28"/>
  <c r="P336" i="28"/>
  <c r="O336" i="28"/>
  <c r="N336" i="28"/>
  <c r="S336" i="28" s="1"/>
  <c r="M336" i="28"/>
  <c r="L336" i="28"/>
  <c r="K336" i="28"/>
  <c r="F336" i="28"/>
  <c r="N335" i="28"/>
  <c r="M335" i="28"/>
  <c r="S335" i="28" s="1"/>
  <c r="L335" i="28"/>
  <c r="K335" i="28"/>
  <c r="O335" i="28" s="1"/>
  <c r="P335" i="28" s="1"/>
  <c r="F335" i="28"/>
  <c r="N334" i="28"/>
  <c r="M334" i="28"/>
  <c r="L334" i="28"/>
  <c r="S334" i="28" s="1"/>
  <c r="K334" i="28"/>
  <c r="F334" i="28"/>
  <c r="N333" i="28"/>
  <c r="M333" i="28"/>
  <c r="S333" i="28" s="1"/>
  <c r="L333" i="28"/>
  <c r="O333" i="28" s="1"/>
  <c r="P333" i="28" s="1"/>
  <c r="K333" i="28"/>
  <c r="F333" i="28"/>
  <c r="N332" i="28"/>
  <c r="M332" i="28"/>
  <c r="L332" i="28"/>
  <c r="K332" i="28"/>
  <c r="S332" i="28" s="1"/>
  <c r="F332" i="28"/>
  <c r="N331" i="28"/>
  <c r="M331" i="28"/>
  <c r="L331" i="28"/>
  <c r="K331" i="28"/>
  <c r="S331" i="28" s="1"/>
  <c r="F331" i="28"/>
  <c r="N330" i="28"/>
  <c r="M330" i="28"/>
  <c r="L330" i="28"/>
  <c r="K330" i="28"/>
  <c r="S330" i="28" s="1"/>
  <c r="F330" i="28"/>
  <c r="N329" i="28"/>
  <c r="M329" i="28"/>
  <c r="L329" i="28"/>
  <c r="K329" i="28"/>
  <c r="S329" i="28" s="1"/>
  <c r="F329" i="28"/>
  <c r="N328" i="28"/>
  <c r="M328" i="28"/>
  <c r="L328" i="28"/>
  <c r="K328" i="28"/>
  <c r="F328" i="28"/>
  <c r="P327" i="28"/>
  <c r="O327" i="28"/>
  <c r="N327" i="28"/>
  <c r="M327" i="28"/>
  <c r="S327" i="28" s="1"/>
  <c r="L327" i="28"/>
  <c r="K327" i="28"/>
  <c r="F327" i="28"/>
  <c r="N326" i="28"/>
  <c r="M326" i="28"/>
  <c r="L326" i="28"/>
  <c r="S326" i="28" s="1"/>
  <c r="K326" i="28"/>
  <c r="O326" i="28" s="1"/>
  <c r="P326" i="28" s="1"/>
  <c r="F326" i="28"/>
  <c r="N325" i="28"/>
  <c r="M325" i="28"/>
  <c r="L325" i="28"/>
  <c r="K325" i="28"/>
  <c r="F325" i="28"/>
  <c r="N324" i="28"/>
  <c r="S324" i="28" s="1"/>
  <c r="M324" i="28"/>
  <c r="L324" i="28"/>
  <c r="K324" i="28"/>
  <c r="O324" i="28" s="1"/>
  <c r="P324" i="28" s="1"/>
  <c r="F324" i="28"/>
  <c r="P323" i="28"/>
  <c r="O323" i="28"/>
  <c r="N323" i="28"/>
  <c r="S323" i="28" s="1"/>
  <c r="M323" i="28"/>
  <c r="L323" i="28"/>
  <c r="K323" i="28"/>
  <c r="F323" i="28"/>
  <c r="N322" i="28"/>
  <c r="M322" i="28"/>
  <c r="L322" i="28"/>
  <c r="K322" i="28"/>
  <c r="O322" i="28" s="1"/>
  <c r="P322" i="28" s="1"/>
  <c r="F322" i="28"/>
  <c r="N321" i="28"/>
  <c r="M321" i="28"/>
  <c r="L321" i="28"/>
  <c r="O321" i="28" s="1"/>
  <c r="P321" i="28" s="1"/>
  <c r="K321" i="28"/>
  <c r="S321" i="28" s="1"/>
  <c r="F321" i="28"/>
  <c r="N320" i="28"/>
  <c r="M320" i="28"/>
  <c r="S320" i="28" s="1"/>
  <c r="L320" i="28"/>
  <c r="O320" i="28" s="1"/>
  <c r="P320" i="28" s="1"/>
  <c r="K320" i="28"/>
  <c r="F320" i="28"/>
  <c r="N319" i="28"/>
  <c r="M319" i="28"/>
  <c r="L319" i="28"/>
  <c r="K319" i="28"/>
  <c r="F319" i="28"/>
  <c r="N318" i="28"/>
  <c r="M318" i="28"/>
  <c r="S318" i="28" s="1"/>
  <c r="L318" i="28"/>
  <c r="K318" i="28"/>
  <c r="O318" i="28" s="1"/>
  <c r="P318" i="28" s="1"/>
  <c r="F318" i="28"/>
  <c r="N317" i="28"/>
  <c r="M317" i="28"/>
  <c r="L317" i="28"/>
  <c r="K317" i="28"/>
  <c r="S317" i="28" s="1"/>
  <c r="F317" i="28"/>
  <c r="N316" i="28"/>
  <c r="M316" i="28"/>
  <c r="L316" i="28"/>
  <c r="K316" i="28"/>
  <c r="F316" i="28"/>
  <c r="N315" i="28"/>
  <c r="M315" i="28"/>
  <c r="L315" i="28"/>
  <c r="K315" i="28"/>
  <c r="S315" i="28" s="1"/>
  <c r="F315" i="28"/>
  <c r="P314" i="28"/>
  <c r="O314" i="28"/>
  <c r="N314" i="28"/>
  <c r="M314" i="28"/>
  <c r="S314" i="28" s="1"/>
  <c r="L314" i="28"/>
  <c r="K314" i="28"/>
  <c r="F314" i="28"/>
  <c r="S313" i="28"/>
  <c r="N313" i="28"/>
  <c r="M313" i="28"/>
  <c r="L313" i="28"/>
  <c r="K313" i="28"/>
  <c r="F313" i="28"/>
  <c r="N312" i="28"/>
  <c r="M312" i="28"/>
  <c r="S312" i="28" s="1"/>
  <c r="L312" i="28"/>
  <c r="K312" i="28"/>
  <c r="O312" i="28" s="1"/>
  <c r="P312" i="28" s="1"/>
  <c r="F312" i="28"/>
  <c r="N311" i="28"/>
  <c r="S311" i="28" s="1"/>
  <c r="M311" i="28"/>
  <c r="L311" i="28"/>
  <c r="K311" i="28"/>
  <c r="O311" i="28" s="1"/>
  <c r="P311" i="28" s="1"/>
  <c r="F311" i="28"/>
  <c r="N310" i="28"/>
  <c r="M310" i="28"/>
  <c r="L310" i="28"/>
  <c r="S310" i="28" s="1"/>
  <c r="K310" i="28"/>
  <c r="F310" i="28"/>
  <c r="N309" i="28"/>
  <c r="M309" i="28"/>
  <c r="L309" i="28"/>
  <c r="K309" i="28"/>
  <c r="S309" i="28" s="1"/>
  <c r="F309" i="28"/>
  <c r="N308" i="28"/>
  <c r="M308" i="28"/>
  <c r="L308" i="28"/>
  <c r="O308" i="28" s="1"/>
  <c r="P308" i="28" s="1"/>
  <c r="K308" i="28"/>
  <c r="S308" i="28" s="1"/>
  <c r="F308" i="28"/>
  <c r="N307" i="28"/>
  <c r="M307" i="28"/>
  <c r="L307" i="28"/>
  <c r="S307" i="28" s="1"/>
  <c r="K307" i="28"/>
  <c r="O307" i="28" s="1"/>
  <c r="P307" i="28" s="1"/>
  <c r="F307" i="28"/>
  <c r="N306" i="28"/>
  <c r="M306" i="28"/>
  <c r="L306" i="28"/>
  <c r="K306" i="28"/>
  <c r="S306" i="28" s="1"/>
  <c r="F306" i="28"/>
  <c r="N305" i="28"/>
  <c r="M305" i="28"/>
  <c r="L305" i="28"/>
  <c r="K305" i="28"/>
  <c r="S305" i="28" s="1"/>
  <c r="F305" i="28"/>
  <c r="N304" i="28"/>
  <c r="M304" i="28"/>
  <c r="L304" i="28"/>
  <c r="K304" i="28"/>
  <c r="S304" i="28" s="1"/>
  <c r="F304" i="28"/>
  <c r="N303" i="28"/>
  <c r="M303" i="28"/>
  <c r="L303" i="28"/>
  <c r="K303" i="28"/>
  <c r="S303" i="28" s="1"/>
  <c r="F303" i="28"/>
  <c r="N302" i="28"/>
  <c r="M302" i="28"/>
  <c r="S302" i="28" s="1"/>
  <c r="L302" i="28"/>
  <c r="K302" i="28"/>
  <c r="O302" i="28" s="1"/>
  <c r="P302" i="28" s="1"/>
  <c r="F302" i="28"/>
  <c r="N301" i="28"/>
  <c r="M301" i="28"/>
  <c r="L301" i="28"/>
  <c r="K301" i="28"/>
  <c r="S301" i="28" s="1"/>
  <c r="F301" i="28"/>
  <c r="N300" i="28"/>
  <c r="M300" i="28"/>
  <c r="L300" i="28"/>
  <c r="K300" i="28"/>
  <c r="S300" i="28" s="1"/>
  <c r="F300" i="28"/>
  <c r="N299" i="28"/>
  <c r="M299" i="28"/>
  <c r="L299" i="28"/>
  <c r="S299" i="28" s="1"/>
  <c r="K299" i="28"/>
  <c r="O299" i="28" s="1"/>
  <c r="P299" i="28" s="1"/>
  <c r="F299" i="28"/>
  <c r="S298" i="28"/>
  <c r="O298" i="28"/>
  <c r="P298" i="28" s="1"/>
  <c r="N298" i="28"/>
  <c r="M298" i="28"/>
  <c r="L298" i="28"/>
  <c r="K298" i="28"/>
  <c r="F298" i="28"/>
  <c r="N297" i="28"/>
  <c r="M297" i="28"/>
  <c r="L297" i="28"/>
  <c r="S297" i="28" s="1"/>
  <c r="K297" i="28"/>
  <c r="O297" i="28" s="1"/>
  <c r="P297" i="28" s="1"/>
  <c r="F297" i="28"/>
  <c r="N296" i="28"/>
  <c r="M296" i="28"/>
  <c r="L296" i="28"/>
  <c r="K296" i="28"/>
  <c r="S296" i="28" s="1"/>
  <c r="F296" i="28"/>
  <c r="O295" i="28"/>
  <c r="P295" i="28" s="1"/>
  <c r="N295" i="28"/>
  <c r="M295" i="28"/>
  <c r="L295" i="28"/>
  <c r="S295" i="28" s="1"/>
  <c r="K295" i="28"/>
  <c r="F295" i="28"/>
  <c r="S294" i="28"/>
  <c r="N294" i="28"/>
  <c r="M294" i="28"/>
  <c r="L294" i="28"/>
  <c r="K294" i="28"/>
  <c r="O294" i="28" s="1"/>
  <c r="P294" i="28" s="1"/>
  <c r="F294" i="28"/>
  <c r="N293" i="28"/>
  <c r="M293" i="28"/>
  <c r="L293" i="28"/>
  <c r="K293" i="28"/>
  <c r="S293" i="28" s="1"/>
  <c r="F293" i="28"/>
  <c r="N292" i="28"/>
  <c r="S292" i="28" s="1"/>
  <c r="M292" i="28"/>
  <c r="L292" i="28"/>
  <c r="K292" i="28"/>
  <c r="O292" i="28" s="1"/>
  <c r="P292" i="28" s="1"/>
  <c r="F292" i="28"/>
  <c r="P291" i="28"/>
  <c r="O291" i="28"/>
  <c r="N291" i="28"/>
  <c r="M291" i="28"/>
  <c r="L291" i="28"/>
  <c r="K291" i="28"/>
  <c r="S291" i="28" s="1"/>
  <c r="F291" i="28"/>
  <c r="N290" i="28"/>
  <c r="M290" i="28"/>
  <c r="S290" i="28" s="1"/>
  <c r="L290" i="28"/>
  <c r="K290" i="28"/>
  <c r="O290" i="28" s="1"/>
  <c r="P290" i="28" s="1"/>
  <c r="F290" i="28"/>
  <c r="N289" i="28"/>
  <c r="M289" i="28"/>
  <c r="S289" i="28" s="1"/>
  <c r="L289" i="28"/>
  <c r="K289" i="28"/>
  <c r="F289" i="28"/>
  <c r="O288" i="28"/>
  <c r="P288" i="28" s="1"/>
  <c r="N288" i="28"/>
  <c r="M288" i="28"/>
  <c r="S288" i="28" s="1"/>
  <c r="L288" i="28"/>
  <c r="K288" i="28"/>
  <c r="F288" i="28"/>
  <c r="N287" i="28"/>
  <c r="M287" i="28"/>
  <c r="L287" i="28"/>
  <c r="S287" i="28" s="1"/>
  <c r="K287" i="28"/>
  <c r="F287" i="28"/>
  <c r="N286" i="28"/>
  <c r="M286" i="28"/>
  <c r="L286" i="28"/>
  <c r="S286" i="28" s="1"/>
  <c r="K286" i="28"/>
  <c r="F286" i="28"/>
  <c r="N285" i="28"/>
  <c r="M285" i="28"/>
  <c r="S285" i="28" s="1"/>
  <c r="L285" i="28"/>
  <c r="O285" i="28" s="1"/>
  <c r="P285" i="28" s="1"/>
  <c r="K285" i="28"/>
  <c r="F285" i="28"/>
  <c r="N284" i="28"/>
  <c r="M284" i="28"/>
  <c r="L284" i="28"/>
  <c r="K284" i="28"/>
  <c r="S284" i="28" s="1"/>
  <c r="F284" i="28"/>
  <c r="N283" i="28"/>
  <c r="M283" i="28"/>
  <c r="L283" i="28"/>
  <c r="K283" i="28"/>
  <c r="S283" i="28" s="1"/>
  <c r="F283" i="28"/>
  <c r="N282" i="28"/>
  <c r="M282" i="28"/>
  <c r="L282" i="28"/>
  <c r="K282" i="28"/>
  <c r="S282" i="28" s="1"/>
  <c r="F282" i="28"/>
  <c r="N281" i="28"/>
  <c r="M281" i="28"/>
  <c r="L281" i="28"/>
  <c r="K281" i="28"/>
  <c r="S281" i="28" s="1"/>
  <c r="F281" i="28"/>
  <c r="N280" i="28"/>
  <c r="M280" i="28"/>
  <c r="L280" i="28"/>
  <c r="K280" i="28"/>
  <c r="S280" i="28" s="1"/>
  <c r="F280" i="28"/>
  <c r="N279" i="28"/>
  <c r="M279" i="28"/>
  <c r="L279" i="28"/>
  <c r="K279" i="28"/>
  <c r="S279" i="28" s="1"/>
  <c r="F279" i="28"/>
  <c r="N278" i="28"/>
  <c r="M278" i="28"/>
  <c r="L278" i="28"/>
  <c r="K278" i="28"/>
  <c r="S278" i="28" s="1"/>
  <c r="F278" i="28"/>
  <c r="N277" i="28"/>
  <c r="M277" i="28"/>
  <c r="L277" i="28"/>
  <c r="S277" i="28" s="1"/>
  <c r="K277" i="28"/>
  <c r="O277" i="28" s="1"/>
  <c r="P277" i="28" s="1"/>
  <c r="F277" i="28"/>
  <c r="S276" i="28"/>
  <c r="N276" i="28"/>
  <c r="M276" i="28"/>
  <c r="L276" i="28"/>
  <c r="K276" i="28"/>
  <c r="O276" i="28" s="1"/>
  <c r="P276" i="28" s="1"/>
  <c r="F276" i="28"/>
  <c r="N275" i="28"/>
  <c r="M275" i="28"/>
  <c r="L275" i="28"/>
  <c r="K275" i="28"/>
  <c r="S275" i="28" s="1"/>
  <c r="F275" i="28"/>
  <c r="N274" i="28"/>
  <c r="M274" i="28"/>
  <c r="L274" i="28"/>
  <c r="K274" i="28"/>
  <c r="S274" i="28" s="1"/>
  <c r="F274" i="28"/>
  <c r="P273" i="28"/>
  <c r="O273" i="28"/>
  <c r="N273" i="28"/>
  <c r="M273" i="28"/>
  <c r="S273" i="28" s="1"/>
  <c r="L273" i="28"/>
  <c r="K273" i="28"/>
  <c r="F273" i="28"/>
  <c r="N272" i="28"/>
  <c r="M272" i="28"/>
  <c r="L272" i="28"/>
  <c r="S272" i="28" s="1"/>
  <c r="K272" i="28"/>
  <c r="O272" i="28" s="1"/>
  <c r="P272" i="28" s="1"/>
  <c r="F272" i="28"/>
  <c r="N271" i="28"/>
  <c r="M271" i="28"/>
  <c r="L271" i="28"/>
  <c r="K271" i="28"/>
  <c r="S271" i="28" s="1"/>
  <c r="F271" i="28"/>
  <c r="S270" i="28"/>
  <c r="O270" i="28"/>
  <c r="P270" i="28" s="1"/>
  <c r="N270" i="28"/>
  <c r="M270" i="28"/>
  <c r="L270" i="28"/>
  <c r="K270" i="28"/>
  <c r="F270" i="28"/>
  <c r="S269" i="28"/>
  <c r="N269" i="28"/>
  <c r="M269" i="28"/>
  <c r="L269" i="28"/>
  <c r="K269" i="28"/>
  <c r="O269" i="28" s="1"/>
  <c r="P269" i="28" s="1"/>
  <c r="F269" i="28"/>
  <c r="N268" i="28"/>
  <c r="M268" i="28"/>
  <c r="S268" i="28" s="1"/>
  <c r="L268" i="28"/>
  <c r="K268" i="28"/>
  <c r="O268" i="28" s="1"/>
  <c r="P268" i="28" s="1"/>
  <c r="F268" i="28"/>
  <c r="N267" i="28"/>
  <c r="S267" i="28" s="1"/>
  <c r="M267" i="28"/>
  <c r="L267" i="28"/>
  <c r="K267" i="28"/>
  <c r="O267" i="28" s="1"/>
  <c r="P267" i="28" s="1"/>
  <c r="F267" i="28"/>
  <c r="P266" i="28"/>
  <c r="O266" i="28"/>
  <c r="N266" i="28"/>
  <c r="M266" i="28"/>
  <c r="L266" i="28"/>
  <c r="K266" i="28"/>
  <c r="S266" i="28" s="1"/>
  <c r="F266" i="28"/>
  <c r="N265" i="28"/>
  <c r="M265" i="28"/>
  <c r="L265" i="28"/>
  <c r="S265" i="28" s="1"/>
  <c r="K265" i="28"/>
  <c r="F265" i="28"/>
  <c r="N264" i="28"/>
  <c r="M264" i="28"/>
  <c r="S264" i="28" s="1"/>
  <c r="L264" i="28"/>
  <c r="K264" i="28"/>
  <c r="F264" i="28"/>
  <c r="O263" i="28"/>
  <c r="P263" i="28" s="1"/>
  <c r="N263" i="28"/>
  <c r="M263" i="28"/>
  <c r="S263" i="28" s="1"/>
  <c r="L263" i="28"/>
  <c r="K263" i="28"/>
  <c r="F263" i="28"/>
  <c r="N262" i="28"/>
  <c r="M262" i="28"/>
  <c r="L262" i="28"/>
  <c r="K262" i="28"/>
  <c r="S262" i="28" s="1"/>
  <c r="F262" i="28"/>
  <c r="N261" i="28"/>
  <c r="M261" i="28"/>
  <c r="L261" i="28"/>
  <c r="O261" i="28" s="1"/>
  <c r="P261" i="28" s="1"/>
  <c r="K261" i="28"/>
  <c r="S261" i="28" s="1"/>
  <c r="F261" i="28"/>
  <c r="N260" i="28"/>
  <c r="M260" i="28"/>
  <c r="S260" i="28" s="1"/>
  <c r="L260" i="28"/>
  <c r="O260" i="28" s="1"/>
  <c r="P260" i="28" s="1"/>
  <c r="K260" i="28"/>
  <c r="F260" i="28"/>
  <c r="N259" i="28"/>
  <c r="M259" i="28"/>
  <c r="L259" i="28"/>
  <c r="K259" i="28"/>
  <c r="S259" i="28" s="1"/>
  <c r="F259" i="28"/>
  <c r="N258" i="28"/>
  <c r="M258" i="28"/>
  <c r="L258" i="28"/>
  <c r="K258" i="28"/>
  <c r="S258" i="28" s="1"/>
  <c r="F258" i="28"/>
  <c r="N257" i="28"/>
  <c r="M257" i="28"/>
  <c r="L257" i="28"/>
  <c r="K257" i="28"/>
  <c r="S257" i="28" s="1"/>
  <c r="F257" i="28"/>
  <c r="N256" i="28"/>
  <c r="M256" i="28"/>
  <c r="L256" i="28"/>
  <c r="K256" i="28"/>
  <c r="S256" i="28" s="1"/>
  <c r="F256" i="28"/>
  <c r="N255" i="28"/>
  <c r="M255" i="28"/>
  <c r="S255" i="28" s="1"/>
  <c r="L255" i="28"/>
  <c r="K255" i="28"/>
  <c r="O255" i="28" s="1"/>
  <c r="P255" i="28" s="1"/>
  <c r="F255" i="28"/>
  <c r="N254" i="28"/>
  <c r="M254" i="28"/>
  <c r="L254" i="28"/>
  <c r="K254" i="28"/>
  <c r="S254" i="28" s="1"/>
  <c r="F254" i="28"/>
  <c r="N253" i="28"/>
  <c r="M253" i="28"/>
  <c r="L253" i="28"/>
  <c r="K253" i="28"/>
  <c r="S253" i="28" s="1"/>
  <c r="F253" i="28"/>
  <c r="N252" i="28"/>
  <c r="M252" i="28"/>
  <c r="L252" i="28"/>
  <c r="S252" i="28" s="1"/>
  <c r="K252" i="28"/>
  <c r="O252" i="28" s="1"/>
  <c r="P252" i="28" s="1"/>
  <c r="F252" i="28"/>
  <c r="S251" i="28"/>
  <c r="N251" i="28"/>
  <c r="M251" i="28"/>
  <c r="L251" i="28"/>
  <c r="K251" i="28"/>
  <c r="O251" i="28" s="1"/>
  <c r="P251" i="28" s="1"/>
  <c r="F251" i="28"/>
  <c r="N250" i="28"/>
  <c r="M250" i="28"/>
  <c r="L250" i="28"/>
  <c r="K250" i="28"/>
  <c r="S250" i="28" s="1"/>
  <c r="F250" i="28"/>
  <c r="N249" i="28"/>
  <c r="M249" i="28"/>
  <c r="L249" i="28"/>
  <c r="K249" i="28"/>
  <c r="S249" i="28" s="1"/>
  <c r="F249" i="28"/>
  <c r="P248" i="28"/>
  <c r="O248" i="28"/>
  <c r="N248" i="28"/>
  <c r="M248" i="28"/>
  <c r="S248" i="28" s="1"/>
  <c r="L248" i="28"/>
  <c r="K248" i="28"/>
  <c r="F248" i="28"/>
  <c r="N247" i="28"/>
  <c r="M247" i="28"/>
  <c r="L247" i="28"/>
  <c r="K247" i="28"/>
  <c r="S247" i="28" s="1"/>
  <c r="F247" i="28"/>
  <c r="N246" i="28"/>
  <c r="M246" i="28"/>
  <c r="L246" i="28"/>
  <c r="K246" i="28"/>
  <c r="S246" i="28" s="1"/>
  <c r="F246" i="28"/>
  <c r="S245" i="28"/>
  <c r="O245" i="28"/>
  <c r="P245" i="28" s="1"/>
  <c r="N245" i="28"/>
  <c r="M245" i="28"/>
  <c r="L245" i="28"/>
  <c r="K245" i="28"/>
  <c r="F245" i="28"/>
  <c r="S244" i="28"/>
  <c r="O244" i="28"/>
  <c r="P244" i="28" s="1"/>
  <c r="N244" i="28"/>
  <c r="M244" i="28"/>
  <c r="L244" i="28"/>
  <c r="K244" i="28"/>
  <c r="F244" i="28"/>
  <c r="N243" i="28"/>
  <c r="M243" i="28"/>
  <c r="S243" i="28" s="1"/>
  <c r="L243" i="28"/>
  <c r="K243" i="28"/>
  <c r="O243" i="28" s="1"/>
  <c r="P243" i="28" s="1"/>
  <c r="F243" i="28"/>
  <c r="N242" i="28"/>
  <c r="S242" i="28" s="1"/>
  <c r="M242" i="28"/>
  <c r="L242" i="28"/>
  <c r="K242" i="28"/>
  <c r="O242" i="28" s="1"/>
  <c r="P242" i="28" s="1"/>
  <c r="F242" i="28"/>
  <c r="O241" i="28"/>
  <c r="P241" i="28" s="1"/>
  <c r="N241" i="28"/>
  <c r="M241" i="28"/>
  <c r="S241" i="28" s="1"/>
  <c r="L241" i="28"/>
  <c r="K241" i="28"/>
  <c r="F241" i="28"/>
  <c r="N240" i="28"/>
  <c r="M240" i="28"/>
  <c r="L240" i="28"/>
  <c r="S240" i="28" s="1"/>
  <c r="K240" i="28"/>
  <c r="F240" i="28"/>
  <c r="N239" i="28"/>
  <c r="M239" i="28"/>
  <c r="S239" i="28" s="1"/>
  <c r="L239" i="28"/>
  <c r="K239" i="28"/>
  <c r="F239" i="28"/>
  <c r="N238" i="28"/>
  <c r="M238" i="28"/>
  <c r="L238" i="28"/>
  <c r="S238" i="28" s="1"/>
  <c r="K238" i="28"/>
  <c r="F238" i="28"/>
  <c r="N237" i="28"/>
  <c r="M237" i="28"/>
  <c r="L237" i="28"/>
  <c r="K237" i="28"/>
  <c r="S237" i="28" s="1"/>
  <c r="F237" i="28"/>
  <c r="N236" i="28"/>
  <c r="M236" i="28"/>
  <c r="L236" i="28"/>
  <c r="O236" i="28" s="1"/>
  <c r="P236" i="28" s="1"/>
  <c r="K236" i="28"/>
  <c r="S236" i="28" s="1"/>
  <c r="F236" i="28"/>
  <c r="N235" i="28"/>
  <c r="M235" i="28"/>
  <c r="L235" i="28"/>
  <c r="S235" i="28" s="1"/>
  <c r="K235" i="28"/>
  <c r="O235" i="28" s="1"/>
  <c r="P235" i="28" s="1"/>
  <c r="F235" i="28"/>
  <c r="N234" i="28"/>
  <c r="M234" i="28"/>
  <c r="L234" i="28"/>
  <c r="K234" i="28"/>
  <c r="S234" i="28" s="1"/>
  <c r="F234" i="28"/>
  <c r="N233" i="28"/>
  <c r="M233" i="28"/>
  <c r="L233" i="28"/>
  <c r="K233" i="28"/>
  <c r="S233" i="28" s="1"/>
  <c r="F233" i="28"/>
  <c r="N232" i="28"/>
  <c r="M232" i="28"/>
  <c r="L232" i="28"/>
  <c r="K232" i="28"/>
  <c r="S232" i="28" s="1"/>
  <c r="F232" i="28"/>
  <c r="N231" i="28"/>
  <c r="M231" i="28"/>
  <c r="L231" i="28"/>
  <c r="K231" i="28"/>
  <c r="S231" i="28" s="1"/>
  <c r="F231" i="28"/>
  <c r="N230" i="28"/>
  <c r="M230" i="28"/>
  <c r="S230" i="28" s="1"/>
  <c r="L230" i="28"/>
  <c r="K230" i="28"/>
  <c r="O230" i="28" s="1"/>
  <c r="P230" i="28" s="1"/>
  <c r="F230" i="28"/>
  <c r="N229" i="28"/>
  <c r="M229" i="28"/>
  <c r="L229" i="28"/>
  <c r="K229" i="28"/>
  <c r="S229" i="28" s="1"/>
  <c r="F229" i="28"/>
  <c r="N228" i="28"/>
  <c r="M228" i="28"/>
  <c r="L228" i="28"/>
  <c r="K228" i="28"/>
  <c r="S228" i="28" s="1"/>
  <c r="F228" i="28"/>
  <c r="N227" i="28"/>
  <c r="M227" i="28"/>
  <c r="L227" i="28"/>
  <c r="S227" i="28" s="1"/>
  <c r="K227" i="28"/>
  <c r="O227" i="28" s="1"/>
  <c r="P227" i="28" s="1"/>
  <c r="F227" i="28"/>
  <c r="S226" i="28"/>
  <c r="O226" i="28"/>
  <c r="P226" i="28" s="1"/>
  <c r="N226" i="28"/>
  <c r="M226" i="28"/>
  <c r="L226" i="28"/>
  <c r="K226" i="28"/>
  <c r="F226" i="28"/>
  <c r="N225" i="28"/>
  <c r="M225" i="28"/>
  <c r="L225" i="28"/>
  <c r="S225" i="28" s="1"/>
  <c r="K225" i="28"/>
  <c r="O225" i="28" s="1"/>
  <c r="P225" i="28" s="1"/>
  <c r="F225" i="28"/>
  <c r="N224" i="28"/>
  <c r="M224" i="28"/>
  <c r="L224" i="28"/>
  <c r="K224" i="28"/>
  <c r="S224" i="28" s="1"/>
  <c r="F224" i="28"/>
  <c r="O223" i="28"/>
  <c r="P223" i="28" s="1"/>
  <c r="N223" i="28"/>
  <c r="M223" i="28"/>
  <c r="L223" i="28"/>
  <c r="S223" i="28" s="1"/>
  <c r="K223" i="28"/>
  <c r="F223" i="28"/>
  <c r="S222" i="28"/>
  <c r="N222" i="28"/>
  <c r="M222" i="28"/>
  <c r="L222" i="28"/>
  <c r="K222" i="28"/>
  <c r="O222" i="28" s="1"/>
  <c r="P222" i="28" s="1"/>
  <c r="F222" i="28"/>
  <c r="N221" i="28"/>
  <c r="M221" i="28"/>
  <c r="L221" i="28"/>
  <c r="K221" i="28"/>
  <c r="S221" i="28" s="1"/>
  <c r="F221" i="28"/>
  <c r="N220" i="28"/>
  <c r="S220" i="28" s="1"/>
  <c r="M220" i="28"/>
  <c r="L220" i="28"/>
  <c r="K220" i="28"/>
  <c r="O220" i="28" s="1"/>
  <c r="P220" i="28" s="1"/>
  <c r="F220" i="28"/>
  <c r="P219" i="28"/>
  <c r="O219" i="28"/>
  <c r="N219" i="28"/>
  <c r="M219" i="28"/>
  <c r="L219" i="28"/>
  <c r="K219" i="28"/>
  <c r="S219" i="28" s="1"/>
  <c r="F219" i="28"/>
  <c r="N218" i="28"/>
  <c r="M218" i="28"/>
  <c r="S218" i="28" s="1"/>
  <c r="L218" i="28"/>
  <c r="K218" i="28"/>
  <c r="O218" i="28" s="1"/>
  <c r="P218" i="28" s="1"/>
  <c r="F218" i="28"/>
  <c r="N217" i="28"/>
  <c r="M217" i="28"/>
  <c r="S217" i="28" s="1"/>
  <c r="L217" i="28"/>
  <c r="K217" i="28"/>
  <c r="F217" i="28"/>
  <c r="O216" i="28"/>
  <c r="P216" i="28" s="1"/>
  <c r="N216" i="28"/>
  <c r="M216" i="28"/>
  <c r="S216" i="28" s="1"/>
  <c r="L216" i="28"/>
  <c r="K216" i="28"/>
  <c r="F216" i="28"/>
  <c r="N215" i="28"/>
  <c r="M215" i="28"/>
  <c r="L215" i="28"/>
  <c r="S215" i="28" s="1"/>
  <c r="K215" i="28"/>
  <c r="F215" i="28"/>
  <c r="N214" i="28"/>
  <c r="M214" i="28"/>
  <c r="L214" i="28"/>
  <c r="S214" i="28" s="1"/>
  <c r="K214" i="28"/>
  <c r="F214" i="28"/>
  <c r="N213" i="28"/>
  <c r="M213" i="28"/>
  <c r="S213" i="28" s="1"/>
  <c r="L213" i="28"/>
  <c r="O213" i="28" s="1"/>
  <c r="P213" i="28" s="1"/>
  <c r="K213" i="28"/>
  <c r="F213" i="28"/>
  <c r="N212" i="28"/>
  <c r="M212" i="28"/>
  <c r="L212" i="28"/>
  <c r="K212" i="28"/>
  <c r="S212" i="28" s="1"/>
  <c r="F212" i="28"/>
  <c r="N211" i="28"/>
  <c r="M211" i="28"/>
  <c r="L211" i="28"/>
  <c r="K211" i="28"/>
  <c r="O211" i="28" s="1"/>
  <c r="P211" i="28" s="1"/>
  <c r="F211" i="28"/>
  <c r="N210" i="28"/>
  <c r="M210" i="28"/>
  <c r="L210" i="28"/>
  <c r="K210" i="28"/>
  <c r="S210" i="28" s="1"/>
  <c r="F210" i="28"/>
  <c r="N209" i="28"/>
  <c r="M209" i="28"/>
  <c r="L209" i="28"/>
  <c r="K209" i="28"/>
  <c r="S209" i="28" s="1"/>
  <c r="F209" i="28"/>
  <c r="N208" i="28"/>
  <c r="M208" i="28"/>
  <c r="L208" i="28"/>
  <c r="K208" i="28"/>
  <c r="S208" i="28" s="1"/>
  <c r="F208" i="28"/>
  <c r="N207" i="28"/>
  <c r="M207" i="28"/>
  <c r="L207" i="28"/>
  <c r="K207" i="28"/>
  <c r="S207" i="28" s="1"/>
  <c r="F207" i="28"/>
  <c r="N206" i="28"/>
  <c r="M206" i="28"/>
  <c r="L206" i="28"/>
  <c r="K206" i="28"/>
  <c r="S206" i="28" s="1"/>
  <c r="F206" i="28"/>
  <c r="N205" i="28"/>
  <c r="M205" i="28"/>
  <c r="L205" i="28"/>
  <c r="S205" i="28" s="1"/>
  <c r="K205" i="28"/>
  <c r="O205" i="28" s="1"/>
  <c r="P205" i="28" s="1"/>
  <c r="F205" i="28"/>
  <c r="S204" i="28"/>
  <c r="N204" i="28"/>
  <c r="M204" i="28"/>
  <c r="L204" i="28"/>
  <c r="K204" i="28"/>
  <c r="O204" i="28" s="1"/>
  <c r="P204" i="28" s="1"/>
  <c r="F204" i="28"/>
  <c r="N203" i="28"/>
  <c r="M203" i="28"/>
  <c r="L203" i="28"/>
  <c r="K203" i="28"/>
  <c r="S203" i="28" s="1"/>
  <c r="F203" i="28"/>
  <c r="N202" i="28"/>
  <c r="M202" i="28"/>
  <c r="L202" i="28"/>
  <c r="K202" i="28"/>
  <c r="S202" i="28" s="1"/>
  <c r="F202" i="28"/>
  <c r="P201" i="28"/>
  <c r="O201" i="28"/>
  <c r="N201" i="28"/>
  <c r="M201" i="28"/>
  <c r="S201" i="28" s="1"/>
  <c r="L201" i="28"/>
  <c r="K201" i="28"/>
  <c r="F201" i="28"/>
  <c r="N200" i="28"/>
  <c r="M200" i="28"/>
  <c r="L200" i="28"/>
  <c r="S200" i="28" s="1"/>
  <c r="K200" i="28"/>
  <c r="O200" i="28" s="1"/>
  <c r="P200" i="28" s="1"/>
  <c r="F200" i="28"/>
  <c r="N199" i="28"/>
  <c r="M199" i="28"/>
  <c r="L199" i="28"/>
  <c r="K199" i="28"/>
  <c r="S199" i="28" s="1"/>
  <c r="F199" i="28"/>
  <c r="S198" i="28"/>
  <c r="O198" i="28"/>
  <c r="P198" i="28" s="1"/>
  <c r="N198" i="28"/>
  <c r="M198" i="28"/>
  <c r="L198" i="28"/>
  <c r="K198" i="28"/>
  <c r="F198" i="28"/>
  <c r="S197" i="28"/>
  <c r="N197" i="28"/>
  <c r="M197" i="28"/>
  <c r="L197" i="28"/>
  <c r="K197" i="28"/>
  <c r="O197" i="28" s="1"/>
  <c r="P197" i="28" s="1"/>
  <c r="F197" i="28"/>
  <c r="N196" i="28"/>
  <c r="M196" i="28"/>
  <c r="S196" i="28" s="1"/>
  <c r="L196" i="28"/>
  <c r="K196" i="28"/>
  <c r="O196" i="28" s="1"/>
  <c r="P196" i="28" s="1"/>
  <c r="F196" i="28"/>
  <c r="N195" i="28"/>
  <c r="S195" i="28" s="1"/>
  <c r="M195" i="28"/>
  <c r="L195" i="28"/>
  <c r="K195" i="28"/>
  <c r="O195" i="28" s="1"/>
  <c r="P195" i="28" s="1"/>
  <c r="F195" i="28"/>
  <c r="P194" i="28"/>
  <c r="O194" i="28"/>
  <c r="N194" i="28"/>
  <c r="M194" i="28"/>
  <c r="L194" i="28"/>
  <c r="K194" i="28"/>
  <c r="S194" i="28" s="1"/>
  <c r="F194" i="28"/>
  <c r="N193" i="28"/>
  <c r="M193" i="28"/>
  <c r="L193" i="28"/>
  <c r="S193" i="28" s="1"/>
  <c r="K193" i="28"/>
  <c r="F193" i="28"/>
  <c r="N192" i="28"/>
  <c r="M192" i="28"/>
  <c r="S192" i="28" s="1"/>
  <c r="L192" i="28"/>
  <c r="K192" i="28"/>
  <c r="F192" i="28"/>
  <c r="O191" i="28"/>
  <c r="P191" i="28" s="1"/>
  <c r="N191" i="28"/>
  <c r="M191" i="28"/>
  <c r="S191" i="28" s="1"/>
  <c r="L191" i="28"/>
  <c r="K191" i="28"/>
  <c r="F191" i="28"/>
  <c r="N190" i="28"/>
  <c r="M190" i="28"/>
  <c r="L190" i="28"/>
  <c r="K190" i="28"/>
  <c r="S190" i="28" s="1"/>
  <c r="F190" i="28"/>
  <c r="N189" i="28"/>
  <c r="M189" i="28"/>
  <c r="L189" i="28"/>
  <c r="O189" i="28" s="1"/>
  <c r="P189" i="28" s="1"/>
  <c r="K189" i="28"/>
  <c r="S189" i="28" s="1"/>
  <c r="F189" i="28"/>
  <c r="N188" i="28"/>
  <c r="M188" i="28"/>
  <c r="S188" i="28" s="1"/>
  <c r="L188" i="28"/>
  <c r="O188" i="28" s="1"/>
  <c r="P188" i="28" s="1"/>
  <c r="K188" i="28"/>
  <c r="F188" i="28"/>
  <c r="N187" i="28"/>
  <c r="M187" i="28"/>
  <c r="L187" i="28"/>
  <c r="K187" i="28"/>
  <c r="S187" i="28" s="1"/>
  <c r="F187" i="28"/>
  <c r="N186" i="28"/>
  <c r="M186" i="28"/>
  <c r="L186" i="28"/>
  <c r="K186" i="28"/>
  <c r="S186" i="28" s="1"/>
  <c r="F186" i="28"/>
  <c r="N185" i="28"/>
  <c r="M185" i="28"/>
  <c r="L185" i="28"/>
  <c r="K185" i="28"/>
  <c r="S185" i="28" s="1"/>
  <c r="F185" i="28"/>
  <c r="N184" i="28"/>
  <c r="M184" i="28"/>
  <c r="L184" i="28"/>
  <c r="K184" i="28"/>
  <c r="S184" i="28" s="1"/>
  <c r="F184" i="28"/>
  <c r="N183" i="28"/>
  <c r="M183" i="28"/>
  <c r="S183" i="28" s="1"/>
  <c r="L183" i="28"/>
  <c r="K183" i="28"/>
  <c r="O183" i="28" s="1"/>
  <c r="P183" i="28" s="1"/>
  <c r="F183" i="28"/>
  <c r="N182" i="28"/>
  <c r="M182" i="28"/>
  <c r="L182" i="28"/>
  <c r="K182" i="28"/>
  <c r="S182" i="28" s="1"/>
  <c r="F182" i="28"/>
  <c r="N181" i="28"/>
  <c r="M181" i="28"/>
  <c r="L181" i="28"/>
  <c r="K181" i="28"/>
  <c r="S181" i="28" s="1"/>
  <c r="F181" i="28"/>
  <c r="N180" i="28"/>
  <c r="M180" i="28"/>
  <c r="L180" i="28"/>
  <c r="S180" i="28" s="1"/>
  <c r="K180" i="28"/>
  <c r="O180" i="28" s="1"/>
  <c r="P180" i="28" s="1"/>
  <c r="F180" i="28"/>
  <c r="S179" i="28"/>
  <c r="N179" i="28"/>
  <c r="M179" i="28"/>
  <c r="L179" i="28"/>
  <c r="K179" i="28"/>
  <c r="O179" i="28" s="1"/>
  <c r="P179" i="28" s="1"/>
  <c r="F179" i="28"/>
  <c r="N178" i="28"/>
  <c r="M178" i="28"/>
  <c r="L178" i="28"/>
  <c r="K178" i="28"/>
  <c r="S178" i="28" s="1"/>
  <c r="F178" i="28"/>
  <c r="N177" i="28"/>
  <c r="M177" i="28"/>
  <c r="L177" i="28"/>
  <c r="K177" i="28"/>
  <c r="S177" i="28" s="1"/>
  <c r="F177" i="28"/>
  <c r="P176" i="28"/>
  <c r="O176" i="28"/>
  <c r="N176" i="28"/>
  <c r="M176" i="28"/>
  <c r="S176" i="28" s="1"/>
  <c r="L176" i="28"/>
  <c r="K176" i="28"/>
  <c r="F176" i="28"/>
  <c r="N175" i="28"/>
  <c r="M175" i="28"/>
  <c r="L175" i="28"/>
  <c r="K175" i="28"/>
  <c r="S175" i="28" s="1"/>
  <c r="F175" i="28"/>
  <c r="N174" i="28"/>
  <c r="M174" i="28"/>
  <c r="L174" i="28"/>
  <c r="K174" i="28"/>
  <c r="S174" i="28" s="1"/>
  <c r="F174" i="28"/>
  <c r="S173" i="28"/>
  <c r="O173" i="28"/>
  <c r="P173" i="28" s="1"/>
  <c r="N173" i="28"/>
  <c r="M173" i="28"/>
  <c r="L173" i="28"/>
  <c r="K173" i="28"/>
  <c r="F173" i="28"/>
  <c r="S172" i="28"/>
  <c r="O172" i="28"/>
  <c r="P172" i="28" s="1"/>
  <c r="N172" i="28"/>
  <c r="M172" i="28"/>
  <c r="L172" i="28"/>
  <c r="K172" i="28"/>
  <c r="F172" i="28"/>
  <c r="N171" i="28"/>
  <c r="M171" i="28"/>
  <c r="S171" i="28" s="1"/>
  <c r="L171" i="28"/>
  <c r="K171" i="28"/>
  <c r="O171" i="28" s="1"/>
  <c r="P171" i="28" s="1"/>
  <c r="F171" i="28"/>
  <c r="N170" i="28"/>
  <c r="S170" i="28" s="1"/>
  <c r="M170" i="28"/>
  <c r="L170" i="28"/>
  <c r="K170" i="28"/>
  <c r="O170" i="28" s="1"/>
  <c r="P170" i="28" s="1"/>
  <c r="F170" i="28"/>
  <c r="O169" i="28"/>
  <c r="P169" i="28" s="1"/>
  <c r="N169" i="28"/>
  <c r="M169" i="28"/>
  <c r="S169" i="28" s="1"/>
  <c r="L169" i="28"/>
  <c r="K169" i="28"/>
  <c r="F169" i="28"/>
  <c r="N168" i="28"/>
  <c r="M168" i="28"/>
  <c r="L168" i="28"/>
  <c r="S168" i="28" s="1"/>
  <c r="K168" i="28"/>
  <c r="F168" i="28"/>
  <c r="N167" i="28"/>
  <c r="M167" i="28"/>
  <c r="S167" i="28" s="1"/>
  <c r="L167" i="28"/>
  <c r="K167" i="28"/>
  <c r="F167" i="28"/>
  <c r="N166" i="28"/>
  <c r="M166" i="28"/>
  <c r="L166" i="28"/>
  <c r="S166" i="28" s="1"/>
  <c r="K166" i="28"/>
  <c r="F166" i="28"/>
  <c r="N165" i="28"/>
  <c r="M165" i="28"/>
  <c r="L165" i="28"/>
  <c r="K165" i="28"/>
  <c r="S165" i="28" s="1"/>
  <c r="F165" i="28"/>
  <c r="N164" i="28"/>
  <c r="M164" i="28"/>
  <c r="L164" i="28"/>
  <c r="O164" i="28" s="1"/>
  <c r="P164" i="28" s="1"/>
  <c r="K164" i="28"/>
  <c r="S164" i="28" s="1"/>
  <c r="F164" i="28"/>
  <c r="N163" i="28"/>
  <c r="M163" i="28"/>
  <c r="L163" i="28"/>
  <c r="S163" i="28" s="1"/>
  <c r="K163" i="28"/>
  <c r="O163" i="28" s="1"/>
  <c r="P163" i="28" s="1"/>
  <c r="F163" i="28"/>
  <c r="N162" i="28"/>
  <c r="M162" i="28"/>
  <c r="L162" i="28"/>
  <c r="K162" i="28"/>
  <c r="S162" i="28" s="1"/>
  <c r="F162" i="28"/>
  <c r="N161" i="28"/>
  <c r="M161" i="28"/>
  <c r="L161" i="28"/>
  <c r="K161" i="28"/>
  <c r="S161" i="28" s="1"/>
  <c r="F161" i="28"/>
  <c r="N160" i="28"/>
  <c r="M160" i="28"/>
  <c r="L160" i="28"/>
  <c r="K160" i="28"/>
  <c r="S160" i="28" s="1"/>
  <c r="F160" i="28"/>
  <c r="N159" i="28"/>
  <c r="M159" i="28"/>
  <c r="L159" i="28"/>
  <c r="K159" i="28"/>
  <c r="S159" i="28" s="1"/>
  <c r="F159" i="28"/>
  <c r="N158" i="28"/>
  <c r="M158" i="28"/>
  <c r="S158" i="28" s="1"/>
  <c r="L158" i="28"/>
  <c r="O158" i="28" s="1"/>
  <c r="P158" i="28" s="1"/>
  <c r="K158" i="28"/>
  <c r="F158" i="28"/>
  <c r="N157" i="28"/>
  <c r="M157" i="28"/>
  <c r="L157" i="28"/>
  <c r="K157" i="28"/>
  <c r="S157" i="28" s="1"/>
  <c r="F157" i="28"/>
  <c r="N156" i="28"/>
  <c r="M156" i="28"/>
  <c r="L156" i="28"/>
  <c r="K156" i="28"/>
  <c r="S156" i="28" s="1"/>
  <c r="F156" i="28"/>
  <c r="N155" i="28"/>
  <c r="M155" i="28"/>
  <c r="L155" i="28"/>
  <c r="S155" i="28" s="1"/>
  <c r="K155" i="28"/>
  <c r="O155" i="28" s="1"/>
  <c r="P155" i="28" s="1"/>
  <c r="F155" i="28"/>
  <c r="S154" i="28"/>
  <c r="O154" i="28"/>
  <c r="P154" i="28" s="1"/>
  <c r="N154" i="28"/>
  <c r="M154" i="28"/>
  <c r="L154" i="28"/>
  <c r="K154" i="28"/>
  <c r="F154" i="28"/>
  <c r="N153" i="28"/>
  <c r="M153" i="28"/>
  <c r="L153" i="28"/>
  <c r="S153" i="28" s="1"/>
  <c r="K153" i="28"/>
  <c r="O153" i="28" s="1"/>
  <c r="P153" i="28" s="1"/>
  <c r="F153" i="28"/>
  <c r="N152" i="28"/>
  <c r="M152" i="28"/>
  <c r="L152" i="28"/>
  <c r="K152" i="28"/>
  <c r="S152" i="28" s="1"/>
  <c r="F152" i="28"/>
  <c r="O151" i="28"/>
  <c r="P151" i="28" s="1"/>
  <c r="N151" i="28"/>
  <c r="M151" i="28"/>
  <c r="L151" i="28"/>
  <c r="S151" i="28" s="1"/>
  <c r="K151" i="28"/>
  <c r="F151" i="28"/>
  <c r="S150" i="28"/>
  <c r="N150" i="28"/>
  <c r="M150" i="28"/>
  <c r="L150" i="28"/>
  <c r="K150" i="28"/>
  <c r="O150" i="28" s="1"/>
  <c r="P150" i="28" s="1"/>
  <c r="F150" i="28"/>
  <c r="N149" i="28"/>
  <c r="M149" i="28"/>
  <c r="L149" i="28"/>
  <c r="K149" i="28"/>
  <c r="S149" i="28" s="1"/>
  <c r="F149" i="28"/>
  <c r="N148" i="28"/>
  <c r="S148" i="28" s="1"/>
  <c r="M148" i="28"/>
  <c r="L148" i="28"/>
  <c r="K148" i="28"/>
  <c r="O148" i="28" s="1"/>
  <c r="P148" i="28" s="1"/>
  <c r="F148" i="28"/>
  <c r="P147" i="28"/>
  <c r="O147" i="28"/>
  <c r="N147" i="28"/>
  <c r="M147" i="28"/>
  <c r="L147" i="28"/>
  <c r="K147" i="28"/>
  <c r="S147" i="28" s="1"/>
  <c r="F147" i="28"/>
  <c r="N146" i="28"/>
  <c r="M146" i="28"/>
  <c r="S146" i="28" s="1"/>
  <c r="L146" i="28"/>
  <c r="K146" i="28"/>
  <c r="O146" i="28" s="1"/>
  <c r="P146" i="28" s="1"/>
  <c r="F146" i="28"/>
  <c r="N145" i="28"/>
  <c r="M145" i="28"/>
  <c r="S145" i="28" s="1"/>
  <c r="L145" i="28"/>
  <c r="K145" i="28"/>
  <c r="F145" i="28"/>
  <c r="O144" i="28"/>
  <c r="P144" i="28" s="1"/>
  <c r="N144" i="28"/>
  <c r="M144" i="28"/>
  <c r="S144" i="28" s="1"/>
  <c r="L144" i="28"/>
  <c r="K144" i="28"/>
  <c r="F144" i="28"/>
  <c r="N143" i="28"/>
  <c r="M143" i="28"/>
  <c r="L143" i="28"/>
  <c r="S143" i="28" s="1"/>
  <c r="K143" i="28"/>
  <c r="F143" i="28"/>
  <c r="N142" i="28"/>
  <c r="M142" i="28"/>
  <c r="L142" i="28"/>
  <c r="S142" i="28" s="1"/>
  <c r="K142" i="28"/>
  <c r="F142" i="28"/>
  <c r="N141" i="28"/>
  <c r="M141" i="28"/>
  <c r="S141" i="28" s="1"/>
  <c r="L141" i="28"/>
  <c r="O141" i="28" s="1"/>
  <c r="P141" i="28" s="1"/>
  <c r="K141" i="28"/>
  <c r="F141" i="28"/>
  <c r="N140" i="28"/>
  <c r="M140" i="28"/>
  <c r="L140" i="28"/>
  <c r="K140" i="28"/>
  <c r="S140" i="28" s="1"/>
  <c r="F140" i="28"/>
  <c r="N139" i="28"/>
  <c r="M139" i="28"/>
  <c r="L139" i="28"/>
  <c r="K139" i="28"/>
  <c r="O139" i="28" s="1"/>
  <c r="P139" i="28" s="1"/>
  <c r="F139" i="28"/>
  <c r="N138" i="28"/>
  <c r="M138" i="28"/>
  <c r="L138" i="28"/>
  <c r="K138" i="28"/>
  <c r="S138" i="28" s="1"/>
  <c r="F138" i="28"/>
  <c r="N137" i="28"/>
  <c r="M137" i="28"/>
  <c r="L137" i="28"/>
  <c r="K137" i="28"/>
  <c r="S137" i="28" s="1"/>
  <c r="F137" i="28"/>
  <c r="N136" i="28"/>
  <c r="M136" i="28"/>
  <c r="L136" i="28"/>
  <c r="S136" i="28" s="1"/>
  <c r="K136" i="28"/>
  <c r="F136" i="28"/>
  <c r="N135" i="28"/>
  <c r="M135" i="28"/>
  <c r="L135" i="28"/>
  <c r="K135" i="28"/>
  <c r="S135" i="28" s="1"/>
  <c r="F135" i="28"/>
  <c r="N134" i="28"/>
  <c r="M134" i="28"/>
  <c r="L134" i="28"/>
  <c r="K134" i="28"/>
  <c r="S134" i="28" s="1"/>
  <c r="F134" i="28"/>
  <c r="N133" i="28"/>
  <c r="M133" i="28"/>
  <c r="L133" i="28"/>
  <c r="S133" i="28" s="1"/>
  <c r="K133" i="28"/>
  <c r="O133" i="28" s="1"/>
  <c r="P133" i="28" s="1"/>
  <c r="F133" i="28"/>
  <c r="S132" i="28"/>
  <c r="N132" i="28"/>
  <c r="M132" i="28"/>
  <c r="L132" i="28"/>
  <c r="K132" i="28"/>
  <c r="O132" i="28" s="1"/>
  <c r="P132" i="28" s="1"/>
  <c r="F132" i="28"/>
  <c r="N131" i="28"/>
  <c r="M131" i="28"/>
  <c r="L131" i="28"/>
  <c r="K131" i="28"/>
  <c r="S131" i="28" s="1"/>
  <c r="F131" i="28"/>
  <c r="N130" i="28"/>
  <c r="M130" i="28"/>
  <c r="L130" i="28"/>
  <c r="K130" i="28"/>
  <c r="O130" i="28" s="1"/>
  <c r="P130" i="28" s="1"/>
  <c r="F130" i="28"/>
  <c r="P129" i="28"/>
  <c r="O129" i="28"/>
  <c r="N129" i="28"/>
  <c r="M129" i="28"/>
  <c r="S129" i="28" s="1"/>
  <c r="L129" i="28"/>
  <c r="K129" i="28"/>
  <c r="F129" i="28"/>
  <c r="S128" i="28"/>
  <c r="N128" i="28"/>
  <c r="M128" i="28"/>
  <c r="L128" i="28"/>
  <c r="K128" i="28"/>
  <c r="O128" i="28" s="1"/>
  <c r="P128" i="28" s="1"/>
  <c r="F128" i="28"/>
  <c r="N127" i="28"/>
  <c r="M127" i="28"/>
  <c r="L127" i="28"/>
  <c r="K127" i="28"/>
  <c r="O127" i="28" s="1"/>
  <c r="P127" i="28" s="1"/>
  <c r="F127" i="28"/>
  <c r="S126" i="28"/>
  <c r="O126" i="28"/>
  <c r="P126" i="28" s="1"/>
  <c r="N126" i="28"/>
  <c r="M126" i="28"/>
  <c r="L126" i="28"/>
  <c r="K126" i="28"/>
  <c r="F126" i="28"/>
  <c r="S125" i="28"/>
  <c r="N125" i="28"/>
  <c r="M125" i="28"/>
  <c r="L125" i="28"/>
  <c r="K125" i="28"/>
  <c r="O125" i="28" s="1"/>
  <c r="P125" i="28" s="1"/>
  <c r="F125" i="28"/>
  <c r="N124" i="28"/>
  <c r="M124" i="28"/>
  <c r="L124" i="28"/>
  <c r="K124" i="28"/>
  <c r="S124" i="28" s="1"/>
  <c r="F124" i="28"/>
  <c r="N123" i="28"/>
  <c r="S123" i="28" s="1"/>
  <c r="M123" i="28"/>
  <c r="L123" i="28"/>
  <c r="K123" i="28"/>
  <c r="O123" i="28" s="1"/>
  <c r="P123" i="28" s="1"/>
  <c r="F123" i="28"/>
  <c r="P122" i="28"/>
  <c r="O122" i="28"/>
  <c r="N122" i="28"/>
  <c r="M122" i="28"/>
  <c r="L122" i="28"/>
  <c r="K122" i="28"/>
  <c r="S122" i="28" s="1"/>
  <c r="F122" i="28"/>
  <c r="N121" i="28"/>
  <c r="M121" i="28"/>
  <c r="L121" i="28"/>
  <c r="S121" i="28" s="1"/>
  <c r="K121" i="28"/>
  <c r="F121" i="28"/>
  <c r="N120" i="28"/>
  <c r="M120" i="28"/>
  <c r="S120" i="28" s="1"/>
  <c r="L120" i="28"/>
  <c r="K120" i="28"/>
  <c r="F120" i="28"/>
  <c r="O119" i="28"/>
  <c r="P119" i="28" s="1"/>
  <c r="N119" i="28"/>
  <c r="M119" i="28"/>
  <c r="S119" i="28" s="1"/>
  <c r="L119" i="28"/>
  <c r="K119" i="28"/>
  <c r="F119" i="28"/>
  <c r="N118" i="28"/>
  <c r="M118" i="28"/>
  <c r="L118" i="28"/>
  <c r="K118" i="28"/>
  <c r="S118" i="28" s="1"/>
  <c r="F118" i="28"/>
  <c r="N117" i="28"/>
  <c r="M117" i="28"/>
  <c r="L117" i="28"/>
  <c r="O117" i="28" s="1"/>
  <c r="P117" i="28" s="1"/>
  <c r="K117" i="28"/>
  <c r="S117" i="28" s="1"/>
  <c r="F117" i="28"/>
  <c r="N116" i="28"/>
  <c r="M116" i="28"/>
  <c r="S116" i="28" s="1"/>
  <c r="L116" i="28"/>
  <c r="O116" i="28" s="1"/>
  <c r="P116" i="28" s="1"/>
  <c r="K116" i="28"/>
  <c r="F116" i="28"/>
  <c r="N115" i="28"/>
  <c r="M115" i="28"/>
  <c r="L115" i="28"/>
  <c r="K115" i="28"/>
  <c r="S115" i="28" s="1"/>
  <c r="F115" i="28"/>
  <c r="N114" i="28"/>
  <c r="M114" i="28"/>
  <c r="L114" i="28"/>
  <c r="K114" i="28"/>
  <c r="S114" i="28" s="1"/>
  <c r="F114" i="28"/>
  <c r="N113" i="28"/>
  <c r="M113" i="28"/>
  <c r="L113" i="28"/>
  <c r="K113" i="28"/>
  <c r="S113" i="28" s="1"/>
  <c r="F113" i="28"/>
  <c r="N112" i="28"/>
  <c r="M112" i="28"/>
  <c r="L112" i="28"/>
  <c r="K112" i="28"/>
  <c r="S112" i="28" s="1"/>
  <c r="F112" i="28"/>
  <c r="N111" i="28"/>
  <c r="M111" i="28"/>
  <c r="L111" i="28"/>
  <c r="S111" i="28" s="1"/>
  <c r="K111" i="28"/>
  <c r="F111" i="28"/>
  <c r="N110" i="28"/>
  <c r="M110" i="28"/>
  <c r="L110" i="28"/>
  <c r="K110" i="28"/>
  <c r="S110" i="28" s="1"/>
  <c r="F110" i="28"/>
  <c r="N109" i="28"/>
  <c r="M109" i="28"/>
  <c r="L109" i="28"/>
  <c r="K109" i="28"/>
  <c r="S109" i="28" s="1"/>
  <c r="F109" i="28"/>
  <c r="N108" i="28"/>
  <c r="M108" i="28"/>
  <c r="L108" i="28"/>
  <c r="K108" i="28"/>
  <c r="S108" i="28" s="1"/>
  <c r="F108" i="28"/>
  <c r="S107" i="28"/>
  <c r="N107" i="28"/>
  <c r="M107" i="28"/>
  <c r="L107" i="28"/>
  <c r="K107" i="28"/>
  <c r="O107" i="28" s="1"/>
  <c r="P107" i="28" s="1"/>
  <c r="F107" i="28"/>
  <c r="N106" i="28"/>
  <c r="M106" i="28"/>
  <c r="L106" i="28"/>
  <c r="K106" i="28"/>
  <c r="S106" i="28" s="1"/>
  <c r="F106" i="28"/>
  <c r="N105" i="28"/>
  <c r="M105" i="28"/>
  <c r="L105" i="28"/>
  <c r="K105" i="28"/>
  <c r="S105" i="28" s="1"/>
  <c r="F105" i="28"/>
  <c r="P104" i="28"/>
  <c r="O104" i="28"/>
  <c r="N104" i="28"/>
  <c r="M104" i="28"/>
  <c r="S104" i="28" s="1"/>
  <c r="L104" i="28"/>
  <c r="K104" i="28"/>
  <c r="F104" i="28"/>
  <c r="S103" i="28"/>
  <c r="N103" i="28"/>
  <c r="M103" i="28"/>
  <c r="L103" i="28"/>
  <c r="K103" i="28"/>
  <c r="O103" i="28" s="1"/>
  <c r="P103" i="28" s="1"/>
  <c r="F103" i="28"/>
  <c r="N102" i="28"/>
  <c r="M102" i="28"/>
  <c r="L102" i="28"/>
  <c r="K102" i="28"/>
  <c r="O102" i="28" s="1"/>
  <c r="P102" i="28" s="1"/>
  <c r="F102" i="28"/>
  <c r="S101" i="28"/>
  <c r="O101" i="28"/>
  <c r="P101" i="28" s="1"/>
  <c r="N101" i="28"/>
  <c r="M101" i="28"/>
  <c r="L101" i="28"/>
  <c r="K101" i="28"/>
  <c r="F101" i="28"/>
  <c r="S100" i="28"/>
  <c r="O100" i="28"/>
  <c r="P100" i="28" s="1"/>
  <c r="N100" i="28"/>
  <c r="M100" i="28"/>
  <c r="L100" i="28"/>
  <c r="K100" i="28"/>
  <c r="F100" i="28"/>
  <c r="N99" i="28"/>
  <c r="M99" i="28"/>
  <c r="S99" i="28" s="1"/>
  <c r="L99" i="28"/>
  <c r="K99" i="28"/>
  <c r="O99" i="28" s="1"/>
  <c r="P99" i="28" s="1"/>
  <c r="F99" i="28"/>
  <c r="N98" i="28"/>
  <c r="S98" i="28" s="1"/>
  <c r="M98" i="28"/>
  <c r="L98" i="28"/>
  <c r="K98" i="28"/>
  <c r="O98" i="28" s="1"/>
  <c r="P98" i="28" s="1"/>
  <c r="F98" i="28"/>
  <c r="N97" i="28"/>
  <c r="O97" i="28" s="1"/>
  <c r="P97" i="28" s="1"/>
  <c r="M97" i="28"/>
  <c r="L97" i="28"/>
  <c r="K97" i="28"/>
  <c r="S97" i="28" s="1"/>
  <c r="F97" i="28"/>
  <c r="N96" i="28"/>
  <c r="M96" i="28"/>
  <c r="L96" i="28"/>
  <c r="S96" i="28" s="1"/>
  <c r="K96" i="28"/>
  <c r="F96" i="28"/>
  <c r="N95" i="28"/>
  <c r="M95" i="28"/>
  <c r="S95" i="28" s="1"/>
  <c r="L95" i="28"/>
  <c r="K95" i="28"/>
  <c r="F95" i="28"/>
  <c r="N94" i="28"/>
  <c r="M94" i="28"/>
  <c r="L94" i="28"/>
  <c r="S94" i="28" s="1"/>
  <c r="K94" i="28"/>
  <c r="F94" i="28"/>
  <c r="N93" i="28"/>
  <c r="M93" i="28"/>
  <c r="L93" i="28"/>
  <c r="K93" i="28"/>
  <c r="S93" i="28" s="1"/>
  <c r="F93" i="28"/>
  <c r="N92" i="28"/>
  <c r="M92" i="28"/>
  <c r="L92" i="28"/>
  <c r="O92" i="28" s="1"/>
  <c r="P92" i="28" s="1"/>
  <c r="K92" i="28"/>
  <c r="S92" i="28" s="1"/>
  <c r="F92" i="28"/>
  <c r="N91" i="28"/>
  <c r="M91" i="28"/>
  <c r="L91" i="28"/>
  <c r="S91" i="28" s="1"/>
  <c r="K91" i="28"/>
  <c r="O91" i="28" s="1"/>
  <c r="P91" i="28" s="1"/>
  <c r="F91" i="28"/>
  <c r="N90" i="28"/>
  <c r="M90" i="28"/>
  <c r="L90" i="28"/>
  <c r="K90" i="28"/>
  <c r="S90" i="28" s="1"/>
  <c r="F90" i="28"/>
  <c r="N89" i="28"/>
  <c r="M89" i="28"/>
  <c r="L89" i="28"/>
  <c r="K89" i="28"/>
  <c r="O89" i="28" s="1"/>
  <c r="P89" i="28" s="1"/>
  <c r="F89" i="28"/>
  <c r="N88" i="28"/>
  <c r="M88" i="28"/>
  <c r="L88" i="28"/>
  <c r="K88" i="28"/>
  <c r="S88" i="28" s="1"/>
  <c r="F88" i="28"/>
  <c r="N87" i="28"/>
  <c r="M87" i="28"/>
  <c r="L87" i="28"/>
  <c r="K87" i="28"/>
  <c r="S87" i="28" s="1"/>
  <c r="F87" i="28"/>
  <c r="N86" i="28"/>
  <c r="M86" i="28"/>
  <c r="L86" i="28"/>
  <c r="S86" i="28" s="1"/>
  <c r="K86" i="28"/>
  <c r="F86" i="28"/>
  <c r="N85" i="28"/>
  <c r="M85" i="28"/>
  <c r="L85" i="28"/>
  <c r="K85" i="28"/>
  <c r="S85" i="28" s="1"/>
  <c r="F85" i="28"/>
  <c r="N84" i="28"/>
  <c r="M84" i="28"/>
  <c r="L84" i="28"/>
  <c r="K84" i="28"/>
  <c r="S84" i="28" s="1"/>
  <c r="F84" i="28"/>
  <c r="N83" i="28"/>
  <c r="M83" i="28"/>
  <c r="L83" i="28"/>
  <c r="K83" i="28"/>
  <c r="S83" i="28" s="1"/>
  <c r="F83" i="28"/>
  <c r="S82" i="28"/>
  <c r="O82" i="28"/>
  <c r="P82" i="28" s="1"/>
  <c r="N82" i="28"/>
  <c r="M82" i="28"/>
  <c r="L82" i="28"/>
  <c r="K82" i="28"/>
  <c r="F82" i="28"/>
  <c r="S81" i="28"/>
  <c r="N81" i="28"/>
  <c r="M81" i="28"/>
  <c r="L81" i="28"/>
  <c r="K81" i="28"/>
  <c r="O81" i="28" s="1"/>
  <c r="P81" i="28" s="1"/>
  <c r="F81" i="28"/>
  <c r="N80" i="28"/>
  <c r="M80" i="28"/>
  <c r="L80" i="28"/>
  <c r="K80" i="28"/>
  <c r="O80" i="28" s="1"/>
  <c r="P80" i="28" s="1"/>
  <c r="F80" i="28"/>
  <c r="O79" i="28"/>
  <c r="P79" i="28" s="1"/>
  <c r="N79" i="28"/>
  <c r="M79" i="28"/>
  <c r="L79" i="28"/>
  <c r="S79" i="28" s="1"/>
  <c r="K79" i="28"/>
  <c r="F79" i="28"/>
  <c r="S78" i="28"/>
  <c r="N78" i="28"/>
  <c r="M78" i="28"/>
  <c r="L78" i="28"/>
  <c r="K78" i="28"/>
  <c r="O78" i="28" s="1"/>
  <c r="P78" i="28" s="1"/>
  <c r="F78" i="28"/>
  <c r="N77" i="28"/>
  <c r="M77" i="28"/>
  <c r="L77" i="28"/>
  <c r="K77" i="28"/>
  <c r="O77" i="28" s="1"/>
  <c r="P77" i="28" s="1"/>
  <c r="F77" i="28"/>
  <c r="N76" i="28"/>
  <c r="S76" i="28" s="1"/>
  <c r="M76" i="28"/>
  <c r="L76" i="28"/>
  <c r="K76" i="28"/>
  <c r="O76" i="28" s="1"/>
  <c r="P76" i="28" s="1"/>
  <c r="F76" i="28"/>
  <c r="O75" i="28"/>
  <c r="P75" i="28" s="1"/>
  <c r="N75" i="28"/>
  <c r="M75" i="28"/>
  <c r="L75" i="28"/>
  <c r="K75" i="28"/>
  <c r="S75" i="28" s="1"/>
  <c r="F75" i="28"/>
  <c r="N74" i="28"/>
  <c r="M74" i="28"/>
  <c r="S74" i="28" s="1"/>
  <c r="L74" i="28"/>
  <c r="K74" i="28"/>
  <c r="O74" i="28" s="1"/>
  <c r="P74" i="28" s="1"/>
  <c r="F74" i="28"/>
  <c r="N73" i="28"/>
  <c r="M73" i="28"/>
  <c r="S73" i="28" s="1"/>
  <c r="L73" i="28"/>
  <c r="K73" i="28"/>
  <c r="F73" i="28"/>
  <c r="N72" i="28"/>
  <c r="O72" i="28" s="1"/>
  <c r="P72" i="28" s="1"/>
  <c r="M72" i="28"/>
  <c r="S72" i="28" s="1"/>
  <c r="L72" i="28"/>
  <c r="K72" i="28"/>
  <c r="F72" i="28"/>
  <c r="N71" i="28"/>
  <c r="M71" i="28"/>
  <c r="L71" i="28"/>
  <c r="S71" i="28" s="1"/>
  <c r="K71" i="28"/>
  <c r="F71" i="28"/>
  <c r="N70" i="28"/>
  <c r="M70" i="28"/>
  <c r="L70" i="28"/>
  <c r="O70" i="28" s="1"/>
  <c r="P70" i="28" s="1"/>
  <c r="K70" i="28"/>
  <c r="F70" i="28"/>
  <c r="N69" i="28"/>
  <c r="M69" i="28"/>
  <c r="S69" i="28" s="1"/>
  <c r="L69" i="28"/>
  <c r="O69" i="28" s="1"/>
  <c r="P69" i="28" s="1"/>
  <c r="K69" i="28"/>
  <c r="F69" i="28"/>
  <c r="N68" i="28"/>
  <c r="M68" i="28"/>
  <c r="L68" i="28"/>
  <c r="K68" i="28"/>
  <c r="S68" i="28" s="1"/>
  <c r="F68" i="28"/>
  <c r="N67" i="28"/>
  <c r="M67" i="28"/>
  <c r="L67" i="28"/>
  <c r="K67" i="28"/>
  <c r="O67" i="28" s="1"/>
  <c r="P67" i="28" s="1"/>
  <c r="F67" i="28"/>
  <c r="N66" i="28"/>
  <c r="M66" i="28"/>
  <c r="L66" i="28"/>
  <c r="K66" i="28"/>
  <c r="S66" i="28" s="1"/>
  <c r="F66" i="28"/>
  <c r="N65" i="28"/>
  <c r="M65" i="28"/>
  <c r="L65" i="28"/>
  <c r="K65" i="28"/>
  <c r="S65" i="28" s="1"/>
  <c r="F65" i="28"/>
  <c r="N64" i="28"/>
  <c r="M64" i="28"/>
  <c r="L64" i="28"/>
  <c r="S64" i="28" s="1"/>
  <c r="K64" i="28"/>
  <c r="F64" i="28"/>
  <c r="N63" i="28"/>
  <c r="M63" i="28"/>
  <c r="L63" i="28"/>
  <c r="K63" i="28"/>
  <c r="S63" i="28" s="1"/>
  <c r="F63" i="28"/>
  <c r="N62" i="28"/>
  <c r="M62" i="28"/>
  <c r="L62" i="28"/>
  <c r="K62" i="28"/>
  <c r="S62" i="28" s="1"/>
  <c r="F62" i="28"/>
  <c r="N61" i="28"/>
  <c r="M61" i="28"/>
  <c r="L61" i="28"/>
  <c r="K61" i="28"/>
  <c r="S61" i="28" s="1"/>
  <c r="F61" i="28"/>
  <c r="S60" i="28"/>
  <c r="N60" i="28"/>
  <c r="M60" i="28"/>
  <c r="L60" i="28"/>
  <c r="K60" i="28"/>
  <c r="O60" i="28" s="1"/>
  <c r="P60" i="28" s="1"/>
  <c r="F60" i="28"/>
  <c r="N59" i="28"/>
  <c r="M59" i="28"/>
  <c r="L59" i="28"/>
  <c r="K59" i="28"/>
  <c r="S59" i="28" s="1"/>
  <c r="F59" i="28"/>
  <c r="N58" i="28"/>
  <c r="M58" i="28"/>
  <c r="L58" i="28"/>
  <c r="K58" i="28"/>
  <c r="O58" i="28" s="1"/>
  <c r="P58" i="28" s="1"/>
  <c r="F58" i="28"/>
  <c r="P57" i="28"/>
  <c r="O57" i="28"/>
  <c r="N57" i="28"/>
  <c r="M57" i="28"/>
  <c r="S57" i="28" s="1"/>
  <c r="L57" i="28"/>
  <c r="K57" i="28"/>
  <c r="F57" i="28"/>
  <c r="S56" i="28"/>
  <c r="N56" i="28"/>
  <c r="M56" i="28"/>
  <c r="L56" i="28"/>
  <c r="K56" i="28"/>
  <c r="O56" i="28" s="1"/>
  <c r="P56" i="28" s="1"/>
  <c r="F56" i="28"/>
  <c r="N55" i="28"/>
  <c r="M55" i="28"/>
  <c r="L55" i="28"/>
  <c r="K55" i="28"/>
  <c r="O55" i="28" s="1"/>
  <c r="P55" i="28" s="1"/>
  <c r="F55" i="28"/>
  <c r="S54" i="28"/>
  <c r="O54" i="28"/>
  <c r="P54" i="28" s="1"/>
  <c r="N54" i="28"/>
  <c r="M54" i="28"/>
  <c r="L54" i="28"/>
  <c r="K54" i="28"/>
  <c r="F54" i="28"/>
  <c r="S53" i="28"/>
  <c r="N53" i="28"/>
  <c r="M53" i="28"/>
  <c r="L53" i="28"/>
  <c r="K53" i="28"/>
  <c r="O53" i="28" s="1"/>
  <c r="P53" i="28" s="1"/>
  <c r="F53" i="28"/>
  <c r="N52" i="28"/>
  <c r="M52" i="28"/>
  <c r="L52" i="28"/>
  <c r="K52" i="28"/>
  <c r="S52" i="28" s="1"/>
  <c r="F52" i="28"/>
  <c r="N51" i="28"/>
  <c r="S51" i="28" s="1"/>
  <c r="M51" i="28"/>
  <c r="L51" i="28"/>
  <c r="K51" i="28"/>
  <c r="O51" i="28" s="1"/>
  <c r="P51" i="28" s="1"/>
  <c r="F51" i="28"/>
  <c r="O50" i="28"/>
  <c r="P50" i="28" s="1"/>
  <c r="N50" i="28"/>
  <c r="M50" i="28"/>
  <c r="L50" i="28"/>
  <c r="K50" i="28"/>
  <c r="S50" i="28" s="1"/>
  <c r="F50" i="28"/>
  <c r="N49" i="28"/>
  <c r="M49" i="28"/>
  <c r="L49" i="28"/>
  <c r="S49" i="28" s="1"/>
  <c r="K49" i="28"/>
  <c r="F49" i="28"/>
  <c r="N48" i="28"/>
  <c r="M48" i="28"/>
  <c r="S48" i="28" s="1"/>
  <c r="L48" i="28"/>
  <c r="K48" i="28"/>
  <c r="F48" i="28"/>
  <c r="N47" i="28"/>
  <c r="O47" i="28" s="1"/>
  <c r="P47" i="28" s="1"/>
  <c r="M47" i="28"/>
  <c r="L47" i="28"/>
  <c r="K47" i="28"/>
  <c r="S47" i="28" s="1"/>
  <c r="F47" i="28"/>
  <c r="N46" i="28"/>
  <c r="M46" i="28"/>
  <c r="L46" i="28"/>
  <c r="K46" i="28"/>
  <c r="S46" i="28" s="1"/>
  <c r="F46" i="28"/>
  <c r="N45" i="28"/>
  <c r="M45" i="28"/>
  <c r="L45" i="28"/>
  <c r="O45" i="28" s="1"/>
  <c r="P45" i="28" s="1"/>
  <c r="K45" i="28"/>
  <c r="S45" i="28" s="1"/>
  <c r="F45" i="28"/>
  <c r="N44" i="28"/>
  <c r="M44" i="28"/>
  <c r="L44" i="28"/>
  <c r="S44" i="28" s="1"/>
  <c r="K44" i="28"/>
  <c r="F44" i="28"/>
  <c r="N43" i="28"/>
  <c r="M43" i="28"/>
  <c r="L43" i="28"/>
  <c r="K43" i="28"/>
  <c r="S43" i="28" s="1"/>
  <c r="F43" i="28"/>
  <c r="N42" i="28"/>
  <c r="M42" i="28"/>
  <c r="L42" i="28"/>
  <c r="K42" i="28"/>
  <c r="O42" i="28" s="1"/>
  <c r="P42" i="28" s="1"/>
  <c r="F42" i="28"/>
  <c r="N41" i="28"/>
  <c r="M41" i="28"/>
  <c r="L41" i="28"/>
  <c r="K41" i="28"/>
  <c r="S41" i="28" s="1"/>
  <c r="F41" i="28"/>
  <c r="N40" i="28"/>
  <c r="M40" i="28"/>
  <c r="L40" i="28"/>
  <c r="K40" i="28"/>
  <c r="S40" i="28" s="1"/>
  <c r="F40" i="28"/>
  <c r="N39" i="28"/>
  <c r="M39" i="28"/>
  <c r="L39" i="28"/>
  <c r="S39" i="28" s="1"/>
  <c r="K39" i="28"/>
  <c r="F39" i="28"/>
  <c r="S38" i="28"/>
  <c r="N38" i="28"/>
  <c r="M38" i="28"/>
  <c r="L38" i="28"/>
  <c r="K38" i="28"/>
  <c r="O38" i="28" s="1"/>
  <c r="P38" i="28" s="1"/>
  <c r="F38" i="28"/>
  <c r="N37" i="28"/>
  <c r="M37" i="28"/>
  <c r="L37" i="28"/>
  <c r="K37" i="28"/>
  <c r="S37" i="28" s="1"/>
  <c r="F37" i="28"/>
  <c r="N36" i="28"/>
  <c r="M36" i="28"/>
  <c r="L36" i="28"/>
  <c r="K36" i="28"/>
  <c r="S36" i="28" s="1"/>
  <c r="F36" i="28"/>
  <c r="S35" i="28"/>
  <c r="N35" i="28"/>
  <c r="M35" i="28"/>
  <c r="L35" i="28"/>
  <c r="K35" i="28"/>
  <c r="O35" i="28" s="1"/>
  <c r="P35" i="28" s="1"/>
  <c r="F35" i="28"/>
  <c r="N34" i="28"/>
  <c r="M34" i="28"/>
  <c r="L34" i="28"/>
  <c r="K34" i="28"/>
  <c r="S34" i="28" s="1"/>
  <c r="F34" i="28"/>
  <c r="N33" i="28"/>
  <c r="M33" i="28"/>
  <c r="L33" i="28"/>
  <c r="K33" i="28"/>
  <c r="O33" i="28" s="1"/>
  <c r="P33" i="28" s="1"/>
  <c r="F33" i="28"/>
  <c r="P32" i="28"/>
  <c r="O32" i="28"/>
  <c r="N32" i="28"/>
  <c r="M32" i="28"/>
  <c r="L32" i="28"/>
  <c r="S32" i="28" s="1"/>
  <c r="K32" i="28"/>
  <c r="F32" i="28"/>
  <c r="S31" i="28"/>
  <c r="O31" i="28"/>
  <c r="P31" i="28" s="1"/>
  <c r="N31" i="28"/>
  <c r="M31" i="28"/>
  <c r="L31" i="28"/>
  <c r="K31" i="28"/>
  <c r="F31" i="28"/>
  <c r="N30" i="28"/>
  <c r="M30" i="28"/>
  <c r="L30" i="28"/>
  <c r="K30" i="28"/>
  <c r="S30" i="28" s="1"/>
  <c r="F30" i="28"/>
  <c r="S29" i="28"/>
  <c r="O29" i="28"/>
  <c r="P29" i="28" s="1"/>
  <c r="N29" i="28"/>
  <c r="M29" i="28"/>
  <c r="L29" i="28"/>
  <c r="K29" i="28"/>
  <c r="F29" i="28"/>
  <c r="S28" i="28"/>
  <c r="O28" i="28"/>
  <c r="P28" i="28" s="1"/>
  <c r="N28" i="28"/>
  <c r="M28" i="28"/>
  <c r="L28" i="28"/>
  <c r="K28" i="28"/>
  <c r="F28" i="28"/>
  <c r="N27" i="28"/>
  <c r="M27" i="28"/>
  <c r="L27" i="28"/>
  <c r="K27" i="28"/>
  <c r="S27" i="28" s="1"/>
  <c r="F27" i="28"/>
  <c r="N26" i="28"/>
  <c r="M26" i="28"/>
  <c r="S26" i="28" s="1"/>
  <c r="L26" i="28"/>
  <c r="K26" i="28"/>
  <c r="O26" i="28" s="1"/>
  <c r="P26" i="28" s="1"/>
  <c r="F26" i="28"/>
  <c r="N25" i="28"/>
  <c r="O25" i="28" s="1"/>
  <c r="P25" i="28" s="1"/>
  <c r="M25" i="28"/>
  <c r="S25" i="28" s="1"/>
  <c r="L25" i="28"/>
  <c r="K25" i="28"/>
  <c r="F25" i="28"/>
  <c r="N24" i="28"/>
  <c r="M24" i="28"/>
  <c r="L24" i="28"/>
  <c r="O24" i="28" s="1"/>
  <c r="P24" i="28" s="1"/>
  <c r="K24" i="28"/>
  <c r="S24" i="28" s="1"/>
  <c r="F24" i="28"/>
  <c r="N23" i="28"/>
  <c r="M23" i="28"/>
  <c r="L23" i="28"/>
  <c r="O23" i="28" s="1"/>
  <c r="P23" i="28" s="1"/>
  <c r="K23" i="28"/>
  <c r="F23" i="28"/>
  <c r="N22" i="28"/>
  <c r="M22" i="28"/>
  <c r="L22" i="28"/>
  <c r="S22" i="28" s="1"/>
  <c r="K22" i="28"/>
  <c r="F22" i="28"/>
  <c r="N21" i="28"/>
  <c r="M21" i="28"/>
  <c r="L21" i="28"/>
  <c r="K21" i="28"/>
  <c r="S21" i="28" s="1"/>
  <c r="F21" i="28"/>
  <c r="N20" i="28"/>
  <c r="M20" i="28"/>
  <c r="L20" i="28"/>
  <c r="K20" i="28"/>
  <c r="S20" i="28" s="1"/>
  <c r="F20" i="28"/>
  <c r="N19" i="28"/>
  <c r="M19" i="28"/>
  <c r="L19" i="28"/>
  <c r="K19" i="28"/>
  <c r="S19" i="28" s="1"/>
  <c r="F19" i="28"/>
  <c r="N18" i="28"/>
  <c r="M18" i="28"/>
  <c r="L18" i="28"/>
  <c r="K18" i="28"/>
  <c r="O18" i="28" s="1"/>
  <c r="P18" i="28" s="1"/>
  <c r="F18" i="28"/>
  <c r="N17" i="28"/>
  <c r="M17" i="28"/>
  <c r="L17" i="28"/>
  <c r="K17" i="28"/>
  <c r="S17" i="28" s="1"/>
  <c r="F17" i="28"/>
  <c r="N16" i="28"/>
  <c r="M16" i="28"/>
  <c r="L16" i="28"/>
  <c r="K16" i="28"/>
  <c r="S16" i="28" s="1"/>
  <c r="F16" i="28"/>
  <c r="N15" i="28"/>
  <c r="M15" i="28"/>
  <c r="L15" i="28"/>
  <c r="K15" i="28"/>
  <c r="S15" i="28" s="1"/>
  <c r="F15" i="28"/>
  <c r="N14" i="28"/>
  <c r="M14" i="28"/>
  <c r="L14" i="28"/>
  <c r="S14" i="28" s="1"/>
  <c r="K14" i="28"/>
  <c r="F14" i="28"/>
  <c r="S13" i="28"/>
  <c r="N13" i="28"/>
  <c r="M13" i="28"/>
  <c r="L13" i="28"/>
  <c r="K13" i="28"/>
  <c r="O13" i="28" s="1"/>
  <c r="P13" i="28" s="1"/>
  <c r="F13" i="28"/>
  <c r="S12" i="28"/>
  <c r="N12" i="28"/>
  <c r="M12" i="28"/>
  <c r="L12" i="28"/>
  <c r="K12" i="28"/>
  <c r="O12" i="28" s="1"/>
  <c r="P12" i="28" s="1"/>
  <c r="F12" i="28"/>
  <c r="N11" i="28"/>
  <c r="M11" i="28"/>
  <c r="L11" i="28"/>
  <c r="K11" i="28"/>
  <c r="S11" i="28" s="1"/>
  <c r="F11" i="28"/>
  <c r="S10" i="28"/>
  <c r="O10" i="28"/>
  <c r="P10" i="28" s="1"/>
  <c r="N10" i="28"/>
  <c r="M10" i="28"/>
  <c r="L10" i="28"/>
  <c r="K10" i="28"/>
  <c r="F10" i="28"/>
  <c r="S9" i="28"/>
  <c r="N9" i="28"/>
  <c r="M9" i="28"/>
  <c r="L9" i="28"/>
  <c r="K9" i="28"/>
  <c r="O9" i="28" s="1"/>
  <c r="P9" i="28" s="1"/>
  <c r="F9" i="28"/>
  <c r="N8" i="28"/>
  <c r="M8" i="28"/>
  <c r="L8" i="28"/>
  <c r="K8" i="28"/>
  <c r="O8" i="28" s="1"/>
  <c r="P8" i="28" s="1"/>
  <c r="F8" i="28"/>
  <c r="N7" i="28"/>
  <c r="O7" i="28" s="1"/>
  <c r="P7" i="28" s="1"/>
  <c r="M7" i="28"/>
  <c r="L7" i="28"/>
  <c r="K7" i="28"/>
  <c r="S7" i="28" s="1"/>
  <c r="F7" i="28"/>
  <c r="S6" i="28"/>
  <c r="P6" i="28"/>
  <c r="O6" i="28"/>
  <c r="N6" i="28"/>
  <c r="M6" i="28"/>
  <c r="L6" i="28"/>
  <c r="K6" i="28"/>
  <c r="F6" i="28"/>
  <c r="N5" i="28"/>
  <c r="M5" i="28"/>
  <c r="L5" i="28"/>
  <c r="K5" i="28"/>
  <c r="S5" i="28" s="1"/>
  <c r="F5" i="28"/>
  <c r="N4" i="28"/>
  <c r="M4" i="28"/>
  <c r="S4" i="28" s="1"/>
  <c r="L4" i="28"/>
  <c r="K4" i="28"/>
  <c r="F4" i="28"/>
  <c r="O95" i="28" l="1"/>
  <c r="P95" i="28" s="1"/>
  <c r="O120" i="28"/>
  <c r="P120" i="28" s="1"/>
  <c r="O145" i="28"/>
  <c r="P145" i="28" s="1"/>
  <c r="O167" i="28"/>
  <c r="P167" i="28" s="1"/>
  <c r="O192" i="28"/>
  <c r="P192" i="28" s="1"/>
  <c r="O217" i="28"/>
  <c r="P217" i="28" s="1"/>
  <c r="O239" i="28"/>
  <c r="P239" i="28" s="1"/>
  <c r="O264" i="28"/>
  <c r="P264" i="28" s="1"/>
  <c r="O289" i="28"/>
  <c r="P289" i="28" s="1"/>
  <c r="O26" i="42"/>
  <c r="P26" i="42" s="1"/>
  <c r="S26" i="42"/>
  <c r="S42" i="42"/>
  <c r="S76" i="42"/>
  <c r="S220" i="42"/>
  <c r="O48" i="28"/>
  <c r="P48" i="28" s="1"/>
  <c r="O20" i="28"/>
  <c r="P20" i="28" s="1"/>
  <c r="O214" i="28"/>
  <c r="P214" i="28" s="1"/>
  <c r="O286" i="28"/>
  <c r="P286" i="28" s="1"/>
  <c r="O328" i="28"/>
  <c r="P328" i="28" s="1"/>
  <c r="O364" i="28"/>
  <c r="P364" i="28" s="1"/>
  <c r="O394" i="28"/>
  <c r="P394" i="28" s="1"/>
  <c r="S22" i="42"/>
  <c r="S30" i="42"/>
  <c r="O30" i="42"/>
  <c r="P30" i="42" s="1"/>
  <c r="S51" i="42"/>
  <c r="S55" i="42"/>
  <c r="O55" i="42"/>
  <c r="P55" i="42" s="1"/>
  <c r="O167" i="42"/>
  <c r="P167" i="42" s="1"/>
  <c r="S167" i="42"/>
  <c r="O198" i="42"/>
  <c r="P198" i="42" s="1"/>
  <c r="S311" i="42"/>
  <c r="O186" i="28"/>
  <c r="P186" i="28" s="1"/>
  <c r="O283" i="28"/>
  <c r="P283" i="28" s="1"/>
  <c r="O305" i="28"/>
  <c r="P305" i="28" s="1"/>
  <c r="O387" i="28"/>
  <c r="P387" i="28" s="1"/>
  <c r="S189" i="42"/>
  <c r="O189" i="42"/>
  <c r="P189" i="42" s="1"/>
  <c r="O114" i="28"/>
  <c r="P114" i="28" s="1"/>
  <c r="O161" i="28"/>
  <c r="P161" i="28" s="1"/>
  <c r="O258" i="28"/>
  <c r="P258" i="28" s="1"/>
  <c r="O14" i="28"/>
  <c r="P14" i="28" s="1"/>
  <c r="O39" i="28"/>
  <c r="P39" i="28" s="1"/>
  <c r="O64" i="28"/>
  <c r="P64" i="28" s="1"/>
  <c r="S67" i="28"/>
  <c r="O86" i="28"/>
  <c r="P86" i="28" s="1"/>
  <c r="O111" i="28"/>
  <c r="P111" i="28" s="1"/>
  <c r="O136" i="28"/>
  <c r="P136" i="28" s="1"/>
  <c r="S139" i="28"/>
  <c r="O208" i="28"/>
  <c r="P208" i="28" s="1"/>
  <c r="S211" i="28"/>
  <c r="O280" i="28"/>
  <c r="P280" i="28" s="1"/>
  <c r="O325" i="28"/>
  <c r="P325" i="28" s="1"/>
  <c r="O361" i="28"/>
  <c r="P361" i="28" s="1"/>
  <c r="O397" i="28"/>
  <c r="P397" i="28" s="1"/>
  <c r="O404" i="28"/>
  <c r="P404" i="28" s="1"/>
  <c r="O433" i="28"/>
  <c r="P433" i="28" s="1"/>
  <c r="O444" i="28"/>
  <c r="P444" i="28" s="1"/>
  <c r="O480" i="28"/>
  <c r="P480" i="28" s="1"/>
  <c r="O14" i="42"/>
  <c r="P14" i="42" s="1"/>
  <c r="S14" i="42"/>
  <c r="O47" i="42"/>
  <c r="P47" i="42" s="1"/>
  <c r="S47" i="42"/>
  <c r="S63" i="42"/>
  <c r="O242" i="42"/>
  <c r="P242" i="42" s="1"/>
  <c r="S242" i="42"/>
  <c r="S273" i="42"/>
  <c r="S386" i="42"/>
  <c r="O17" i="28"/>
  <c r="P17" i="28" s="1"/>
  <c r="S23" i="28"/>
  <c r="O233" i="28"/>
  <c r="P233" i="28" s="1"/>
  <c r="O11" i="28"/>
  <c r="P11" i="28" s="1"/>
  <c r="O36" i="28"/>
  <c r="P36" i="28" s="1"/>
  <c r="S42" i="28"/>
  <c r="O61" i="28"/>
  <c r="P61" i="28" s="1"/>
  <c r="O83" i="28"/>
  <c r="P83" i="28" s="1"/>
  <c r="S89" i="28"/>
  <c r="O108" i="28"/>
  <c r="P108" i="28" s="1"/>
  <c r="O401" i="28"/>
  <c r="P401" i="28" s="1"/>
  <c r="S415" i="28"/>
  <c r="O437" i="28"/>
  <c r="P437" i="28" s="1"/>
  <c r="S437" i="28"/>
  <c r="S441" i="28"/>
  <c r="O441" i="28"/>
  <c r="P441" i="28" s="1"/>
  <c r="S456" i="28"/>
  <c r="S88" i="42"/>
  <c r="S264" i="42"/>
  <c r="O264" i="42"/>
  <c r="P264" i="42" s="1"/>
  <c r="S70" i="28"/>
  <c r="O152" i="28"/>
  <c r="P152" i="28" s="1"/>
  <c r="O177" i="28"/>
  <c r="P177" i="28" s="1"/>
  <c r="O202" i="28"/>
  <c r="P202" i="28" s="1"/>
  <c r="O224" i="28"/>
  <c r="P224" i="28" s="1"/>
  <c r="O249" i="28"/>
  <c r="P249" i="28" s="1"/>
  <c r="O274" i="28"/>
  <c r="P274" i="28" s="1"/>
  <c r="O296" i="28"/>
  <c r="P296" i="28" s="1"/>
  <c r="O315" i="28"/>
  <c r="P315" i="28" s="1"/>
  <c r="S328" i="28"/>
  <c r="O338" i="28"/>
  <c r="P338" i="28" s="1"/>
  <c r="O351" i="28"/>
  <c r="P351" i="28" s="1"/>
  <c r="S364" i="28"/>
  <c r="O374" i="28"/>
  <c r="P374" i="28" s="1"/>
  <c r="S468" i="28"/>
  <c r="O22" i="42"/>
  <c r="P22" i="42" s="1"/>
  <c r="O35" i="42"/>
  <c r="P35" i="42" s="1"/>
  <c r="S35" i="42"/>
  <c r="S64" i="42"/>
  <c r="O98" i="42"/>
  <c r="P98" i="42" s="1"/>
  <c r="S98" i="42"/>
  <c r="S286" i="42"/>
  <c r="O286" i="42"/>
  <c r="P286" i="42" s="1"/>
  <c r="S321" i="42"/>
  <c r="O321" i="42"/>
  <c r="P321" i="42" s="1"/>
  <c r="S405" i="42"/>
  <c r="O405" i="42"/>
  <c r="P405" i="42" s="1"/>
  <c r="O5" i="28"/>
  <c r="P5" i="28" s="1"/>
  <c r="O30" i="28"/>
  <c r="P30" i="28" s="1"/>
  <c r="O149" i="28"/>
  <c r="P149" i="28" s="1"/>
  <c r="O174" i="28"/>
  <c r="P174" i="28" s="1"/>
  <c r="O199" i="28"/>
  <c r="P199" i="28" s="1"/>
  <c r="O221" i="28"/>
  <c r="P221" i="28" s="1"/>
  <c r="O246" i="28"/>
  <c r="P246" i="28" s="1"/>
  <c r="O271" i="28"/>
  <c r="P271" i="28" s="1"/>
  <c r="O293" i="28"/>
  <c r="P293" i="28" s="1"/>
  <c r="O384" i="28"/>
  <c r="P384" i="28" s="1"/>
  <c r="S394" i="28"/>
  <c r="O411" i="28"/>
  <c r="P411" i="28" s="1"/>
  <c r="S484" i="28"/>
  <c r="O10" i="42"/>
  <c r="P10" i="42" s="1"/>
  <c r="S27" i="42"/>
  <c r="O27" i="42"/>
  <c r="P27" i="42" s="1"/>
  <c r="O77" i="42"/>
  <c r="P77" i="42" s="1"/>
  <c r="S77" i="42"/>
  <c r="O105" i="28"/>
  <c r="P105" i="28" s="1"/>
  <c r="S8" i="28"/>
  <c r="O27" i="28"/>
  <c r="P27" i="28" s="1"/>
  <c r="S33" i="28"/>
  <c r="O52" i="28"/>
  <c r="P52" i="28" s="1"/>
  <c r="S55" i="28"/>
  <c r="S80" i="28"/>
  <c r="O124" i="28"/>
  <c r="P124" i="28" s="1"/>
  <c r="S127" i="28"/>
  <c r="O319" i="28"/>
  <c r="P319" i="28" s="1"/>
  <c r="S325" i="28"/>
  <c r="O355" i="28"/>
  <c r="P355" i="28" s="1"/>
  <c r="S361" i="28"/>
  <c r="S404" i="28"/>
  <c r="O449" i="28"/>
  <c r="P449" i="28" s="1"/>
  <c r="S449" i="28"/>
  <c r="S452" i="28"/>
  <c r="O489" i="28"/>
  <c r="P489" i="28" s="1"/>
  <c r="O23" i="42"/>
  <c r="P23" i="42" s="1"/>
  <c r="S23" i="42"/>
  <c r="S52" i="42"/>
  <c r="O52" i="42"/>
  <c r="P52" i="42" s="1"/>
  <c r="S110" i="42"/>
  <c r="S142" i="42"/>
  <c r="O142" i="42"/>
  <c r="P142" i="42" s="1"/>
  <c r="S308" i="42"/>
  <c r="O308" i="42"/>
  <c r="P308" i="42" s="1"/>
  <c r="S356" i="42"/>
  <c r="O356" i="42"/>
  <c r="P356" i="42" s="1"/>
  <c r="O432" i="42"/>
  <c r="P432" i="42" s="1"/>
  <c r="S432" i="42"/>
  <c r="O49" i="28"/>
  <c r="P49" i="28" s="1"/>
  <c r="O71" i="28"/>
  <c r="P71" i="28" s="1"/>
  <c r="S77" i="28"/>
  <c r="O96" i="28"/>
  <c r="P96" i="28" s="1"/>
  <c r="S102" i="28"/>
  <c r="O121" i="28"/>
  <c r="P121" i="28" s="1"/>
  <c r="O143" i="28"/>
  <c r="P143" i="28" s="1"/>
  <c r="O168" i="28"/>
  <c r="P168" i="28" s="1"/>
  <c r="O193" i="28"/>
  <c r="P193" i="28" s="1"/>
  <c r="O215" i="28"/>
  <c r="P215" i="28" s="1"/>
  <c r="O240" i="28"/>
  <c r="P240" i="28" s="1"/>
  <c r="O265" i="28"/>
  <c r="P265" i="28" s="1"/>
  <c r="O287" i="28"/>
  <c r="P287" i="28" s="1"/>
  <c r="O461" i="28"/>
  <c r="P461" i="28" s="1"/>
  <c r="S461" i="28"/>
  <c r="S465" i="28"/>
  <c r="O465" i="28"/>
  <c r="P465" i="28" s="1"/>
  <c r="S48" i="42"/>
  <c r="S120" i="42"/>
  <c r="O120" i="42"/>
  <c r="P120" i="42" s="1"/>
  <c r="O151" i="42"/>
  <c r="P151" i="42" s="1"/>
  <c r="S195" i="42"/>
  <c r="S217" i="42"/>
  <c r="O217" i="42"/>
  <c r="P217" i="42" s="1"/>
  <c r="S383" i="42"/>
  <c r="O383" i="42"/>
  <c r="P383" i="42" s="1"/>
  <c r="S476" i="42"/>
  <c r="O476" i="42"/>
  <c r="P476" i="42" s="1"/>
  <c r="O73" i="28"/>
  <c r="P73" i="28" s="1"/>
  <c r="S130" i="28"/>
  <c r="O68" i="28"/>
  <c r="P68" i="28" s="1"/>
  <c r="O93" i="28"/>
  <c r="P93" i="28" s="1"/>
  <c r="O118" i="28"/>
  <c r="P118" i="28" s="1"/>
  <c r="O140" i="28"/>
  <c r="P140" i="28" s="1"/>
  <c r="O165" i="28"/>
  <c r="P165" i="28" s="1"/>
  <c r="O190" i="28"/>
  <c r="P190" i="28" s="1"/>
  <c r="O212" i="28"/>
  <c r="P212" i="28" s="1"/>
  <c r="O237" i="28"/>
  <c r="P237" i="28" s="1"/>
  <c r="O262" i="28"/>
  <c r="P262" i="28" s="1"/>
  <c r="O284" i="28"/>
  <c r="P284" i="28" s="1"/>
  <c r="O309" i="28"/>
  <c r="P309" i="28" s="1"/>
  <c r="O316" i="28"/>
  <c r="P316" i="28" s="1"/>
  <c r="S322" i="28"/>
  <c r="O332" i="28"/>
  <c r="P332" i="28" s="1"/>
  <c r="O345" i="28"/>
  <c r="P345" i="28" s="1"/>
  <c r="O352" i="28"/>
  <c r="P352" i="28" s="1"/>
  <c r="S358" i="28"/>
  <c r="O368" i="28"/>
  <c r="P368" i="28" s="1"/>
  <c r="O381" i="28"/>
  <c r="P381" i="28" s="1"/>
  <c r="O85" i="42"/>
  <c r="P85" i="42" s="1"/>
  <c r="O65" i="28"/>
  <c r="P65" i="28" s="1"/>
  <c r="O115" i="28"/>
  <c r="P115" i="28" s="1"/>
  <c r="O162" i="28"/>
  <c r="P162" i="28" s="1"/>
  <c r="O187" i="28"/>
  <c r="P187" i="28" s="1"/>
  <c r="O209" i="28"/>
  <c r="P209" i="28" s="1"/>
  <c r="O234" i="28"/>
  <c r="P234" i="28" s="1"/>
  <c r="O259" i="28"/>
  <c r="P259" i="28" s="1"/>
  <c r="O281" i="28"/>
  <c r="P281" i="28" s="1"/>
  <c r="O306" i="28"/>
  <c r="P306" i="28" s="1"/>
  <c r="O388" i="28"/>
  <c r="P388" i="28" s="1"/>
  <c r="S419" i="28"/>
  <c r="O445" i="28"/>
  <c r="P445" i="28" s="1"/>
  <c r="S457" i="28"/>
  <c r="O457" i="28"/>
  <c r="P457" i="28" s="1"/>
  <c r="S226" i="42"/>
  <c r="S424" i="42"/>
  <c r="O424" i="42"/>
  <c r="P424" i="42" s="1"/>
  <c r="S554" i="42"/>
  <c r="O554" i="42"/>
  <c r="P554" i="42" s="1"/>
  <c r="O21" i="28"/>
  <c r="P21" i="28" s="1"/>
  <c r="O46" i="28"/>
  <c r="P46" i="28" s="1"/>
  <c r="O43" i="28"/>
  <c r="P43" i="28" s="1"/>
  <c r="O137" i="28"/>
  <c r="P137" i="28" s="1"/>
  <c r="O15" i="28"/>
  <c r="P15" i="28" s="1"/>
  <c r="O40" i="28"/>
  <c r="P40" i="28" s="1"/>
  <c r="O62" i="28"/>
  <c r="P62" i="28" s="1"/>
  <c r="O87" i="28"/>
  <c r="P87" i="28" s="1"/>
  <c r="O112" i="28"/>
  <c r="P112" i="28" s="1"/>
  <c r="O134" i="28"/>
  <c r="P134" i="28" s="1"/>
  <c r="O159" i="28"/>
  <c r="P159" i="28" s="1"/>
  <c r="O184" i="28"/>
  <c r="P184" i="28" s="1"/>
  <c r="O206" i="28"/>
  <c r="P206" i="28" s="1"/>
  <c r="O231" i="28"/>
  <c r="P231" i="28" s="1"/>
  <c r="O256" i="28"/>
  <c r="P256" i="28" s="1"/>
  <c r="O278" i="28"/>
  <c r="P278" i="28" s="1"/>
  <c r="O303" i="28"/>
  <c r="P303" i="28" s="1"/>
  <c r="O313" i="28"/>
  <c r="P313" i="28" s="1"/>
  <c r="S319" i="28"/>
  <c r="O329" i="28"/>
  <c r="P329" i="28" s="1"/>
  <c r="O342" i="28"/>
  <c r="P342" i="28" s="1"/>
  <c r="O349" i="28"/>
  <c r="P349" i="28" s="1"/>
  <c r="S355" i="28"/>
  <c r="O365" i="28"/>
  <c r="P365" i="28" s="1"/>
  <c r="O378" i="28"/>
  <c r="P378" i="28" s="1"/>
  <c r="S398" i="28"/>
  <c r="S408" i="28"/>
  <c r="S426" i="28"/>
  <c r="O469" i="28"/>
  <c r="P469" i="28" s="1"/>
  <c r="O28" i="42"/>
  <c r="P28" i="42" s="1"/>
  <c r="S36" i="42"/>
  <c r="O36" i="42"/>
  <c r="P36" i="42" s="1"/>
  <c r="O44" i="42"/>
  <c r="P44" i="42" s="1"/>
  <c r="S44" i="42"/>
  <c r="S57" i="42"/>
  <c r="S61" i="42"/>
  <c r="O61" i="42"/>
  <c r="P61" i="42" s="1"/>
  <c r="O73" i="42"/>
  <c r="P73" i="42" s="1"/>
  <c r="O239" i="42"/>
  <c r="P239" i="42" s="1"/>
  <c r="S239" i="42"/>
  <c r="S366" i="42"/>
  <c r="O366" i="42"/>
  <c r="P366" i="42" s="1"/>
  <c r="O472" i="42"/>
  <c r="P472" i="42" s="1"/>
  <c r="S472" i="42"/>
  <c r="O142" i="28"/>
  <c r="P142" i="28" s="1"/>
  <c r="S58" i="28"/>
  <c r="O90" i="28"/>
  <c r="P90" i="28" s="1"/>
  <c r="S18" i="28"/>
  <c r="O37" i="28"/>
  <c r="P37" i="28" s="1"/>
  <c r="O59" i="28"/>
  <c r="P59" i="28" s="1"/>
  <c r="O84" i="28"/>
  <c r="P84" i="28" s="1"/>
  <c r="O109" i="28"/>
  <c r="P109" i="28" s="1"/>
  <c r="O131" i="28"/>
  <c r="P131" i="28" s="1"/>
  <c r="O156" i="28"/>
  <c r="P156" i="28" s="1"/>
  <c r="O181" i="28"/>
  <c r="P181" i="28" s="1"/>
  <c r="O203" i="28"/>
  <c r="P203" i="28" s="1"/>
  <c r="O228" i="28"/>
  <c r="P228" i="28" s="1"/>
  <c r="O253" i="28"/>
  <c r="P253" i="28" s="1"/>
  <c r="O275" i="28"/>
  <c r="P275" i="28" s="1"/>
  <c r="O300" i="28"/>
  <c r="P300" i="28" s="1"/>
  <c r="O430" i="28"/>
  <c r="P430" i="28" s="1"/>
  <c r="S19" i="42"/>
  <c r="O48" i="42"/>
  <c r="P48" i="42" s="1"/>
  <c r="S82" i="42"/>
  <c r="O86" i="42"/>
  <c r="P86" i="42" s="1"/>
  <c r="S86" i="42"/>
  <c r="O34" i="28"/>
  <c r="P34" i="28" s="1"/>
  <c r="O106" i="28"/>
  <c r="P106" i="28" s="1"/>
  <c r="O178" i="28"/>
  <c r="P178" i="28" s="1"/>
  <c r="O250" i="28"/>
  <c r="P250" i="28" s="1"/>
  <c r="O310" i="28"/>
  <c r="P310" i="28" s="1"/>
  <c r="S316" i="28"/>
  <c r="O339" i="28"/>
  <c r="P339" i="28" s="1"/>
  <c r="O346" i="28"/>
  <c r="P346" i="28" s="1"/>
  <c r="S352" i="28"/>
  <c r="O362" i="28"/>
  <c r="P362" i="28" s="1"/>
  <c r="O375" i="28"/>
  <c r="P375" i="28" s="1"/>
  <c r="O382" i="28"/>
  <c r="P382" i="28" s="1"/>
  <c r="O389" i="28"/>
  <c r="P389" i="28" s="1"/>
  <c r="S389" i="28"/>
  <c r="O405" i="28"/>
  <c r="P405" i="28" s="1"/>
  <c r="O409" i="28"/>
  <c r="P409" i="28" s="1"/>
  <c r="S412" i="28"/>
  <c r="O423" i="28"/>
  <c r="P423" i="28" s="1"/>
  <c r="O450" i="28"/>
  <c r="P450" i="28" s="1"/>
  <c r="S32" i="42"/>
  <c r="O95" i="42"/>
  <c r="P95" i="42" s="1"/>
  <c r="S95" i="42"/>
  <c r="S248" i="42"/>
  <c r="S261" i="42"/>
  <c r="O261" i="42"/>
  <c r="P261" i="42" s="1"/>
  <c r="O270" i="42"/>
  <c r="P270" i="42" s="1"/>
  <c r="O420" i="42"/>
  <c r="P420" i="42" s="1"/>
  <c r="O175" i="28"/>
  <c r="P175" i="28" s="1"/>
  <c r="O247" i="28"/>
  <c r="P247" i="28" s="1"/>
  <c r="O385" i="28"/>
  <c r="P385" i="28" s="1"/>
  <c r="S446" i="28"/>
  <c r="S462" i="28"/>
  <c r="S466" i="28"/>
  <c r="O466" i="28"/>
  <c r="P466" i="28" s="1"/>
  <c r="S474" i="28"/>
  <c r="S486" i="28"/>
  <c r="S490" i="28"/>
  <c r="S148" i="42"/>
  <c r="S318" i="42"/>
  <c r="O318" i="42"/>
  <c r="P318" i="42" s="1"/>
  <c r="O343" i="28"/>
  <c r="P343" i="28" s="1"/>
  <c r="O379" i="28"/>
  <c r="P379" i="28" s="1"/>
  <c r="O413" i="28"/>
  <c r="P413" i="28" s="1"/>
  <c r="O482" i="28"/>
  <c r="P482" i="28" s="1"/>
  <c r="S482" i="28"/>
  <c r="O16" i="42"/>
  <c r="P16" i="42" s="1"/>
  <c r="S108" i="42"/>
  <c r="O108" i="42"/>
  <c r="P108" i="42" s="1"/>
  <c r="S305" i="42"/>
  <c r="O305" i="42"/>
  <c r="P305" i="42" s="1"/>
  <c r="O327" i="42"/>
  <c r="P327" i="42" s="1"/>
  <c r="S340" i="42"/>
  <c r="O340" i="42"/>
  <c r="P340" i="42" s="1"/>
  <c r="S353" i="42"/>
  <c r="O353" i="42"/>
  <c r="P353" i="42" s="1"/>
  <c r="S398" i="42"/>
  <c r="O398" i="42"/>
  <c r="P398" i="42" s="1"/>
  <c r="O431" i="28"/>
  <c r="P431" i="28" s="1"/>
  <c r="S431" i="28"/>
  <c r="S214" i="42"/>
  <c r="O214" i="42"/>
  <c r="P214" i="42" s="1"/>
  <c r="O22" i="28"/>
  <c r="P22" i="28" s="1"/>
  <c r="O44" i="28"/>
  <c r="P44" i="28" s="1"/>
  <c r="O94" i="28"/>
  <c r="P94" i="28" s="1"/>
  <c r="O166" i="28"/>
  <c r="P166" i="28" s="1"/>
  <c r="O238" i="28"/>
  <c r="P238" i="28" s="1"/>
  <c r="O340" i="28"/>
  <c r="P340" i="28" s="1"/>
  <c r="O376" i="28"/>
  <c r="P376" i="28" s="1"/>
  <c r="O399" i="28"/>
  <c r="P399" i="28" s="1"/>
  <c r="O427" i="28"/>
  <c r="P427" i="28" s="1"/>
  <c r="O443" i="28"/>
  <c r="P443" i="28" s="1"/>
  <c r="O486" i="28"/>
  <c r="P486" i="28" s="1"/>
  <c r="S33" i="42"/>
  <c r="S117" i="42"/>
  <c r="O117" i="42"/>
  <c r="P117" i="42" s="1"/>
  <c r="O170" i="42"/>
  <c r="P170" i="42" s="1"/>
  <c r="S170" i="42"/>
  <c r="S192" i="42"/>
  <c r="O192" i="42"/>
  <c r="P192" i="42" s="1"/>
  <c r="O19" i="28"/>
  <c r="P19" i="28" s="1"/>
  <c r="O41" i="28"/>
  <c r="P41" i="28" s="1"/>
  <c r="O66" i="28"/>
  <c r="P66" i="28" s="1"/>
  <c r="O113" i="28"/>
  <c r="P113" i="28" s="1"/>
  <c r="O138" i="28"/>
  <c r="P138" i="28" s="1"/>
  <c r="O185" i="28"/>
  <c r="P185" i="28" s="1"/>
  <c r="O210" i="28"/>
  <c r="P210" i="28" s="1"/>
  <c r="O257" i="28"/>
  <c r="P257" i="28" s="1"/>
  <c r="O282" i="28"/>
  <c r="P282" i="28" s="1"/>
  <c r="S393" i="28"/>
  <c r="O417" i="28"/>
  <c r="P417" i="28" s="1"/>
  <c r="S447" i="28"/>
  <c r="O462" i="28"/>
  <c r="P462" i="28" s="1"/>
  <c r="O474" i="28"/>
  <c r="P474" i="28" s="1"/>
  <c r="S25" i="42"/>
  <c r="S70" i="42"/>
  <c r="O75" i="42"/>
  <c r="P75" i="42" s="1"/>
  <c r="S179" i="42"/>
  <c r="O223" i="42"/>
  <c r="P223" i="42" s="1"/>
  <c r="O110" i="28"/>
  <c r="P110" i="28" s="1"/>
  <c r="O135" i="28"/>
  <c r="P135" i="28" s="1"/>
  <c r="O160" i="28"/>
  <c r="P160" i="28" s="1"/>
  <c r="O182" i="28"/>
  <c r="P182" i="28" s="1"/>
  <c r="O207" i="28"/>
  <c r="P207" i="28" s="1"/>
  <c r="O232" i="28"/>
  <c r="P232" i="28" s="1"/>
  <c r="O254" i="28"/>
  <c r="P254" i="28" s="1"/>
  <c r="O279" i="28"/>
  <c r="P279" i="28" s="1"/>
  <c r="O304" i="28"/>
  <c r="P304" i="28" s="1"/>
  <c r="O317" i="28"/>
  <c r="P317" i="28" s="1"/>
  <c r="O330" i="28"/>
  <c r="P330" i="28" s="1"/>
  <c r="O337" i="28"/>
  <c r="P337" i="28" s="1"/>
  <c r="S343" i="28"/>
  <c r="O353" i="28"/>
  <c r="P353" i="28" s="1"/>
  <c r="O366" i="28"/>
  <c r="P366" i="28" s="1"/>
  <c r="O373" i="28"/>
  <c r="P373" i="28" s="1"/>
  <c r="S379" i="28"/>
  <c r="O383" i="28"/>
  <c r="P383" i="28" s="1"/>
  <c r="O396" i="28"/>
  <c r="P396" i="28" s="1"/>
  <c r="S413" i="28"/>
  <c r="O439" i="28"/>
  <c r="P439" i="28" s="1"/>
  <c r="S458" i="28"/>
  <c r="S16" i="42"/>
  <c r="O54" i="42"/>
  <c r="P54" i="42" s="1"/>
  <c r="O79" i="42"/>
  <c r="P79" i="42" s="1"/>
  <c r="S223" i="42"/>
  <c r="S5" i="17"/>
  <c r="Q5" i="17"/>
  <c r="O16" i="28"/>
  <c r="P16" i="28" s="1"/>
  <c r="O63" i="28"/>
  <c r="P63" i="28" s="1"/>
  <c r="O88" i="28"/>
  <c r="P88" i="28" s="1"/>
  <c r="O85" i="28"/>
  <c r="P85" i="28" s="1"/>
  <c r="O157" i="28"/>
  <c r="P157" i="28" s="1"/>
  <c r="O229" i="28"/>
  <c r="P229" i="28" s="1"/>
  <c r="O301" i="28"/>
  <c r="P301" i="28" s="1"/>
  <c r="S386" i="28"/>
  <c r="O410" i="28"/>
  <c r="P410" i="28" s="1"/>
  <c r="S410" i="28"/>
  <c r="O424" i="28"/>
  <c r="P424" i="28" s="1"/>
  <c r="S483" i="28"/>
  <c r="S487" i="28"/>
  <c r="S6" i="17"/>
  <c r="Q6" i="17"/>
  <c r="O5" i="42"/>
  <c r="P5" i="42" s="1"/>
  <c r="S5" i="42"/>
  <c r="S13" i="42"/>
  <c r="S45" i="42"/>
  <c r="S50" i="42"/>
  <c r="S66" i="42"/>
  <c r="S245" i="42"/>
  <c r="S267" i="42"/>
  <c r="O334" i="28"/>
  <c r="P334" i="28" s="1"/>
  <c r="O370" i="28"/>
  <c r="P370" i="28" s="1"/>
  <c r="S400" i="28"/>
  <c r="O428" i="28"/>
  <c r="P428" i="28" s="1"/>
  <c r="S428" i="28"/>
  <c r="O459" i="28"/>
  <c r="P459" i="28" s="1"/>
  <c r="O475" i="28"/>
  <c r="P475" i="28" s="1"/>
  <c r="S289" i="42"/>
  <c r="S432" i="28"/>
  <c r="O432" i="28"/>
  <c r="P432" i="28" s="1"/>
  <c r="O440" i="28"/>
  <c r="P440" i="28" s="1"/>
  <c r="S440" i="28"/>
  <c r="S463" i="28"/>
  <c r="O463" i="28"/>
  <c r="P463" i="28" s="1"/>
  <c r="S67" i="42"/>
  <c r="S324" i="42"/>
  <c r="O390" i="42"/>
  <c r="P390" i="42" s="1"/>
  <c r="S390" i="42"/>
  <c r="S506" i="42"/>
  <c r="O506" i="42"/>
  <c r="P506" i="42" s="1"/>
  <c r="O4" i="28"/>
  <c r="P4" i="28" s="1"/>
  <c r="O331" i="28"/>
  <c r="P331" i="28" s="1"/>
  <c r="S337" i="28"/>
  <c r="O367" i="28"/>
  <c r="P367" i="28" s="1"/>
  <c r="S373" i="28"/>
  <c r="S418" i="28"/>
  <c r="O471" i="28"/>
  <c r="P471" i="28" s="1"/>
  <c r="O38" i="42"/>
  <c r="P38" i="42" s="1"/>
  <c r="S123" i="42"/>
  <c r="S145" i="42"/>
  <c r="O145" i="42"/>
  <c r="P145" i="42" s="1"/>
  <c r="S373" i="42"/>
  <c r="O373" i="42"/>
  <c r="P373" i="42" s="1"/>
  <c r="O29" i="42"/>
  <c r="P29" i="42" s="1"/>
  <c r="S69" i="42"/>
  <c r="S94" i="42"/>
  <c r="O101" i="42"/>
  <c r="P101" i="42" s="1"/>
  <c r="O173" i="42"/>
  <c r="P173" i="42" s="1"/>
  <c r="O245" i="42"/>
  <c r="P245" i="42" s="1"/>
  <c r="S285" i="42"/>
  <c r="S304" i="42"/>
  <c r="S352" i="42"/>
  <c r="O359" i="42"/>
  <c r="P359" i="42" s="1"/>
  <c r="S369" i="42"/>
  <c r="O369" i="42"/>
  <c r="P369" i="42" s="1"/>
  <c r="S416" i="42"/>
  <c r="S497" i="42"/>
  <c r="O497" i="42"/>
  <c r="P497" i="42" s="1"/>
  <c r="O20" i="42"/>
  <c r="P20" i="42" s="1"/>
  <c r="O92" i="42"/>
  <c r="P92" i="42" s="1"/>
  <c r="O164" i="42"/>
  <c r="P164" i="42" s="1"/>
  <c r="O236" i="42"/>
  <c r="P236" i="42" s="1"/>
  <c r="O311" i="42"/>
  <c r="P311" i="42" s="1"/>
  <c r="O386" i="42"/>
  <c r="P386" i="42" s="1"/>
  <c r="S394" i="42"/>
  <c r="S409" i="42"/>
  <c r="S480" i="42"/>
  <c r="O480" i="42"/>
  <c r="P480" i="42" s="1"/>
  <c r="S502" i="42"/>
  <c r="S515" i="42"/>
  <c r="S897" i="42"/>
  <c r="O897" i="42"/>
  <c r="P897" i="42" s="1"/>
  <c r="O1009" i="42"/>
  <c r="P1009" i="42" s="1"/>
  <c r="S1009" i="42"/>
  <c r="O490" i="28"/>
  <c r="P490" i="28" s="1"/>
  <c r="O17" i="42"/>
  <c r="P17" i="42" s="1"/>
  <c r="O51" i="42"/>
  <c r="P51" i="42" s="1"/>
  <c r="O76" i="42"/>
  <c r="P76" i="42" s="1"/>
  <c r="O89" i="42"/>
  <c r="P89" i="42" s="1"/>
  <c r="O123" i="42"/>
  <c r="P123" i="42" s="1"/>
  <c r="O148" i="42"/>
  <c r="P148" i="42" s="1"/>
  <c r="O161" i="42"/>
  <c r="P161" i="42" s="1"/>
  <c r="O195" i="42"/>
  <c r="P195" i="42" s="1"/>
  <c r="O220" i="42"/>
  <c r="P220" i="42" s="1"/>
  <c r="O233" i="42"/>
  <c r="P233" i="42" s="1"/>
  <c r="O267" i="42"/>
  <c r="P267" i="42" s="1"/>
  <c r="O289" i="42"/>
  <c r="P289" i="42" s="1"/>
  <c r="S315" i="42"/>
  <c r="O324" i="42"/>
  <c r="P324" i="42" s="1"/>
  <c r="S359" i="42"/>
  <c r="O363" i="42"/>
  <c r="P363" i="42" s="1"/>
  <c r="S402" i="42"/>
  <c r="O402" i="42"/>
  <c r="P402" i="42" s="1"/>
  <c r="S452" i="42"/>
  <c r="O456" i="42"/>
  <c r="P456" i="42" s="1"/>
  <c r="O550" i="42"/>
  <c r="P550" i="42" s="1"/>
  <c r="O866" i="42"/>
  <c r="P866" i="42" s="1"/>
  <c r="O413" i="42"/>
  <c r="P413" i="42" s="1"/>
  <c r="S413" i="42"/>
  <c r="S440" i="42"/>
  <c r="O440" i="42"/>
  <c r="P440" i="42" s="1"/>
  <c r="S853" i="42"/>
  <c r="O853" i="42"/>
  <c r="P853" i="42" s="1"/>
  <c r="O425" i="28"/>
  <c r="P425" i="28" s="1"/>
  <c r="O11" i="42"/>
  <c r="P11" i="42" s="1"/>
  <c r="O83" i="42"/>
  <c r="P83" i="42" s="1"/>
  <c r="O155" i="42"/>
  <c r="P155" i="42" s="1"/>
  <c r="O227" i="42"/>
  <c r="P227" i="42" s="1"/>
  <c r="S344" i="42"/>
  <c r="S377" i="42"/>
  <c r="O406" i="42"/>
  <c r="P406" i="42" s="1"/>
  <c r="S421" i="42"/>
  <c r="O421" i="42"/>
  <c r="P421" i="42" s="1"/>
  <c r="O485" i="42"/>
  <c r="P485" i="42" s="1"/>
  <c r="O546" i="42"/>
  <c r="P546" i="42" s="1"/>
  <c r="O422" i="28"/>
  <c r="P422" i="28" s="1"/>
  <c r="O456" i="28"/>
  <c r="P456" i="28" s="1"/>
  <c r="O481" i="28"/>
  <c r="P481" i="28" s="1"/>
  <c r="O8" i="42"/>
  <c r="P8" i="42" s="1"/>
  <c r="O42" i="42"/>
  <c r="P42" i="42" s="1"/>
  <c r="O67" i="42"/>
  <c r="P67" i="42" s="1"/>
  <c r="O80" i="42"/>
  <c r="P80" i="42" s="1"/>
  <c r="O114" i="42"/>
  <c r="P114" i="42" s="1"/>
  <c r="O152" i="42"/>
  <c r="P152" i="42" s="1"/>
  <c r="O224" i="42"/>
  <c r="P224" i="42" s="1"/>
  <c r="O302" i="42"/>
  <c r="P302" i="42" s="1"/>
  <c r="O337" i="42"/>
  <c r="P337" i="42" s="1"/>
  <c r="O350" i="42"/>
  <c r="P350" i="42" s="1"/>
  <c r="S395" i="42"/>
  <c r="S399" i="42"/>
  <c r="O436" i="42"/>
  <c r="P436" i="42" s="1"/>
  <c r="O477" i="42"/>
  <c r="P477" i="42" s="1"/>
  <c r="S602" i="42"/>
  <c r="O602" i="42"/>
  <c r="P602" i="42" s="1"/>
  <c r="O751" i="42"/>
  <c r="P751" i="42" s="1"/>
  <c r="S1117" i="42"/>
  <c r="O1117" i="42"/>
  <c r="O299" i="42"/>
  <c r="P299" i="42" s="1"/>
  <c r="O347" i="42"/>
  <c r="P347" i="42" s="1"/>
  <c r="O380" i="42"/>
  <c r="P380" i="42" s="1"/>
  <c r="S448" i="42"/>
  <c r="S765" i="42"/>
  <c r="O765" i="42"/>
  <c r="P765" i="42" s="1"/>
  <c r="O488" i="28"/>
  <c r="P488" i="28" s="1"/>
  <c r="S17" i="42"/>
  <c r="O74" i="42"/>
  <c r="P74" i="42" s="1"/>
  <c r="S89" i="42"/>
  <c r="O133" i="42"/>
  <c r="P133" i="42" s="1"/>
  <c r="O146" i="42"/>
  <c r="P146" i="42" s="1"/>
  <c r="S161" i="42"/>
  <c r="O180" i="42"/>
  <c r="P180" i="42" s="1"/>
  <c r="O205" i="42"/>
  <c r="P205" i="42" s="1"/>
  <c r="O218" i="42"/>
  <c r="P218" i="42" s="1"/>
  <c r="S233" i="42"/>
  <c r="O252" i="42"/>
  <c r="P252" i="42" s="1"/>
  <c r="O277" i="42"/>
  <c r="P277" i="42" s="1"/>
  <c r="O296" i="42"/>
  <c r="P296" i="42" s="1"/>
  <c r="O370" i="42"/>
  <c r="P370" i="42" s="1"/>
  <c r="O391" i="42"/>
  <c r="P391" i="42" s="1"/>
  <c r="S391" i="42"/>
  <c r="O417" i="42"/>
  <c r="P417" i="42" s="1"/>
  <c r="O447" i="28"/>
  <c r="P447" i="28" s="1"/>
  <c r="O472" i="28"/>
  <c r="P472" i="28" s="1"/>
  <c r="O485" i="28"/>
  <c r="P485" i="28" s="1"/>
  <c r="O33" i="42"/>
  <c r="P33" i="42" s="1"/>
  <c r="O58" i="42"/>
  <c r="P58" i="42" s="1"/>
  <c r="O71" i="42"/>
  <c r="P71" i="42" s="1"/>
  <c r="O105" i="42"/>
  <c r="P105" i="42" s="1"/>
  <c r="O130" i="42"/>
  <c r="P130" i="42" s="1"/>
  <c r="O143" i="42"/>
  <c r="P143" i="42" s="1"/>
  <c r="S158" i="42"/>
  <c r="O177" i="42"/>
  <c r="P177" i="42" s="1"/>
  <c r="O202" i="42"/>
  <c r="P202" i="42" s="1"/>
  <c r="O215" i="42"/>
  <c r="P215" i="42" s="1"/>
  <c r="S230" i="42"/>
  <c r="O249" i="42"/>
  <c r="P249" i="42" s="1"/>
  <c r="O274" i="42"/>
  <c r="P274" i="42" s="1"/>
  <c r="O287" i="42"/>
  <c r="P287" i="42" s="1"/>
  <c r="O293" i="42"/>
  <c r="P293" i="42" s="1"/>
  <c r="O312" i="42"/>
  <c r="P312" i="42" s="1"/>
  <c r="O331" i="42"/>
  <c r="P331" i="42" s="1"/>
  <c r="S334" i="42"/>
  <c r="O344" i="42"/>
  <c r="P344" i="42" s="1"/>
  <c r="O360" i="42"/>
  <c r="P360" i="42" s="1"/>
  <c r="O377" i="42"/>
  <c r="P377" i="42" s="1"/>
  <c r="O387" i="42"/>
  <c r="P387" i="42" s="1"/>
  <c r="O414" i="42"/>
  <c r="P414" i="42" s="1"/>
  <c r="O425" i="42"/>
  <c r="P425" i="42" s="1"/>
  <c r="S453" i="42"/>
  <c r="O453" i="42"/>
  <c r="P453" i="42" s="1"/>
  <c r="O590" i="42"/>
  <c r="P590" i="42" s="1"/>
  <c r="O199" i="42"/>
  <c r="P199" i="42" s="1"/>
  <c r="O246" i="42"/>
  <c r="P246" i="42" s="1"/>
  <c r="O271" i="42"/>
  <c r="P271" i="42" s="1"/>
  <c r="O328" i="42"/>
  <c r="P328" i="42" s="1"/>
  <c r="O395" i="42"/>
  <c r="P395" i="42" s="1"/>
  <c r="O399" i="42"/>
  <c r="P399" i="42" s="1"/>
  <c r="O465" i="42"/>
  <c r="P465" i="42" s="1"/>
  <c r="S512" i="42"/>
  <c r="O512" i="42"/>
  <c r="P512" i="42" s="1"/>
  <c r="S547" i="42"/>
  <c r="O547" i="42"/>
  <c r="P547" i="42" s="1"/>
  <c r="O594" i="42"/>
  <c r="P594" i="42" s="1"/>
  <c r="O407" i="28"/>
  <c r="P407" i="28" s="1"/>
  <c r="S422" i="28"/>
  <c r="O479" i="28"/>
  <c r="P479" i="28" s="1"/>
  <c r="S8" i="42"/>
  <c r="O65" i="42"/>
  <c r="P65" i="42" s="1"/>
  <c r="S80" i="42"/>
  <c r="O99" i="42"/>
  <c r="P99" i="42" s="1"/>
  <c r="O124" i="42"/>
  <c r="P124" i="42" s="1"/>
  <c r="O137" i="42"/>
  <c r="P137" i="42" s="1"/>
  <c r="S152" i="42"/>
  <c r="O171" i="42"/>
  <c r="P171" i="42" s="1"/>
  <c r="O196" i="42"/>
  <c r="P196" i="42" s="1"/>
  <c r="O209" i="42"/>
  <c r="P209" i="42" s="1"/>
  <c r="S224" i="42"/>
  <c r="O243" i="42"/>
  <c r="P243" i="42" s="1"/>
  <c r="O268" i="42"/>
  <c r="P268" i="42" s="1"/>
  <c r="O281" i="42"/>
  <c r="P281" i="42" s="1"/>
  <c r="O290" i="42"/>
  <c r="P290" i="42" s="1"/>
  <c r="O325" i="42"/>
  <c r="P325" i="42" s="1"/>
  <c r="S341" i="42"/>
  <c r="O357" i="42"/>
  <c r="P357" i="42" s="1"/>
  <c r="S410" i="42"/>
  <c r="O433" i="42"/>
  <c r="P433" i="42" s="1"/>
  <c r="S499" i="42"/>
  <c r="O499" i="42"/>
  <c r="P499" i="42" s="1"/>
  <c r="O24" i="42"/>
  <c r="P24" i="42" s="1"/>
  <c r="O49" i="42"/>
  <c r="P49" i="42" s="1"/>
  <c r="O96" i="42"/>
  <c r="P96" i="42" s="1"/>
  <c r="O121" i="42"/>
  <c r="P121" i="42" s="1"/>
  <c r="S149" i="42"/>
  <c r="O193" i="42"/>
  <c r="P193" i="42" s="1"/>
  <c r="S221" i="42"/>
  <c r="O240" i="42"/>
  <c r="P240" i="42" s="1"/>
  <c r="O265" i="42"/>
  <c r="P265" i="42" s="1"/>
  <c r="O306" i="42"/>
  <c r="P306" i="42" s="1"/>
  <c r="S309" i="42"/>
  <c r="O322" i="42"/>
  <c r="P322" i="42" s="1"/>
  <c r="O354" i="42"/>
  <c r="P354" i="42" s="1"/>
  <c r="S374" i="42"/>
  <c r="O388" i="42"/>
  <c r="P388" i="42" s="1"/>
  <c r="S396" i="42"/>
  <c r="O396" i="42"/>
  <c r="P396" i="42" s="1"/>
  <c r="S400" i="42"/>
  <c r="O462" i="42"/>
  <c r="P462" i="42" s="1"/>
  <c r="S416" i="28"/>
  <c r="O435" i="28"/>
  <c r="P435" i="28" s="1"/>
  <c r="O473" i="28"/>
  <c r="P473" i="28" s="1"/>
  <c r="S488" i="28"/>
  <c r="O59" i="42"/>
  <c r="P59" i="42" s="1"/>
  <c r="S74" i="42"/>
  <c r="O93" i="42"/>
  <c r="P93" i="42" s="1"/>
  <c r="O118" i="42"/>
  <c r="P118" i="42" s="1"/>
  <c r="O131" i="42"/>
  <c r="P131" i="42" s="1"/>
  <c r="S146" i="42"/>
  <c r="O165" i="42"/>
  <c r="P165" i="42" s="1"/>
  <c r="O190" i="42"/>
  <c r="P190" i="42" s="1"/>
  <c r="O203" i="42"/>
  <c r="P203" i="42" s="1"/>
  <c r="S218" i="42"/>
  <c r="O237" i="42"/>
  <c r="P237" i="42" s="1"/>
  <c r="O262" i="42"/>
  <c r="P262" i="42" s="1"/>
  <c r="O303" i="42"/>
  <c r="P303" i="42" s="1"/>
  <c r="O319" i="42"/>
  <c r="P319" i="42" s="1"/>
  <c r="O338" i="42"/>
  <c r="P338" i="42" s="1"/>
  <c r="O351" i="42"/>
  <c r="P351" i="42" s="1"/>
  <c r="S367" i="42"/>
  <c r="O392" i="42"/>
  <c r="P392" i="42" s="1"/>
  <c r="S445" i="42"/>
  <c r="S543" i="42"/>
  <c r="O543" i="42"/>
  <c r="P543" i="42" s="1"/>
  <c r="O470" i="28"/>
  <c r="P470" i="28" s="1"/>
  <c r="O18" i="42"/>
  <c r="P18" i="42" s="1"/>
  <c r="O43" i="42"/>
  <c r="P43" i="42" s="1"/>
  <c r="O56" i="42"/>
  <c r="P56" i="42" s="1"/>
  <c r="O90" i="42"/>
  <c r="P90" i="42" s="1"/>
  <c r="O115" i="42"/>
  <c r="P115" i="42" s="1"/>
  <c r="O128" i="42"/>
  <c r="P128" i="42" s="1"/>
  <c r="O162" i="42"/>
  <c r="P162" i="42" s="1"/>
  <c r="O187" i="42"/>
  <c r="P187" i="42" s="1"/>
  <c r="O200" i="42"/>
  <c r="P200" i="42" s="1"/>
  <c r="O234" i="42"/>
  <c r="P234" i="42" s="1"/>
  <c r="O259" i="42"/>
  <c r="P259" i="42" s="1"/>
  <c r="O272" i="42"/>
  <c r="P272" i="42" s="1"/>
  <c r="O300" i="42"/>
  <c r="P300" i="42" s="1"/>
  <c r="O316" i="42"/>
  <c r="P316" i="42" s="1"/>
  <c r="O348" i="42"/>
  <c r="P348" i="42" s="1"/>
  <c r="O364" i="42"/>
  <c r="P364" i="42" s="1"/>
  <c r="S375" i="42"/>
  <c r="S454" i="42"/>
  <c r="O454" i="42"/>
  <c r="P454" i="42" s="1"/>
  <c r="S466" i="42"/>
  <c r="O466" i="42"/>
  <c r="P466" i="42" s="1"/>
  <c r="O395" i="28"/>
  <c r="P395" i="28" s="1"/>
  <c r="O467" i="28"/>
  <c r="P467" i="28" s="1"/>
  <c r="O53" i="42"/>
  <c r="P53" i="42" s="1"/>
  <c r="S68" i="42"/>
  <c r="O125" i="42"/>
  <c r="P125" i="42" s="1"/>
  <c r="S140" i="42"/>
  <c r="O197" i="42"/>
  <c r="P197" i="42" s="1"/>
  <c r="S212" i="42"/>
  <c r="O269" i="42"/>
  <c r="P269" i="42" s="1"/>
  <c r="S284" i="42"/>
  <c r="S381" i="42"/>
  <c r="S430" i="42"/>
  <c r="O430" i="42"/>
  <c r="P430" i="42" s="1"/>
  <c r="S446" i="42"/>
  <c r="S526" i="42"/>
  <c r="O526" i="42"/>
  <c r="P526" i="42" s="1"/>
  <c r="O392" i="28"/>
  <c r="P392" i="28" s="1"/>
  <c r="S407" i="28"/>
  <c r="O464" i="28"/>
  <c r="P464" i="28" s="1"/>
  <c r="S479" i="28"/>
  <c r="O50" i="42"/>
  <c r="P50" i="42" s="1"/>
  <c r="S65" i="42"/>
  <c r="O122" i="42"/>
  <c r="P122" i="42" s="1"/>
  <c r="S137" i="42"/>
  <c r="O194" i="42"/>
  <c r="P194" i="42" s="1"/>
  <c r="S209" i="42"/>
  <c r="O266" i="42"/>
  <c r="P266" i="42" s="1"/>
  <c r="S281" i="42"/>
  <c r="S388" i="42"/>
  <c r="O400" i="42"/>
  <c r="P400" i="42" s="1"/>
  <c r="S522" i="42"/>
  <c r="O522" i="42"/>
  <c r="P522" i="42" s="1"/>
  <c r="O119" i="42"/>
  <c r="P119" i="42" s="1"/>
  <c r="O191" i="42"/>
  <c r="P191" i="42" s="1"/>
  <c r="O263" i="42"/>
  <c r="P263" i="42" s="1"/>
  <c r="O361" i="42"/>
  <c r="P361" i="42" s="1"/>
  <c r="S397" i="42"/>
  <c r="S535" i="42"/>
  <c r="O535" i="42"/>
  <c r="P535" i="42" s="1"/>
  <c r="S578" i="42"/>
  <c r="O578" i="42"/>
  <c r="P578" i="42" s="1"/>
  <c r="O116" i="42"/>
  <c r="P116" i="42" s="1"/>
  <c r="O188" i="42"/>
  <c r="P188" i="42" s="1"/>
  <c r="O260" i="42"/>
  <c r="P260" i="42" s="1"/>
  <c r="S408" i="42"/>
  <c r="S419" i="42"/>
  <c r="O479" i="42"/>
  <c r="P479" i="42" s="1"/>
  <c r="S479" i="42"/>
  <c r="S653" i="42"/>
  <c r="O653" i="42"/>
  <c r="P653" i="42" s="1"/>
  <c r="O455" i="28"/>
  <c r="P455" i="28" s="1"/>
  <c r="S470" i="28"/>
  <c r="O41" i="42"/>
  <c r="P41" i="42" s="1"/>
  <c r="S56" i="42"/>
  <c r="O113" i="42"/>
  <c r="P113" i="42" s="1"/>
  <c r="S128" i="42"/>
  <c r="O185" i="42"/>
  <c r="P185" i="42" s="1"/>
  <c r="S200" i="42"/>
  <c r="O257" i="42"/>
  <c r="P257" i="42" s="1"/>
  <c r="S272" i="42"/>
  <c r="O393" i="42"/>
  <c r="P393" i="42" s="1"/>
  <c r="O446" i="42"/>
  <c r="P446" i="42" s="1"/>
  <c r="O467" i="42"/>
  <c r="P467" i="42" s="1"/>
  <c r="S475" i="42"/>
  <c r="O475" i="42"/>
  <c r="P475" i="42" s="1"/>
  <c r="S492" i="42"/>
  <c r="S500" i="42"/>
  <c r="O500" i="42"/>
  <c r="P500" i="42" s="1"/>
  <c r="O509" i="42"/>
  <c r="P509" i="42" s="1"/>
  <c r="O107" i="42"/>
  <c r="P107" i="42" s="1"/>
  <c r="O179" i="42"/>
  <c r="P179" i="42" s="1"/>
  <c r="O251" i="42"/>
  <c r="P251" i="42" s="1"/>
  <c r="S362" i="42"/>
  <c r="S427" i="42"/>
  <c r="O427" i="42"/>
  <c r="P427" i="42" s="1"/>
  <c r="O446" i="28"/>
  <c r="P446" i="28" s="1"/>
  <c r="O32" i="42"/>
  <c r="P32" i="42" s="1"/>
  <c r="O104" i="42"/>
  <c r="P104" i="42" s="1"/>
  <c r="S119" i="42"/>
  <c r="O176" i="42"/>
  <c r="P176" i="42" s="1"/>
  <c r="S191" i="42"/>
  <c r="O248" i="42"/>
  <c r="P248" i="42" s="1"/>
  <c r="S263" i="42"/>
  <c r="O408" i="42"/>
  <c r="P408" i="42" s="1"/>
  <c r="S420" i="42"/>
  <c r="S443" i="42"/>
  <c r="O443" i="42"/>
  <c r="P443" i="42" s="1"/>
  <c r="O518" i="42"/>
  <c r="P518" i="42" s="1"/>
  <c r="S461" i="42"/>
  <c r="O481" i="42"/>
  <c r="P481" i="42" s="1"/>
  <c r="S485" i="42"/>
  <c r="S581" i="42"/>
  <c r="O581" i="42"/>
  <c r="P581" i="42" s="1"/>
  <c r="S585" i="42"/>
  <c r="O585" i="42"/>
  <c r="P585" i="42" s="1"/>
  <c r="O482" i="42"/>
  <c r="P482" i="42" s="1"/>
  <c r="S532" i="42"/>
  <c r="S565" i="42"/>
  <c r="O565" i="42"/>
  <c r="P565" i="42" s="1"/>
  <c r="S635" i="42"/>
  <c r="O635" i="42"/>
  <c r="P635" i="42" s="1"/>
  <c r="S670" i="42"/>
  <c r="O670" i="42"/>
  <c r="P670" i="42" s="1"/>
  <c r="S867" i="42"/>
  <c r="S456" i="42"/>
  <c r="S529" i="42"/>
  <c r="O529" i="42"/>
  <c r="P529" i="42" s="1"/>
  <c r="S582" i="42"/>
  <c r="S615" i="42"/>
  <c r="O615" i="42"/>
  <c r="P615" i="42" s="1"/>
  <c r="S696" i="42"/>
  <c r="O696" i="42"/>
  <c r="P696" i="42" s="1"/>
  <c r="S632" i="42"/>
  <c r="S620" i="42"/>
  <c r="O620" i="42"/>
  <c r="P620" i="42" s="1"/>
  <c r="O450" i="42"/>
  <c r="P450" i="42" s="1"/>
  <c r="S591" i="42"/>
  <c r="O591" i="42"/>
  <c r="P591" i="42" s="1"/>
  <c r="S595" i="42"/>
  <c r="O595" i="42"/>
  <c r="P595" i="42" s="1"/>
  <c r="S555" i="42"/>
  <c r="O555" i="42"/>
  <c r="P555" i="42" s="1"/>
  <c r="S944" i="42"/>
  <c r="O944" i="42"/>
  <c r="P944" i="42" s="1"/>
  <c r="O460" i="42"/>
  <c r="P460" i="42" s="1"/>
  <c r="S490" i="42"/>
  <c r="O496" i="42"/>
  <c r="P496" i="42" s="1"/>
  <c r="O503" i="42"/>
  <c r="P503" i="42" s="1"/>
  <c r="O510" i="42"/>
  <c r="P510" i="42" s="1"/>
  <c r="O516" i="42"/>
  <c r="P516" i="42" s="1"/>
  <c r="S559" i="42"/>
  <c r="O559" i="42"/>
  <c r="P559" i="42" s="1"/>
  <c r="S650" i="42"/>
  <c r="O650" i="42"/>
  <c r="P650" i="42" s="1"/>
  <c r="S431" i="42"/>
  <c r="O437" i="42"/>
  <c r="P437" i="42" s="1"/>
  <c r="S536" i="42"/>
  <c r="S571" i="42"/>
  <c r="O571" i="42"/>
  <c r="P571" i="42" s="1"/>
  <c r="S575" i="42"/>
  <c r="O575" i="42"/>
  <c r="P575" i="42" s="1"/>
  <c r="S579" i="42"/>
  <c r="O579" i="42"/>
  <c r="P579" i="42" s="1"/>
  <c r="S611" i="42"/>
  <c r="S629" i="42"/>
  <c r="O629" i="42"/>
  <c r="P629" i="42" s="1"/>
  <c r="S441" i="42"/>
  <c r="S463" i="42"/>
  <c r="S487" i="42"/>
  <c r="S520" i="42"/>
  <c r="O520" i="42"/>
  <c r="P520" i="42" s="1"/>
  <c r="O523" i="42"/>
  <c r="P523" i="42" s="1"/>
  <c r="O533" i="42"/>
  <c r="P533" i="42" s="1"/>
  <c r="O544" i="42"/>
  <c r="P544" i="42" s="1"/>
  <c r="S625" i="42"/>
  <c r="O625" i="42"/>
  <c r="P625" i="42" s="1"/>
  <c r="O659" i="42"/>
  <c r="P659" i="42" s="1"/>
  <c r="S659" i="42"/>
  <c r="S663" i="42"/>
  <c r="O684" i="42"/>
  <c r="P684" i="42" s="1"/>
  <c r="S684" i="42"/>
  <c r="S504" i="42"/>
  <c r="O530" i="42"/>
  <c r="P530" i="42" s="1"/>
  <c r="S567" i="42"/>
  <c r="O567" i="42"/>
  <c r="P567" i="42" s="1"/>
  <c r="S592" i="42"/>
  <c r="O592" i="42"/>
  <c r="P592" i="42" s="1"/>
  <c r="O723" i="42"/>
  <c r="P723" i="42" s="1"/>
  <c r="O431" i="42"/>
  <c r="P431" i="42" s="1"/>
  <c r="S460" i="42"/>
  <c r="S484" i="42"/>
  <c r="S514" i="42"/>
  <c r="S524" i="42"/>
  <c r="S541" i="42"/>
  <c r="O541" i="42"/>
  <c r="P541" i="42" s="1"/>
  <c r="S642" i="42"/>
  <c r="O642" i="42"/>
  <c r="P642" i="42" s="1"/>
  <c r="S719" i="42"/>
  <c r="S794" i="42"/>
  <c r="O900" i="42"/>
  <c r="P900" i="42" s="1"/>
  <c r="S900" i="42"/>
  <c r="S923" i="42"/>
  <c r="O923" i="42"/>
  <c r="P923" i="42" s="1"/>
  <c r="O435" i="42"/>
  <c r="P435" i="42" s="1"/>
  <c r="O441" i="42"/>
  <c r="P441" i="42" s="1"/>
  <c r="O487" i="42"/>
  <c r="P487" i="42" s="1"/>
  <c r="O494" i="42"/>
  <c r="P494" i="42" s="1"/>
  <c r="S588" i="42"/>
  <c r="O588" i="42"/>
  <c r="P588" i="42" s="1"/>
  <c r="S785" i="42"/>
  <c r="O785" i="42"/>
  <c r="P785" i="42" s="1"/>
  <c r="O517" i="42"/>
  <c r="P517" i="42" s="1"/>
  <c r="O521" i="42"/>
  <c r="P521" i="42" s="1"/>
  <c r="O537" i="42"/>
  <c r="P537" i="42" s="1"/>
  <c r="O556" i="42"/>
  <c r="P556" i="42" s="1"/>
  <c r="O638" i="42"/>
  <c r="P638" i="42" s="1"/>
  <c r="S638" i="42"/>
  <c r="O549" i="42"/>
  <c r="P549" i="42" s="1"/>
  <c r="S601" i="42"/>
  <c r="O715" i="42"/>
  <c r="P715" i="42" s="1"/>
  <c r="O394" i="42"/>
  <c r="P394" i="42" s="1"/>
  <c r="O419" i="42"/>
  <c r="P419" i="42" s="1"/>
  <c r="O451" i="42"/>
  <c r="P451" i="42" s="1"/>
  <c r="S488" i="42"/>
  <c r="O501" i="42"/>
  <c r="P501" i="42" s="1"/>
  <c r="S553" i="42"/>
  <c r="O553" i="42"/>
  <c r="P553" i="42" s="1"/>
  <c r="O584" i="42"/>
  <c r="P584" i="42" s="1"/>
  <c r="S593" i="42"/>
  <c r="S781" i="42"/>
  <c r="O781" i="42"/>
  <c r="P781" i="42" s="1"/>
  <c r="O416" i="42"/>
  <c r="P416" i="42" s="1"/>
  <c r="S478" i="42"/>
  <c r="O560" i="42"/>
  <c r="P560" i="42" s="1"/>
  <c r="S622" i="42"/>
  <c r="O622" i="42"/>
  <c r="P622" i="42" s="1"/>
  <c r="S720" i="42"/>
  <c r="O720" i="42"/>
  <c r="P720" i="42" s="1"/>
  <c r="S435" i="42"/>
  <c r="S494" i="42"/>
  <c r="S505" i="42"/>
  <c r="S538" i="42"/>
  <c r="O538" i="42"/>
  <c r="P538" i="42" s="1"/>
  <c r="S656" i="42"/>
  <c r="O656" i="42"/>
  <c r="P656" i="42" s="1"/>
  <c r="S711" i="42"/>
  <c r="O711" i="42"/>
  <c r="P711" i="42" s="1"/>
  <c r="S870" i="42"/>
  <c r="O875" i="42"/>
  <c r="P875" i="42" s="1"/>
  <c r="S875" i="42"/>
  <c r="O610" i="42"/>
  <c r="P610" i="42" s="1"/>
  <c r="S614" i="42"/>
  <c r="O614" i="42"/>
  <c r="P614" i="42" s="1"/>
  <c r="S624" i="42"/>
  <c r="S628" i="42"/>
  <c r="O679" i="42"/>
  <c r="P679" i="42" s="1"/>
  <c r="S683" i="42"/>
  <c r="O683" i="42"/>
  <c r="P683" i="42" s="1"/>
  <c r="O687" i="42"/>
  <c r="P687" i="42" s="1"/>
  <c r="O710" i="42"/>
  <c r="P710" i="42" s="1"/>
  <c r="S734" i="42"/>
  <c r="O743" i="42"/>
  <c r="P743" i="42" s="1"/>
  <c r="O747" i="42"/>
  <c r="P747" i="42" s="1"/>
  <c r="S764" i="42"/>
  <c r="O764" i="42"/>
  <c r="P764" i="42" s="1"/>
  <c r="O797" i="42"/>
  <c r="P797" i="42" s="1"/>
  <c r="O806" i="42"/>
  <c r="P806" i="42" s="1"/>
  <c r="S836" i="42"/>
  <c r="O836" i="42"/>
  <c r="P836" i="42" s="1"/>
  <c r="S857" i="42"/>
  <c r="O857" i="42"/>
  <c r="P857" i="42" s="1"/>
  <c r="S866" i="42"/>
  <c r="O913" i="42"/>
  <c r="P913" i="42" s="1"/>
  <c r="S913" i="42"/>
  <c r="O930" i="42"/>
  <c r="P930" i="42" s="1"/>
  <c r="O957" i="42"/>
  <c r="P957" i="42" s="1"/>
  <c r="S957" i="42"/>
  <c r="S986" i="42"/>
  <c r="S544" i="42"/>
  <c r="S551" i="42"/>
  <c r="S598" i="42"/>
  <c r="O598" i="42"/>
  <c r="P598" i="42" s="1"/>
  <c r="O628" i="42"/>
  <c r="P628" i="42" s="1"/>
  <c r="O663" i="42"/>
  <c r="P663" i="42" s="1"/>
  <c r="S687" i="42"/>
  <c r="S692" i="42"/>
  <c r="O692" i="42"/>
  <c r="P692" i="42" s="1"/>
  <c r="S744" i="42"/>
  <c r="O756" i="42"/>
  <c r="P756" i="42" s="1"/>
  <c r="S798" i="42"/>
  <c r="O828" i="42"/>
  <c r="P828" i="42" s="1"/>
  <c r="S888" i="42"/>
  <c r="S909" i="42"/>
  <c r="S927" i="42"/>
  <c r="O940" i="42"/>
  <c r="P940" i="42" s="1"/>
  <c r="S1049" i="42"/>
  <c r="O1049" i="42"/>
  <c r="P1049" i="42" s="1"/>
  <c r="S568" i="42"/>
  <c r="S667" i="42"/>
  <c r="O667" i="42"/>
  <c r="P667" i="42" s="1"/>
  <c r="S688" i="42"/>
  <c r="O688" i="42"/>
  <c r="P688" i="42" s="1"/>
  <c r="S740" i="42"/>
  <c r="O803" i="42"/>
  <c r="P803" i="42" s="1"/>
  <c r="O867" i="42"/>
  <c r="P867" i="42" s="1"/>
  <c r="S1001" i="42"/>
  <c r="O1001" i="42"/>
  <c r="P1001" i="42" s="1"/>
  <c r="S548" i="42"/>
  <c r="O548" i="42"/>
  <c r="P548" i="42" s="1"/>
  <c r="S639" i="42"/>
  <c r="O639" i="42"/>
  <c r="P639" i="42" s="1"/>
  <c r="S643" i="42"/>
  <c r="S795" i="42"/>
  <c r="O816" i="42"/>
  <c r="P816" i="42" s="1"/>
  <c r="O863" i="42"/>
  <c r="P863" i="42" s="1"/>
  <c r="O1122" i="42"/>
  <c r="S1122" i="42"/>
  <c r="S619" i="42"/>
  <c r="S626" i="42"/>
  <c r="S716" i="42"/>
  <c r="O716" i="42"/>
  <c r="P716" i="42" s="1"/>
  <c r="S732" i="42"/>
  <c r="O732" i="42"/>
  <c r="P732" i="42" s="1"/>
  <c r="S1068" i="42"/>
  <c r="O1068" i="42"/>
  <c r="P1068" i="42" s="1"/>
  <c r="S741" i="42"/>
  <c r="O741" i="42"/>
  <c r="P741" i="42" s="1"/>
  <c r="S959" i="42"/>
  <c r="O959" i="42"/>
  <c r="P959" i="42" s="1"/>
  <c r="O545" i="42"/>
  <c r="P545" i="42" s="1"/>
  <c r="S664" i="42"/>
  <c r="O664" i="42"/>
  <c r="P664" i="42" s="1"/>
  <c r="O671" i="42"/>
  <c r="P671" i="42" s="1"/>
  <c r="S693" i="42"/>
  <c r="S757" i="42"/>
  <c r="O757" i="42"/>
  <c r="P757" i="42" s="1"/>
  <c r="S766" i="42"/>
  <c r="O766" i="42"/>
  <c r="P766" i="42" s="1"/>
  <c r="O770" i="42"/>
  <c r="P770" i="42" s="1"/>
  <c r="O782" i="42"/>
  <c r="P782" i="42" s="1"/>
  <c r="O791" i="42"/>
  <c r="P791" i="42" s="1"/>
  <c r="S803" i="42"/>
  <c r="S838" i="42"/>
  <c r="O838" i="42"/>
  <c r="P838" i="42" s="1"/>
  <c r="O859" i="42"/>
  <c r="P859" i="42" s="1"/>
  <c r="S885" i="42"/>
  <c r="O885" i="42"/>
  <c r="P885" i="42" s="1"/>
  <c r="S1086" i="42"/>
  <c r="O1086" i="42"/>
  <c r="O582" i="42"/>
  <c r="P582" i="42" s="1"/>
  <c r="S623" i="42"/>
  <c r="O643" i="42"/>
  <c r="P643" i="42" s="1"/>
  <c r="O660" i="42"/>
  <c r="P660" i="42" s="1"/>
  <c r="S689" i="42"/>
  <c r="O689" i="42"/>
  <c r="P689" i="42" s="1"/>
  <c r="S712" i="42"/>
  <c r="O712" i="42"/>
  <c r="P712" i="42" s="1"/>
  <c r="O728" i="42"/>
  <c r="P728" i="42" s="1"/>
  <c r="O850" i="42"/>
  <c r="P850" i="42" s="1"/>
  <c r="S864" i="42"/>
  <c r="S906" i="42"/>
  <c r="S924" i="42"/>
  <c r="O924" i="42"/>
  <c r="P924" i="42" s="1"/>
  <c r="S997" i="42"/>
  <c r="S1029" i="42"/>
  <c r="O1029" i="42"/>
  <c r="P1029" i="42" s="1"/>
  <c r="O1069" i="42"/>
  <c r="P1069" i="42" s="1"/>
  <c r="S1069" i="42"/>
  <c r="S562" i="42"/>
  <c r="S576" i="42"/>
  <c r="S589" i="42"/>
  <c r="O589" i="42"/>
  <c r="P589" i="42" s="1"/>
  <c r="S616" i="42"/>
  <c r="O619" i="42"/>
  <c r="P619" i="42" s="1"/>
  <c r="O626" i="42"/>
  <c r="P626" i="42" s="1"/>
  <c r="S640" i="42"/>
  <c r="O681" i="42"/>
  <c r="P681" i="42" s="1"/>
  <c r="O872" i="42"/>
  <c r="P872" i="42" s="1"/>
  <c r="S993" i="42"/>
  <c r="S542" i="42"/>
  <c r="O542" i="42"/>
  <c r="P542" i="42" s="1"/>
  <c r="S717" i="42"/>
  <c r="O717" i="42"/>
  <c r="P717" i="42" s="1"/>
  <c r="S737" i="42"/>
  <c r="O737" i="42"/>
  <c r="P737" i="42" s="1"/>
  <c r="O753" i="42"/>
  <c r="P753" i="42" s="1"/>
  <c r="O787" i="42"/>
  <c r="P787" i="42" s="1"/>
  <c r="S813" i="42"/>
  <c r="O813" i="42"/>
  <c r="P813" i="42" s="1"/>
  <c r="S644" i="42"/>
  <c r="S651" i="42"/>
  <c r="S701" i="42"/>
  <c r="O701" i="42"/>
  <c r="P701" i="42" s="1"/>
  <c r="S742" i="42"/>
  <c r="O742" i="42"/>
  <c r="P742" i="42" s="1"/>
  <c r="S762" i="42"/>
  <c r="O762" i="42"/>
  <c r="P762" i="42" s="1"/>
  <c r="S792" i="42"/>
  <c r="S834" i="42"/>
  <c r="S860" i="42"/>
  <c r="O860" i="42"/>
  <c r="P860" i="42" s="1"/>
  <c r="S881" i="42"/>
  <c r="S955" i="42"/>
  <c r="S1034" i="42"/>
  <c r="O1034" i="42"/>
  <c r="P1034" i="42" s="1"/>
  <c r="S1043" i="42"/>
  <c r="S661" i="42"/>
  <c r="O661" i="42"/>
  <c r="P661" i="42" s="1"/>
  <c r="S694" i="42"/>
  <c r="O694" i="42"/>
  <c r="P694" i="42" s="1"/>
  <c r="S886" i="42"/>
  <c r="O886" i="42"/>
  <c r="P886" i="42" s="1"/>
  <c r="O907" i="42"/>
  <c r="P907" i="42" s="1"/>
  <c r="S907" i="42"/>
  <c r="S911" i="42"/>
  <c r="O911" i="42"/>
  <c r="P911" i="42" s="1"/>
  <c r="O1021" i="42"/>
  <c r="P1021" i="42" s="1"/>
  <c r="S1021" i="42"/>
  <c r="S501" i="42"/>
  <c r="O562" i="42"/>
  <c r="P562" i="42" s="1"/>
  <c r="S573" i="42"/>
  <c r="O573" i="42"/>
  <c r="P573" i="42" s="1"/>
  <c r="O576" i="42"/>
  <c r="P576" i="42" s="1"/>
  <c r="S613" i="42"/>
  <c r="O616" i="42"/>
  <c r="P616" i="42" s="1"/>
  <c r="O640" i="42"/>
  <c r="P640" i="42" s="1"/>
  <c r="O654" i="42"/>
  <c r="P654" i="42" s="1"/>
  <c r="S682" i="42"/>
  <c r="O713" i="42"/>
  <c r="P713" i="42" s="1"/>
  <c r="O725" i="42"/>
  <c r="P725" i="42" s="1"/>
  <c r="S920" i="42"/>
  <c r="O1056" i="42"/>
  <c r="P1056" i="42" s="1"/>
  <c r="S637" i="42"/>
  <c r="S648" i="42"/>
  <c r="S690" i="42"/>
  <c r="S709" i="42"/>
  <c r="O709" i="42"/>
  <c r="P709" i="42" s="1"/>
  <c r="S738" i="42"/>
  <c r="O738" i="42"/>
  <c r="P738" i="42" s="1"/>
  <c r="S779" i="42"/>
  <c r="O779" i="42"/>
  <c r="P779" i="42" s="1"/>
  <c r="S788" i="42"/>
  <c r="O788" i="42"/>
  <c r="P788" i="42" s="1"/>
  <c r="S809" i="42"/>
  <c r="O593" i="42"/>
  <c r="P593" i="42" s="1"/>
  <c r="O603" i="42"/>
  <c r="P603" i="42" s="1"/>
  <c r="O644" i="42"/>
  <c r="P644" i="42" s="1"/>
  <c r="S669" i="42"/>
  <c r="O672" i="42"/>
  <c r="P672" i="42" s="1"/>
  <c r="S686" i="42"/>
  <c r="O686" i="42"/>
  <c r="P686" i="42" s="1"/>
  <c r="S763" i="42"/>
  <c r="O763" i="42"/>
  <c r="P763" i="42" s="1"/>
  <c r="S814" i="42"/>
  <c r="O814" i="42"/>
  <c r="P814" i="42" s="1"/>
  <c r="S835" i="42"/>
  <c r="O835" i="42"/>
  <c r="P835" i="42" s="1"/>
  <c r="S882" i="42"/>
  <c r="O882" i="42"/>
  <c r="P882" i="42" s="1"/>
  <c r="O903" i="42"/>
  <c r="P903" i="42" s="1"/>
  <c r="O1052" i="42"/>
  <c r="P1052" i="42" s="1"/>
  <c r="S617" i="42"/>
  <c r="O617" i="42"/>
  <c r="P617" i="42" s="1"/>
  <c r="S861" i="42"/>
  <c r="O861" i="42"/>
  <c r="P861" i="42" s="1"/>
  <c r="O495" i="42"/>
  <c r="P495" i="42" s="1"/>
  <c r="S511" i="42"/>
  <c r="S550" i="42"/>
  <c r="S570" i="42"/>
  <c r="O570" i="42"/>
  <c r="P570" i="42" s="1"/>
  <c r="O613" i="42"/>
  <c r="P613" i="42" s="1"/>
  <c r="S634" i="42"/>
  <c r="O682" i="42"/>
  <c r="P682" i="42" s="1"/>
  <c r="O690" i="42"/>
  <c r="P690" i="42" s="1"/>
  <c r="S695" i="42"/>
  <c r="O695" i="42"/>
  <c r="P695" i="42" s="1"/>
  <c r="O822" i="42"/>
  <c r="P822" i="42" s="1"/>
  <c r="O869" i="42"/>
  <c r="P869" i="42" s="1"/>
  <c r="O878" i="42"/>
  <c r="P878" i="42" s="1"/>
  <c r="S968" i="42"/>
  <c r="S607" i="42"/>
  <c r="O637" i="42"/>
  <c r="P637" i="42" s="1"/>
  <c r="S645" i="42"/>
  <c r="O645" i="42"/>
  <c r="P645" i="42" s="1"/>
  <c r="O648" i="42"/>
  <c r="P648" i="42" s="1"/>
  <c r="S726" i="42"/>
  <c r="S747" i="42"/>
  <c r="O759" i="42"/>
  <c r="P759" i="42" s="1"/>
  <c r="S810" i="42"/>
  <c r="O810" i="42"/>
  <c r="P810" i="42" s="1"/>
  <c r="O831" i="42"/>
  <c r="P831" i="42" s="1"/>
  <c r="S891" i="42"/>
  <c r="O917" i="42"/>
  <c r="P917" i="42" s="1"/>
  <c r="S917" i="42"/>
  <c r="O947" i="42"/>
  <c r="P947" i="42" s="1"/>
  <c r="S604" i="42"/>
  <c r="S631" i="42"/>
  <c r="S673" i="42"/>
  <c r="S691" i="42"/>
  <c r="O691" i="42"/>
  <c r="P691" i="42" s="1"/>
  <c r="S789" i="42"/>
  <c r="O789" i="42"/>
  <c r="P789" i="42" s="1"/>
  <c r="O870" i="42"/>
  <c r="P870" i="42" s="1"/>
  <c r="S935" i="42"/>
  <c r="O935" i="42"/>
  <c r="P935" i="42" s="1"/>
  <c r="O965" i="42"/>
  <c r="P965" i="42" s="1"/>
  <c r="S784" i="42"/>
  <c r="S856" i="42"/>
  <c r="O982" i="42"/>
  <c r="P982" i="42" s="1"/>
  <c r="S982" i="42"/>
  <c r="S1072" i="42"/>
  <c r="O1072" i="42"/>
  <c r="S1077" i="42"/>
  <c r="O1077" i="42"/>
  <c r="S1130" i="42"/>
  <c r="O1130" i="42"/>
  <c r="S775" i="42"/>
  <c r="O809" i="42"/>
  <c r="P809" i="42" s="1"/>
  <c r="O834" i="42"/>
  <c r="P834" i="42" s="1"/>
  <c r="S847" i="42"/>
  <c r="O881" i="42"/>
  <c r="P881" i="42" s="1"/>
  <c r="O906" i="42"/>
  <c r="P906" i="42" s="1"/>
  <c r="O1005" i="42"/>
  <c r="P1005" i="42" s="1"/>
  <c r="S1013" i="42"/>
  <c r="O1013" i="42"/>
  <c r="P1013" i="42" s="1"/>
  <c r="O1025" i="42"/>
  <c r="P1025" i="42" s="1"/>
  <c r="S700" i="42"/>
  <c r="S772" i="42"/>
  <c r="O784" i="42"/>
  <c r="P784" i="42" s="1"/>
  <c r="S844" i="42"/>
  <c r="O856" i="42"/>
  <c r="P856" i="42" s="1"/>
  <c r="O937" i="42"/>
  <c r="P937" i="42" s="1"/>
  <c r="S937" i="42"/>
  <c r="O1065" i="42"/>
  <c r="P1065" i="42" s="1"/>
  <c r="S697" i="42"/>
  <c r="S769" i="42"/>
  <c r="S841" i="42"/>
  <c r="O910" i="42"/>
  <c r="P910" i="42" s="1"/>
  <c r="O920" i="42"/>
  <c r="P920" i="42" s="1"/>
  <c r="O954" i="42"/>
  <c r="P954" i="42" s="1"/>
  <c r="O979" i="42"/>
  <c r="P979" i="42" s="1"/>
  <c r="S1095" i="42"/>
  <c r="O1095" i="42"/>
  <c r="S1126" i="42"/>
  <c r="O1126" i="42"/>
  <c r="S760" i="42"/>
  <c r="S832" i="42"/>
  <c r="O904" i="42"/>
  <c r="P904" i="42" s="1"/>
  <c r="O934" i="42"/>
  <c r="P934" i="42" s="1"/>
  <c r="S951" i="42"/>
  <c r="S987" i="42"/>
  <c r="S1091" i="42"/>
  <c r="O1091" i="42"/>
  <c r="S754" i="42"/>
  <c r="S826" i="42"/>
  <c r="S898" i="42"/>
  <c r="S938" i="42"/>
  <c r="S954" i="42"/>
  <c r="S969" i="42"/>
  <c r="S1038" i="42"/>
  <c r="O1038" i="42"/>
  <c r="P1038" i="42" s="1"/>
  <c r="O1159" i="42"/>
  <c r="S751" i="42"/>
  <c r="S823" i="42"/>
  <c r="S895" i="42"/>
  <c r="O931" i="42"/>
  <c r="P931" i="42" s="1"/>
  <c r="S948" i="42"/>
  <c r="O1002" i="42"/>
  <c r="P1002" i="42" s="1"/>
  <c r="O1054" i="42"/>
  <c r="P1054" i="42" s="1"/>
  <c r="S1054" i="42"/>
  <c r="S1087" i="42"/>
  <c r="S1109" i="42"/>
  <c r="O1109" i="42"/>
  <c r="S1118" i="42"/>
  <c r="S676" i="42"/>
  <c r="S748" i="42"/>
  <c r="O760" i="42"/>
  <c r="P760" i="42" s="1"/>
  <c r="S820" i="42"/>
  <c r="O832" i="42"/>
  <c r="P832" i="42" s="1"/>
  <c r="S892" i="42"/>
  <c r="S934" i="42"/>
  <c r="O973" i="42"/>
  <c r="P973" i="42" s="1"/>
  <c r="S973" i="42"/>
  <c r="O987" i="42"/>
  <c r="P987" i="42" s="1"/>
  <c r="O1015" i="42"/>
  <c r="P1015" i="42" s="1"/>
  <c r="O1050" i="42"/>
  <c r="P1050" i="42" s="1"/>
  <c r="S745" i="42"/>
  <c r="O804" i="42"/>
  <c r="P804" i="42" s="1"/>
  <c r="S817" i="42"/>
  <c r="O829" i="42"/>
  <c r="P829" i="42" s="1"/>
  <c r="O851" i="42"/>
  <c r="P851" i="42" s="1"/>
  <c r="O876" i="42"/>
  <c r="P876" i="42" s="1"/>
  <c r="S889" i="42"/>
  <c r="O901" i="42"/>
  <c r="P901" i="42" s="1"/>
  <c r="S904" i="42"/>
  <c r="O928" i="42"/>
  <c r="P928" i="42" s="1"/>
  <c r="O962" i="42"/>
  <c r="P962" i="42" s="1"/>
  <c r="S999" i="42"/>
  <c r="S1007" i="42"/>
  <c r="O1007" i="42"/>
  <c r="P1007" i="42" s="1"/>
  <c r="S1022" i="42"/>
  <c r="S1035" i="42"/>
  <c r="O726" i="42"/>
  <c r="P726" i="42" s="1"/>
  <c r="S739" i="42"/>
  <c r="O773" i="42"/>
  <c r="P773" i="42" s="1"/>
  <c r="O798" i="42"/>
  <c r="P798" i="42" s="1"/>
  <c r="S811" i="42"/>
  <c r="O823" i="42"/>
  <c r="P823" i="42" s="1"/>
  <c r="S883" i="42"/>
  <c r="O925" i="42"/>
  <c r="P925" i="42" s="1"/>
  <c r="O945" i="42"/>
  <c r="P945" i="42" s="1"/>
  <c r="O948" i="42"/>
  <c r="P948" i="42" s="1"/>
  <c r="O952" i="42"/>
  <c r="P952" i="42" s="1"/>
  <c r="O980" i="42"/>
  <c r="P980" i="42" s="1"/>
  <c r="O1003" i="42"/>
  <c r="P1003" i="42" s="1"/>
  <c r="S1003" i="42"/>
  <c r="O1047" i="42"/>
  <c r="P1047" i="42" s="1"/>
  <c r="S1079" i="42"/>
  <c r="S808" i="42"/>
  <c r="S880" i="42"/>
  <c r="S915" i="42"/>
  <c r="O942" i="42"/>
  <c r="P942" i="42" s="1"/>
  <c r="S963" i="42"/>
  <c r="O963" i="42"/>
  <c r="P963" i="42" s="1"/>
  <c r="S988" i="42"/>
  <c r="O1043" i="42"/>
  <c r="P1043" i="42" s="1"/>
  <c r="S1050" i="42"/>
  <c r="S1059" i="42"/>
  <c r="S1142" i="42"/>
  <c r="O745" i="42"/>
  <c r="P745" i="42" s="1"/>
  <c r="O767" i="42"/>
  <c r="P767" i="42" s="1"/>
  <c r="O792" i="42"/>
  <c r="P792" i="42" s="1"/>
  <c r="O817" i="42"/>
  <c r="P817" i="42" s="1"/>
  <c r="O839" i="42"/>
  <c r="P839" i="42" s="1"/>
  <c r="O864" i="42"/>
  <c r="P864" i="42" s="1"/>
  <c r="O889" i="42"/>
  <c r="P889" i="42" s="1"/>
  <c r="O918" i="42"/>
  <c r="P918" i="42" s="1"/>
  <c r="S970" i="42"/>
  <c r="O984" i="42"/>
  <c r="P984" i="42" s="1"/>
  <c r="O999" i="42"/>
  <c r="P999" i="42" s="1"/>
  <c r="S1015" i="42"/>
  <c r="O1019" i="42"/>
  <c r="P1019" i="42" s="1"/>
  <c r="O1031" i="42"/>
  <c r="P1031" i="42" s="1"/>
  <c r="S1110" i="42"/>
  <c r="O1110" i="42"/>
  <c r="S1133" i="42"/>
  <c r="O1133" i="42"/>
  <c r="S586" i="42"/>
  <c r="S658" i="42"/>
  <c r="S730" i="42"/>
  <c r="S802" i="42"/>
  <c r="S874" i="42"/>
  <c r="O908" i="42"/>
  <c r="P908" i="42" s="1"/>
  <c r="S928" i="42"/>
  <c r="O932" i="42"/>
  <c r="P932" i="42" s="1"/>
  <c r="S974" i="42"/>
  <c r="S583" i="42"/>
  <c r="S655" i="42"/>
  <c r="O714" i="42"/>
  <c r="P714" i="42" s="1"/>
  <c r="S727" i="42"/>
  <c r="O739" i="42"/>
  <c r="P739" i="42" s="1"/>
  <c r="O761" i="42"/>
  <c r="P761" i="42" s="1"/>
  <c r="O786" i="42"/>
  <c r="P786" i="42" s="1"/>
  <c r="S799" i="42"/>
  <c r="O811" i="42"/>
  <c r="P811" i="42" s="1"/>
  <c r="O833" i="42"/>
  <c r="P833" i="42" s="1"/>
  <c r="O858" i="42"/>
  <c r="P858" i="42" s="1"/>
  <c r="S871" i="42"/>
  <c r="O883" i="42"/>
  <c r="P883" i="42" s="1"/>
  <c r="O956" i="42"/>
  <c r="P956" i="42" s="1"/>
  <c r="S981" i="42"/>
  <c r="O985" i="42"/>
  <c r="P985" i="42" s="1"/>
  <c r="S985" i="42"/>
  <c r="S1032" i="42"/>
  <c r="O1032" i="42"/>
  <c r="P1032" i="42" s="1"/>
  <c r="O1076" i="42"/>
  <c r="S1076" i="42"/>
  <c r="S1097" i="42"/>
  <c r="S1129" i="42"/>
  <c r="O1129" i="42"/>
  <c r="S508" i="42"/>
  <c r="S580" i="42"/>
  <c r="S652" i="42"/>
  <c r="S724" i="42"/>
  <c r="O736" i="42"/>
  <c r="P736" i="42" s="1"/>
  <c r="O758" i="42"/>
  <c r="P758" i="42" s="1"/>
  <c r="O783" i="42"/>
  <c r="P783" i="42" s="1"/>
  <c r="S796" i="42"/>
  <c r="O808" i="42"/>
  <c r="P808" i="42" s="1"/>
  <c r="O830" i="42"/>
  <c r="P830" i="42" s="1"/>
  <c r="O855" i="42"/>
  <c r="P855" i="42" s="1"/>
  <c r="S868" i="42"/>
  <c r="O880" i="42"/>
  <c r="P880" i="42" s="1"/>
  <c r="O902" i="42"/>
  <c r="P902" i="42" s="1"/>
  <c r="O915" i="42"/>
  <c r="P915" i="42" s="1"/>
  <c r="S925" i="42"/>
  <c r="O929" i="42"/>
  <c r="P929" i="42" s="1"/>
  <c r="O946" i="42"/>
  <c r="P946" i="42" s="1"/>
  <c r="S960" i="42"/>
  <c r="O989" i="42"/>
  <c r="P989" i="42" s="1"/>
  <c r="O1000" i="42"/>
  <c r="P1000" i="42" s="1"/>
  <c r="S1004" i="42"/>
  <c r="O1004" i="42"/>
  <c r="P1004" i="42" s="1"/>
  <c r="S1016" i="42"/>
  <c r="S1084" i="42"/>
  <c r="S577" i="42"/>
  <c r="S649" i="42"/>
  <c r="O708" i="42"/>
  <c r="P708" i="42" s="1"/>
  <c r="S721" i="42"/>
  <c r="O733" i="42"/>
  <c r="P733" i="42" s="1"/>
  <c r="O755" i="42"/>
  <c r="P755" i="42" s="1"/>
  <c r="O780" i="42"/>
  <c r="P780" i="42" s="1"/>
  <c r="S793" i="42"/>
  <c r="O805" i="42"/>
  <c r="P805" i="42" s="1"/>
  <c r="O827" i="42"/>
  <c r="P827" i="42" s="1"/>
  <c r="O852" i="42"/>
  <c r="P852" i="42" s="1"/>
  <c r="S865" i="42"/>
  <c r="O877" i="42"/>
  <c r="P877" i="42" s="1"/>
  <c r="O899" i="42"/>
  <c r="P899" i="42" s="1"/>
  <c r="O919" i="42"/>
  <c r="P919" i="42" s="1"/>
  <c r="O939" i="42"/>
  <c r="P939" i="42" s="1"/>
  <c r="S1028" i="42"/>
  <c r="S574" i="42"/>
  <c r="O586" i="42"/>
  <c r="P586" i="42" s="1"/>
  <c r="S646" i="42"/>
  <c r="O658" i="42"/>
  <c r="P658" i="42" s="1"/>
  <c r="S718" i="42"/>
  <c r="O730" i="42"/>
  <c r="P730" i="42" s="1"/>
  <c r="S790" i="42"/>
  <c r="O802" i="42"/>
  <c r="P802" i="42" s="1"/>
  <c r="S862" i="42"/>
  <c r="O874" i="42"/>
  <c r="P874" i="42" s="1"/>
  <c r="O909" i="42"/>
  <c r="P909" i="42" s="1"/>
  <c r="S932" i="42"/>
  <c r="S949" i="42"/>
  <c r="O953" i="42"/>
  <c r="P953" i="42" s="1"/>
  <c r="O974" i="42"/>
  <c r="P974" i="42" s="1"/>
  <c r="O996" i="42"/>
  <c r="P996" i="42" s="1"/>
  <c r="S715" i="42"/>
  <c r="S787" i="42"/>
  <c r="S859" i="42"/>
  <c r="O871" i="42"/>
  <c r="P871" i="42" s="1"/>
  <c r="O916" i="42"/>
  <c r="P916" i="42" s="1"/>
  <c r="O943" i="42"/>
  <c r="P943" i="42" s="1"/>
  <c r="S956" i="42"/>
  <c r="O978" i="42"/>
  <c r="P978" i="42" s="1"/>
  <c r="O993" i="42"/>
  <c r="P993" i="42" s="1"/>
  <c r="S1012" i="42"/>
  <c r="O1044" i="42"/>
  <c r="P1044" i="42" s="1"/>
  <c r="S1056" i="42"/>
  <c r="O1094" i="42"/>
  <c r="S1134" i="42"/>
  <c r="O1024" i="42"/>
  <c r="P1024" i="42" s="1"/>
  <c r="S1105" i="42"/>
  <c r="O1120" i="42"/>
  <c r="O1137" i="42"/>
  <c r="S1141" i="42"/>
  <c r="O1149" i="42"/>
  <c r="O1166" i="42"/>
  <c r="O1018" i="42"/>
  <c r="P1018" i="42" s="1"/>
  <c r="S1033" i="42"/>
  <c r="S1075" i="42"/>
  <c r="O1145" i="42"/>
  <c r="S1167" i="42"/>
  <c r="O1121" i="42"/>
  <c r="S1181" i="42"/>
  <c r="O1181" i="42"/>
  <c r="O1098" i="42"/>
  <c r="O1006" i="42"/>
  <c r="P1006" i="42" s="1"/>
  <c r="O1075" i="42"/>
  <c r="O1106" i="42"/>
  <c r="O1146" i="42"/>
  <c r="N6" i="17"/>
  <c r="O922" i="42"/>
  <c r="P922" i="42" s="1"/>
  <c r="O981" i="42"/>
  <c r="P981" i="42" s="1"/>
  <c r="O994" i="42"/>
  <c r="P994" i="42" s="1"/>
  <c r="O1028" i="42"/>
  <c r="P1028" i="42" s="1"/>
  <c r="O1053" i="42"/>
  <c r="P1053" i="42" s="1"/>
  <c r="O1066" i="42"/>
  <c r="P1066" i="42" s="1"/>
  <c r="O1087" i="42"/>
  <c r="S1106" i="42"/>
  <c r="O1118" i="42"/>
  <c r="S1146" i="42"/>
  <c r="S1151" i="42"/>
  <c r="O1151" i="42"/>
  <c r="O1173" i="42"/>
  <c r="O991" i="42"/>
  <c r="P991" i="42" s="1"/>
  <c r="S1006" i="42"/>
  <c r="O1063" i="42"/>
  <c r="P1063" i="42" s="1"/>
  <c r="O1084" i="42"/>
  <c r="S1099" i="42"/>
  <c r="O988" i="42"/>
  <c r="P988" i="42" s="1"/>
  <c r="O1060" i="42"/>
  <c r="P1060" i="42" s="1"/>
  <c r="O1103" i="42"/>
  <c r="O1111" i="42"/>
  <c r="O1135" i="42"/>
  <c r="S1139" i="42"/>
  <c r="O1143" i="42"/>
  <c r="S1147" i="42"/>
  <c r="S1115" i="42"/>
  <c r="S1127" i="42"/>
  <c r="O1127" i="42"/>
  <c r="O1092" i="42"/>
  <c r="S1174" i="42"/>
  <c r="O1174" i="42"/>
  <c r="O976" i="42"/>
  <c r="P976" i="42" s="1"/>
  <c r="S991" i="42"/>
  <c r="O1010" i="42"/>
  <c r="P1010" i="42" s="1"/>
  <c r="O1035" i="42"/>
  <c r="P1035" i="42" s="1"/>
  <c r="O1048" i="42"/>
  <c r="P1048" i="42" s="1"/>
  <c r="S1063" i="42"/>
  <c r="S1103" i="42"/>
  <c r="S1111" i="42"/>
  <c r="S1143" i="42"/>
  <c r="S1152" i="42"/>
  <c r="O1073" i="42"/>
  <c r="S1088" i="42"/>
  <c r="O1100" i="42"/>
  <c r="O1119" i="42"/>
  <c r="O970" i="42"/>
  <c r="P970" i="42" s="1"/>
  <c r="O1042" i="42"/>
  <c r="P1042" i="42" s="1"/>
  <c r="S1057" i="42"/>
  <c r="O1123" i="42"/>
  <c r="O1140" i="42"/>
  <c r="S1148" i="42"/>
  <c r="O1148" i="42"/>
  <c r="N5" i="17"/>
  <c r="N11" i="17" s="1"/>
  <c r="O967" i="42"/>
  <c r="P967" i="42" s="1"/>
  <c r="O1026" i="42"/>
  <c r="P1026" i="42" s="1"/>
  <c r="O1039" i="42"/>
  <c r="P1039" i="42" s="1"/>
  <c r="S1104" i="42"/>
  <c r="O1108" i="42"/>
  <c r="O1112" i="42"/>
  <c r="O1116" i="42"/>
  <c r="O1132" i="42"/>
  <c r="O1136" i="42"/>
  <c r="S1156" i="42"/>
  <c r="O1036" i="42"/>
  <c r="P1036" i="42" s="1"/>
  <c r="S1051" i="42"/>
  <c r="O1074" i="42"/>
  <c r="O1096" i="42"/>
  <c r="S1124" i="42"/>
  <c r="O1124" i="42"/>
  <c r="S1128" i="42"/>
  <c r="O995" i="42"/>
  <c r="P995" i="42" s="1"/>
  <c r="S1093" i="42"/>
  <c r="O1093" i="42"/>
  <c r="S1157" i="42"/>
  <c r="O1157" i="42"/>
  <c r="O958" i="42"/>
  <c r="P958" i="42" s="1"/>
  <c r="O1030" i="42"/>
  <c r="P1030" i="42" s="1"/>
  <c r="S1045" i="42"/>
  <c r="O1082" i="42"/>
  <c r="O1104" i="42"/>
  <c r="S1112" i="42"/>
  <c r="S1136" i="42"/>
  <c r="O1144" i="42"/>
  <c r="O955" i="42"/>
  <c r="P955" i="42" s="1"/>
  <c r="O1027" i="42"/>
  <c r="P1027" i="42" s="1"/>
  <c r="S1101" i="42"/>
  <c r="S1108" i="42"/>
  <c r="S1132" i="42"/>
  <c r="S1149" i="42"/>
  <c r="O1180" i="42"/>
  <c r="S1160" i="42"/>
  <c r="O1167" i="42"/>
  <c r="S1184" i="42"/>
  <c r="O1154" i="42"/>
  <c r="O1178" i="42"/>
  <c r="O1161" i="42"/>
  <c r="O1185" i="42"/>
  <c r="O1168" i="42"/>
  <c r="O1175" i="42"/>
  <c r="O1134" i="42"/>
  <c r="O1158" i="42"/>
  <c r="O1182" i="42"/>
  <c r="O1141" i="42"/>
  <c r="O1165" i="42"/>
  <c r="O1172" i="4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<sst xmlns="http://schemas.openxmlformats.org/spreadsheetml/2006/main" count="12834" uniqueCount="4282">
  <si>
    <t>N°</t>
  </si>
  <si>
    <t>FECHA</t>
  </si>
  <si>
    <t>NOMBRE</t>
  </si>
  <si>
    <t>CESFAM</t>
  </si>
  <si>
    <t>FECHA PAP ANTERIOR</t>
  </si>
  <si>
    <t>RESULTADO PAP ANTERIOR</t>
  </si>
  <si>
    <t>RESULTADO ACTUAL</t>
  </si>
  <si>
    <t>MATRONA RESPONSABLE</t>
  </si>
  <si>
    <t>SIN REGISTRO</t>
  </si>
  <si>
    <t>OBSERVACION</t>
  </si>
  <si>
    <t>7-5-18 IG8</t>
  </si>
  <si>
    <t>FECHA DE NACIMIENTO</t>
  </si>
  <si>
    <t>EDAD</t>
  </si>
  <si>
    <t>VIGENCIA</t>
  </si>
  <si>
    <t>ESTADO</t>
  </si>
  <si>
    <t>28-22-2018</t>
  </si>
  <si>
    <t>22-20-2015</t>
  </si>
  <si>
    <t xml:space="preserve">RESULTADO
PAP ANTERIOR
</t>
  </si>
  <si>
    <t xml:space="preserve">FECHA
PAP ANTERIOR
</t>
  </si>
  <si>
    <t xml:space="preserve">RESULTADO
PAP ACTUAL
</t>
  </si>
  <si>
    <t>RX COMP PAP ACTUAL</t>
  </si>
  <si>
    <t>NOMENCLATURA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</si>
  <si>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</si>
  <si>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</si>
  <si>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</si>
  <si>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</si>
  <si>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</si>
  <si>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</si>
  <si>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</si>
  <si>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</si>
  <si>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</si>
  <si>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</si>
  <si>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</si>
  <si>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</si>
  <si>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</si>
  <si>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TOTAL</t>
  </si>
  <si>
    <t>PACIENTES A UPC</t>
  </si>
  <si>
    <t xml:space="preserve">FECHA PAP ACTUAL
</t>
  </si>
  <si>
    <t>REGISTRO DUDOSO</t>
  </si>
  <si>
    <t>VIGENTE</t>
  </si>
  <si>
    <t>SINREGISTRO</t>
  </si>
  <si>
    <t>VPH +</t>
  </si>
  <si>
    <t>ID PACIENTE</t>
  </si>
  <si>
    <t>PAMELA MARTINEZ GOMEZ</t>
  </si>
  <si>
    <t>PAC-00001</t>
  </si>
  <si>
    <t>CESFAM A</t>
  </si>
  <si>
    <t>VALENTINA CORTES ARAYA</t>
  </si>
  <si>
    <t>PAC-00002</t>
  </si>
  <si>
    <t>VERONICA FERNANDEZ VERGARA</t>
  </si>
  <si>
    <t>PAC-00003</t>
  </si>
  <si>
    <t>MONICA CASTILLO LOPEZ</t>
  </si>
  <si>
    <t>PAC-00004</t>
  </si>
  <si>
    <t>ROSA FERNANDEZ SEPULVEDA</t>
  </si>
  <si>
    <t>PAC-00005</t>
  </si>
  <si>
    <t>XIMENA PIZARRO NUÑEZ</t>
  </si>
  <si>
    <t>PAC-00006</t>
  </si>
  <si>
    <t>CESFAM C</t>
  </si>
  <si>
    <t>ANA RIVERA CORTES</t>
  </si>
  <si>
    <t>PAC-00007</t>
  </si>
  <si>
    <t>PATRICIA SANCHEZ ESPINOZA</t>
  </si>
  <si>
    <t>PAC-00008</t>
  </si>
  <si>
    <t>VERONICA CARRASCO CASTRO</t>
  </si>
  <si>
    <t>PAC-00009</t>
  </si>
  <si>
    <t>NATALIA DIAZ SEPULVEDA</t>
  </si>
  <si>
    <t>PAC-00010</t>
  </si>
  <si>
    <t>MARCELA FUENTES CORTES</t>
  </si>
  <si>
    <t>PAC-00011</t>
  </si>
  <si>
    <t>CLAUDIA SILVA TAPIA</t>
  </si>
  <si>
    <t>PAC-00012</t>
  </si>
  <si>
    <t>CATALINA LOPEZ HERNANDEZ</t>
  </si>
  <si>
    <t>PAC-00013</t>
  </si>
  <si>
    <t>CATALINA SOTO CARRASCO</t>
  </si>
  <si>
    <t>PAC-00014</t>
  </si>
  <si>
    <t>CECILIA SEPULVEDA FERNANDEZ</t>
  </si>
  <si>
    <t>PAC-00015</t>
  </si>
  <si>
    <t>CESFAM I</t>
  </si>
  <si>
    <t>TAMARA CONTRERAS ALVAREZ</t>
  </si>
  <si>
    <t>PAC-00016</t>
  </si>
  <si>
    <t>CESFAM D</t>
  </si>
  <si>
    <t>MARIA ARAYA ESPINOZA</t>
  </si>
  <si>
    <t>PAC-00017</t>
  </si>
  <si>
    <t>NATALIA CASTRO ALVAREZ</t>
  </si>
  <si>
    <t>PAC-00018</t>
  </si>
  <si>
    <t>DANIELA CARRASCO RIVERA</t>
  </si>
  <si>
    <t>PAC-00019</t>
  </si>
  <si>
    <t>LORENA MARTINEZ PIZARRO</t>
  </si>
  <si>
    <t>PAC-00020</t>
  </si>
  <si>
    <t>MACARENA ESPINOZA TORRES</t>
  </si>
  <si>
    <t>PAC-00021</t>
  </si>
  <si>
    <t>FERNANDA CARRASCO TAPIA</t>
  </si>
  <si>
    <t>PAC-00022</t>
  </si>
  <si>
    <t>ROXANA FUENTES FIGUEROA</t>
  </si>
  <si>
    <t>PAC-00023</t>
  </si>
  <si>
    <t>YESENIA FERNANDEZ CONTRERAS</t>
  </si>
  <si>
    <t>PAC-00024</t>
  </si>
  <si>
    <t>XIMENA ESPINOZA ROJAS</t>
  </si>
  <si>
    <t>PAC-00025</t>
  </si>
  <si>
    <t>SANDRA ARAYA JARA</t>
  </si>
  <si>
    <t>PAC-00026</t>
  </si>
  <si>
    <t>ROXANA FUENTES LOPEZ</t>
  </si>
  <si>
    <t>PAC-00027</t>
  </si>
  <si>
    <t>JAVIERA DIAZ CASTILLO</t>
  </si>
  <si>
    <t>PAC-00028</t>
  </si>
  <si>
    <t>CONSTANZA CONTRERAS CORTES</t>
  </si>
  <si>
    <t>PAC-00029</t>
  </si>
  <si>
    <t>SOLEDAD CONTRERAS SANCHEZ</t>
  </si>
  <si>
    <t>PAC-00030</t>
  </si>
  <si>
    <t>SILVIA DIAZ DIAZ</t>
  </si>
  <si>
    <t>PAC-00031</t>
  </si>
  <si>
    <t>ELENA GUTIERREZ REYES</t>
  </si>
  <si>
    <t>PAC-00032</t>
  </si>
  <si>
    <t>CESFAM E</t>
  </si>
  <si>
    <t>TAMARA FERNANDEZ SILVA</t>
  </si>
  <si>
    <t>PAC-00033</t>
  </si>
  <si>
    <t>BARBARA RIVERA CONTRERAS</t>
  </si>
  <si>
    <t>PAC-00034</t>
  </si>
  <si>
    <t>CLAUDIA SEPULVEDA FLORES</t>
  </si>
  <si>
    <t>PAC-00035</t>
  </si>
  <si>
    <t>PAULA MORALES GUTIERREZ</t>
  </si>
  <si>
    <t>PAC-00036</t>
  </si>
  <si>
    <t>ANA JARA CASTRO</t>
  </si>
  <si>
    <t>PAC-00037</t>
  </si>
  <si>
    <t>ELENA FUENTES HERNANDEZ</t>
  </si>
  <si>
    <t>PAC-00038</t>
  </si>
  <si>
    <t>PATRICIA SILVA MUÑOZ</t>
  </si>
  <si>
    <t>PAC-00039</t>
  </si>
  <si>
    <t>SOLEDAD ESPINOZA GOMEZ</t>
  </si>
  <si>
    <t>PAC-00040</t>
  </si>
  <si>
    <t>CECILIA GOMEZ CORTES</t>
  </si>
  <si>
    <t>PAC-00041</t>
  </si>
  <si>
    <t>CAROLINA DIAZ MARTINEZ</t>
  </si>
  <si>
    <t>PAC-00042</t>
  </si>
  <si>
    <t>PAULA HERRERA ESPINOZA</t>
  </si>
  <si>
    <t>PAC-00043</t>
  </si>
  <si>
    <t>LORENA TORRES SILVA</t>
  </si>
  <si>
    <t>PAC-00044</t>
  </si>
  <si>
    <t>ISABEL VASQUEZ CARRASCO</t>
  </si>
  <si>
    <t>PAC-00045</t>
  </si>
  <si>
    <t>KARINA TORRES TORRES</t>
  </si>
  <si>
    <t>PAC-00046</t>
  </si>
  <si>
    <t>ROSA GONZALEZ TORRES</t>
  </si>
  <si>
    <t>PAC-00047</t>
  </si>
  <si>
    <t>XIMENA FERNANDEZ ROJAS</t>
  </si>
  <si>
    <t>PAC-00048</t>
  </si>
  <si>
    <t>ELENA FUENTES FLORES</t>
  </si>
  <si>
    <t>PAC-00049</t>
  </si>
  <si>
    <t>PATRICIA ALVAREZ FUENTES</t>
  </si>
  <si>
    <t>PAC-00050</t>
  </si>
  <si>
    <t>SANDRA FERNANDEZ MUÑOZ</t>
  </si>
  <si>
    <t>PAC-00051</t>
  </si>
  <si>
    <t>ANDREA JARA MORALES</t>
  </si>
  <si>
    <t>PAC-00052</t>
  </si>
  <si>
    <t>FRANCISCA REYES SEPULVEDA</t>
  </si>
  <si>
    <t>PAC-00053</t>
  </si>
  <si>
    <t>PAMELA VASQUEZ NUÑEZ</t>
  </si>
  <si>
    <t>PAC-00054</t>
  </si>
  <si>
    <t>XIMENA HERNANDEZ GOMEZ</t>
  </si>
  <si>
    <t>PAC-00055</t>
  </si>
  <si>
    <t>ANA FERNANDEZ PIZARRO</t>
  </si>
  <si>
    <t>PAC-00056</t>
  </si>
  <si>
    <t>MONICA SEPULVEDA CARRASCO</t>
  </si>
  <si>
    <t>PAC-00057</t>
  </si>
  <si>
    <t>ANDREA RODRIGUEZ PEREZ</t>
  </si>
  <si>
    <t>PAC-00058</t>
  </si>
  <si>
    <t>SANDRA REYES CARRASCO</t>
  </si>
  <si>
    <t>PAC-00059</t>
  </si>
  <si>
    <t>MARCELA PEREZ FERNANDEZ</t>
  </si>
  <si>
    <t>PAC-00060</t>
  </si>
  <si>
    <t>CATALINA GUTIERREZ GOMEZ</t>
  </si>
  <si>
    <t>PAC-00061</t>
  </si>
  <si>
    <t>YESENIA VALENZUELA RAMIREZ</t>
  </si>
  <si>
    <t>PAC-00062</t>
  </si>
  <si>
    <t>DANIELA CORTES MARTINEZ</t>
  </si>
  <si>
    <t>PAC-00063</t>
  </si>
  <si>
    <t>ANDREA RAMIREZ SOTO</t>
  </si>
  <si>
    <t>PAC-00064</t>
  </si>
  <si>
    <t>VERONICA HERNANDEZ ARAYA</t>
  </si>
  <si>
    <t>PAC-00065</t>
  </si>
  <si>
    <t>SOLEDAD FLORES ESPINOZA</t>
  </si>
  <si>
    <t>PAC-00066</t>
  </si>
  <si>
    <t>KARINA FUENTES FUENTES</t>
  </si>
  <si>
    <t>PAC-00067</t>
  </si>
  <si>
    <t>MARCELA TORRES VASQUEZ</t>
  </si>
  <si>
    <t>PAC-00068</t>
  </si>
  <si>
    <t>ISABEL SOTO FLORES</t>
  </si>
  <si>
    <t>PAC-00069</t>
  </si>
  <si>
    <t>TAMARA VASQUEZ TORRES</t>
  </si>
  <si>
    <t>PAC-00070</t>
  </si>
  <si>
    <t>SANDRA ARAYA SOTO</t>
  </si>
  <si>
    <t>PAC-00071</t>
  </si>
  <si>
    <t>GLORIA NUÑEZ DIAZ</t>
  </si>
  <si>
    <t>PAC-00072</t>
  </si>
  <si>
    <t>CAROLINA RODRIGUEZ CASTRO</t>
  </si>
  <si>
    <t>PAC-00073</t>
  </si>
  <si>
    <t>ROSA RIVERA MARTINEZ</t>
  </si>
  <si>
    <t>PAC-00074</t>
  </si>
  <si>
    <t>CECILIA HERNANDEZ SEPULVEDA</t>
  </si>
  <si>
    <t>PAC-00075</t>
  </si>
  <si>
    <t>CAROLINA VALENZUELA CARRASCO</t>
  </si>
  <si>
    <t>PAC-00076</t>
  </si>
  <si>
    <t>ALEJANDRA CORTES PEREZ</t>
  </si>
  <si>
    <t>PAC-00077</t>
  </si>
  <si>
    <t>MARIA ARAYA RODRIGUEZ</t>
  </si>
  <si>
    <t>PAC-00078</t>
  </si>
  <si>
    <t>JUANA TORRES MUÑOZ</t>
  </si>
  <si>
    <t>PAC-00079</t>
  </si>
  <si>
    <t>JUANA MORALES GUTIERREZ</t>
  </si>
  <si>
    <t>PAC-00080</t>
  </si>
  <si>
    <t>ROXANA ESPINOZA HERNANDEZ</t>
  </si>
  <si>
    <t>PAC-00081</t>
  </si>
  <si>
    <t>NICOLE CARRASCO FUENTES</t>
  </si>
  <si>
    <t>PAC-00082</t>
  </si>
  <si>
    <t>MACARENA GOMEZ ARAYA</t>
  </si>
  <si>
    <t>PAC-00083</t>
  </si>
  <si>
    <t>ELENA RODRIGUEZ RODRIGUEZ</t>
  </si>
  <si>
    <t>PAC-00084</t>
  </si>
  <si>
    <t>JUANA JARA FLORES</t>
  </si>
  <si>
    <t>PAC-00085</t>
  </si>
  <si>
    <t>ALEJANDRA ESPINOZA SILVA</t>
  </si>
  <si>
    <t>PAC-00086</t>
  </si>
  <si>
    <t>SILVIA ARAYA REYES</t>
  </si>
  <si>
    <t>PAC-00087</t>
  </si>
  <si>
    <t>NATALIA FUENTES CASTRO</t>
  </si>
  <si>
    <t>PAC-00088</t>
  </si>
  <si>
    <t>PAULA TAPIA GOMEZ</t>
  </si>
  <si>
    <t>PAC-00089</t>
  </si>
  <si>
    <t>PATRICIA LOPEZ ESPINOZA</t>
  </si>
  <si>
    <t>PAC-00090</t>
  </si>
  <si>
    <t>ELENA CARRASCO FLORES</t>
  </si>
  <si>
    <t>PAC-00091</t>
  </si>
  <si>
    <t>ROXANA DIAZ FLORES</t>
  </si>
  <si>
    <t>PAC-00092</t>
  </si>
  <si>
    <t>SANDRA VERGARA CONTRERAS</t>
  </si>
  <si>
    <t>PAC-00093</t>
  </si>
  <si>
    <t>MARCELA MORALES TAPIA</t>
  </si>
  <si>
    <t>PAC-00094</t>
  </si>
  <si>
    <t>XIMENA SILVA RODRIGUEZ</t>
  </si>
  <si>
    <t>PAC-00095</t>
  </si>
  <si>
    <t>MACARENA FLORES LOPEZ</t>
  </si>
  <si>
    <t>PAC-00096</t>
  </si>
  <si>
    <t>TERESA GOMEZ MORALES</t>
  </si>
  <si>
    <t>PAC-00097</t>
  </si>
  <si>
    <t>ANDREA PEREZ GONZALEZ</t>
  </si>
  <si>
    <t>PAC-00098</t>
  </si>
  <si>
    <t>ANA JARA ALVAREZ</t>
  </si>
  <si>
    <t>PAC-00099</t>
  </si>
  <si>
    <t>XIMENA SILVA SANCHEZ</t>
  </si>
  <si>
    <t>PAC-00100</t>
  </si>
  <si>
    <t>JUANA REYES SILVA</t>
  </si>
  <si>
    <t>PAC-00101</t>
  </si>
  <si>
    <t>SANDRA DIAZ VASQUEZ</t>
  </si>
  <si>
    <t>PAC-00102</t>
  </si>
  <si>
    <t>KARINA CASTILLO VASQUEZ</t>
  </si>
  <si>
    <t>PAC-00103</t>
  </si>
  <si>
    <t>TERESA FIGUEROA VERGARA</t>
  </si>
  <si>
    <t>PAC-00104</t>
  </si>
  <si>
    <t>TAMARA DIAZ PEREZ</t>
  </si>
  <si>
    <t>PAC-00105</t>
  </si>
  <si>
    <t>TERESA NUÑEZ FLORES</t>
  </si>
  <si>
    <t>PAC-00106</t>
  </si>
  <si>
    <t>CECILIA SANCHEZ TORRES</t>
  </si>
  <si>
    <t>PAC-00107</t>
  </si>
  <si>
    <t>NATALIA TAPIA FLORES</t>
  </si>
  <si>
    <t>PAC-00108</t>
  </si>
  <si>
    <t>ROXANA PEREZ HERRERA</t>
  </si>
  <si>
    <t>PAC-00109</t>
  </si>
  <si>
    <t>BARBARA FUENTES SOTO</t>
  </si>
  <si>
    <t>PAC-00110</t>
  </si>
  <si>
    <t>KARINA REYES VALENZUELA</t>
  </si>
  <si>
    <t>PAC-00111</t>
  </si>
  <si>
    <t>CESFAM G</t>
  </si>
  <si>
    <t>IG8J1</t>
  </si>
  <si>
    <t>CAROLINA ROJAS</t>
  </si>
  <si>
    <t>JUANA MORALES SEPULVEDA</t>
  </si>
  <si>
    <t>PAC-00112</t>
  </si>
  <si>
    <t>IG8</t>
  </si>
  <si>
    <t>LORENA CONTRERAS HERRERA</t>
  </si>
  <si>
    <t>PAC-00113</t>
  </si>
  <si>
    <t>ISABEL VALENZUELA DIAZ</t>
  </si>
  <si>
    <t>PAC-00114</t>
  </si>
  <si>
    <t>CATALINA VASQUEZ SEPULVEDA</t>
  </si>
  <si>
    <t>PAC-00115</t>
  </si>
  <si>
    <t>SOLEDAD PEREZ GOMEZ</t>
  </si>
  <si>
    <t>PAC-00116</t>
  </si>
  <si>
    <t>SILVIA FERNANDEZ PIZARRO</t>
  </si>
  <si>
    <t>PAC-00117</t>
  </si>
  <si>
    <t>SIN REGISTRO</t>
  </si>
  <si>
    <t>JUANA MORALES SOTO</t>
  </si>
  <si>
    <t>PAC-00118</t>
  </si>
  <si>
    <t>GLORIA SEPULVEDA HERNANDEZ</t>
  </si>
  <si>
    <t>PAC-00119</t>
  </si>
  <si>
    <t>IG8J5</t>
  </si>
  <si>
    <t>KARINA DIAZ REYES</t>
  </si>
  <si>
    <t>PAC-00120</t>
  </si>
  <si>
    <t>CAROLINA FUENTES FLORES</t>
  </si>
  <si>
    <t>PAC-00121</t>
  </si>
  <si>
    <t>ISABEL SEPULVEDA NUÑEZ</t>
  </si>
  <si>
    <t>PAC-00122</t>
  </si>
  <si>
    <t>VALENTINA TORRES RAMIREZ</t>
  </si>
  <si>
    <t>PAC-00123</t>
  </si>
  <si>
    <t>G4O5</t>
  </si>
  <si>
    <t>YESENIA HERNANDEZ TAPIA</t>
  </si>
  <si>
    <t>PAC-00124</t>
  </si>
  <si>
    <t>TAMARA FIGUEROA NUÑEZ</t>
  </si>
  <si>
    <t>PAC-00125</t>
  </si>
  <si>
    <t>IJ1</t>
  </si>
  <si>
    <t>GLORIA CORTES LOPEZ</t>
  </si>
  <si>
    <t>PAC-00126</t>
  </si>
  <si>
    <t>VERONICA RAMIREZ HERNANDEZ</t>
  </si>
  <si>
    <t>PAC-00127</t>
  </si>
  <si>
    <t>PATRICIA LOPEZ DIAZ</t>
  </si>
  <si>
    <t>PAC-00128</t>
  </si>
  <si>
    <t>CESFAM B</t>
  </si>
  <si>
    <t>MONICA CONTRERAS VERGARA</t>
  </si>
  <si>
    <t>PAC-00129</t>
  </si>
  <si>
    <t>TERESA CASTRO HERRERA</t>
  </si>
  <si>
    <t>PAC-00130</t>
  </si>
  <si>
    <t>IG8J2S</t>
  </si>
  <si>
    <t>ROSA MARTINEZ CASTRO</t>
  </si>
  <si>
    <t>PAC-00131</t>
  </si>
  <si>
    <t>IG8J1S</t>
  </si>
  <si>
    <t>G2O5</t>
  </si>
  <si>
    <t>ANDREA PEREZ RODRIGUEZ</t>
  </si>
  <si>
    <t>PAC-00132</t>
  </si>
  <si>
    <t>G1O5</t>
  </si>
  <si>
    <t>BARBARA REYES SEPULVEDA</t>
  </si>
  <si>
    <t>PAC-00133</t>
  </si>
  <si>
    <t>IG7S</t>
  </si>
  <si>
    <t>ROXANA GUTIERREZ ALVAREZ</t>
  </si>
  <si>
    <t>PAC-00134</t>
  </si>
  <si>
    <t>YESENIA MARTINEZ REYES</t>
  </si>
  <si>
    <t>PAC-00135</t>
  </si>
  <si>
    <t>MARIA MORALES DIAZ</t>
  </si>
  <si>
    <t>PAC-00136</t>
  </si>
  <si>
    <t>VERONICA FERNANDEZ SOTO</t>
  </si>
  <si>
    <t>PAC-00137</t>
  </si>
  <si>
    <t>CATALINA VASQUEZ ARAYA</t>
  </si>
  <si>
    <t>PAC-00138</t>
  </si>
  <si>
    <t>KARINA CONTRERAS RIVERA</t>
  </si>
  <si>
    <t>PAC-00139</t>
  </si>
  <si>
    <t>IG8S</t>
  </si>
  <si>
    <t>DANIELA MUÑOZ</t>
  </si>
  <si>
    <t>ROXANA HERRERA HERRERA</t>
  </si>
  <si>
    <t>PAC-00140</t>
  </si>
  <si>
    <t>LORENA ROJAS FIGUEROA</t>
  </si>
  <si>
    <t>PAC-00141</t>
  </si>
  <si>
    <t>CESFAM H</t>
  </si>
  <si>
    <t>MARCELA LOPEZ NUÑEZ</t>
  </si>
  <si>
    <t>PAC-00142</t>
  </si>
  <si>
    <t>ANA SANCHEZ GUTIERREZ</t>
  </si>
  <si>
    <t>PAC-00143</t>
  </si>
  <si>
    <t>JUANA FUENTES SANCHEZ</t>
  </si>
  <si>
    <t>PAC-00144</t>
  </si>
  <si>
    <t>JAVIERA VASQUEZ TORRES</t>
  </si>
  <si>
    <t>PAC-00145</t>
  </si>
  <si>
    <t>GLORIA VASQUEZ RODRIGUEZ</t>
  </si>
  <si>
    <t>PAC-00146</t>
  </si>
  <si>
    <t>XIMENA TORRES DIAZ</t>
  </si>
  <si>
    <t>PAC-00147</t>
  </si>
  <si>
    <t>JAVIERA SANCHEZ ARAYA</t>
  </si>
  <si>
    <t>PAC-00148</t>
  </si>
  <si>
    <t>TAMARA GONZALEZ MUÑOZ</t>
  </si>
  <si>
    <t>PAC-00149</t>
  </si>
  <si>
    <t>IG8J2</t>
  </si>
  <si>
    <t>JAVIERA GOMEZ PEREZ</t>
  </si>
  <si>
    <t>PAC-00150</t>
  </si>
  <si>
    <t>CAROLINA FLORES SANCHEZ</t>
  </si>
  <si>
    <t>PAC-00151</t>
  </si>
  <si>
    <t>FRANCISCA RAMIREZ FUENTES</t>
  </si>
  <si>
    <t>PAC-00152</t>
  </si>
  <si>
    <t>ANDREA ALVAREZ MARTINEZ</t>
  </si>
  <si>
    <t>PAC-00153</t>
  </si>
  <si>
    <t>CECOSF J</t>
  </si>
  <si>
    <t>VERONICA CASTILLO TORRES</t>
  </si>
  <si>
    <t>PAC-00154</t>
  </si>
  <si>
    <t>TERESA NUÑEZ RIVERA</t>
  </si>
  <si>
    <t>PAC-00155</t>
  </si>
  <si>
    <t>SANDRA REYES SEPULVEDA</t>
  </si>
  <si>
    <t>PAC-00156</t>
  </si>
  <si>
    <t>CAMILA FERNANDEZ MORALES</t>
  </si>
  <si>
    <t>PAC-00157</t>
  </si>
  <si>
    <t>SANDRA RODRIGUEZ RODRIGUEZ</t>
  </si>
  <si>
    <t>PAC-00158</t>
  </si>
  <si>
    <t>PAULA HERRERA RIVERA</t>
  </si>
  <si>
    <t>PAC-00159</t>
  </si>
  <si>
    <t>MARCELA FIGUEROA CORTES</t>
  </si>
  <si>
    <t>PAC-00160</t>
  </si>
  <si>
    <t>KARINA ALVAREZ FERNANDEZ</t>
  </si>
  <si>
    <t>PAC-00161</t>
  </si>
  <si>
    <t>ELENA GOMEZ CASTRO</t>
  </si>
  <si>
    <t>PAC-00162</t>
  </si>
  <si>
    <t>FERNANDA HERNANDEZ FERNANDEZ</t>
  </si>
  <si>
    <t>PAC-00163</t>
  </si>
  <si>
    <t>PAMELA HERNANDEZ VASQUEZ</t>
  </si>
  <si>
    <t>PAC-00164</t>
  </si>
  <si>
    <t>XIMENA SEPULVEDA ROJAS</t>
  </si>
  <si>
    <t>PAC-00165</t>
  </si>
  <si>
    <t>DANIELA JARA HERNANDEZ</t>
  </si>
  <si>
    <t>PAC-00166</t>
  </si>
  <si>
    <t>LORENA MARTINEZ FUENTES</t>
  </si>
  <si>
    <t>PAC-00167</t>
  </si>
  <si>
    <t>NATALIA SOTO SOTO</t>
  </si>
  <si>
    <t>PAC-00168</t>
  </si>
  <si>
    <t>ROSA SANCHEZ GONZALEZ</t>
  </si>
  <si>
    <t>PAC-00169</t>
  </si>
  <si>
    <t>JUANA FERNANDEZ ESPINOZA</t>
  </si>
  <si>
    <t>PAC-00170</t>
  </si>
  <si>
    <t>ELENA HERNANDEZ SEPULVEDA</t>
  </si>
  <si>
    <t>PAC-00171</t>
  </si>
  <si>
    <t>ROXANA TAPIA FIGUEROA</t>
  </si>
  <si>
    <t>PAC-00172</t>
  </si>
  <si>
    <t>FRANCISCA PEREZ CONTRERAS</t>
  </si>
  <si>
    <t>PAC-00173</t>
  </si>
  <si>
    <t>JUANA VASQUEZ CASTILLO</t>
  </si>
  <si>
    <t>PAC-00174</t>
  </si>
  <si>
    <t>JAVIERA FUENTES LOPEZ</t>
  </si>
  <si>
    <t>PAC-00175</t>
  </si>
  <si>
    <t>GLORIA CORTES VERGARA</t>
  </si>
  <si>
    <t>PAC-00176</t>
  </si>
  <si>
    <t>KARINA CASTILLO HERNANDEZ</t>
  </si>
  <si>
    <t>PAC-00177</t>
  </si>
  <si>
    <t>FERNANDA SOTO ROJAS</t>
  </si>
  <si>
    <t>PAC-00178</t>
  </si>
  <si>
    <t>MARIA ARAYA RAMIREZ</t>
  </si>
  <si>
    <t>PAC-00179</t>
  </si>
  <si>
    <t>NATALIA ARAYA SANCHEZ</t>
  </si>
  <si>
    <t>PAC-00180</t>
  </si>
  <si>
    <t>CAROLINA SOTO PIZARRO</t>
  </si>
  <si>
    <t>PAC-00181</t>
  </si>
  <si>
    <t>LORENA GOMEZ FLORES</t>
  </si>
  <si>
    <t>PAC-00182</t>
  </si>
  <si>
    <t>MARIA TORRES RAMIREZ</t>
  </si>
  <si>
    <t>PAC-00183</t>
  </si>
  <si>
    <t>CAROLINA VERGARA CARRASCO</t>
  </si>
  <si>
    <t>PAC-00184</t>
  </si>
  <si>
    <t>CAMILA HERRERA TORRES</t>
  </si>
  <si>
    <t>PAC-00185</t>
  </si>
  <si>
    <t>CT</t>
  </si>
  <si>
    <t>CATALINA TORRES MUÑOZ</t>
  </si>
  <si>
    <t>PAC-00186</t>
  </si>
  <si>
    <t>VERONICA SANCHEZ FIGUEROA</t>
  </si>
  <si>
    <t>PAC-00187</t>
  </si>
  <si>
    <t>ELENA HERNANDEZ CASTILLO</t>
  </si>
  <si>
    <t>PAC-00188</t>
  </si>
  <si>
    <t>CAMILA FUENTES VALENZUELA</t>
  </si>
  <si>
    <t>PAC-00189</t>
  </si>
  <si>
    <t>JUANA SEPULVEDA FLORES</t>
  </si>
  <si>
    <t>PAC-00190</t>
  </si>
  <si>
    <t>PATRICIA PIZARRO VASQUEZ</t>
  </si>
  <si>
    <t>PAC-00191</t>
  </si>
  <si>
    <t>TAMARA CASTRO FLORES</t>
  </si>
  <si>
    <t>PAC-00192</t>
  </si>
  <si>
    <t>ANA CARRASCO HERNANDEZ</t>
  </si>
  <si>
    <t>PAC-00193</t>
  </si>
  <si>
    <t>CLAUDIA CASTRO PEREZ</t>
  </si>
  <si>
    <t>PAC-00194</t>
  </si>
  <si>
    <t>ISABEL FUENTES MORALES</t>
  </si>
  <si>
    <t>PAC-00195</t>
  </si>
  <si>
    <t>PAULA CARRASCO CASTRO</t>
  </si>
  <si>
    <t>PAC-00196</t>
  </si>
  <si>
    <t>TERESA PEREZ CASTILLO</t>
  </si>
  <si>
    <t>PAC-00197</t>
  </si>
  <si>
    <t>CAROLINA MUÑOZ ROJAS</t>
  </si>
  <si>
    <t>PAC-00198</t>
  </si>
  <si>
    <t>ALEJANDRA GUTIERREZ TORRES</t>
  </si>
  <si>
    <t>PAC-00199</t>
  </si>
  <si>
    <t>PATRICIA VASQUEZ MORALES</t>
  </si>
  <si>
    <t>PAC-00200</t>
  </si>
  <si>
    <t>MONICA NUÑEZ REYES</t>
  </si>
  <si>
    <t>PAC-00201</t>
  </si>
  <si>
    <t>SILVIA ROJAS GUTIERREZ</t>
  </si>
  <si>
    <t>PAC-00202</t>
  </si>
  <si>
    <t>VALENTINA CONTRERAS REYES</t>
  </si>
  <si>
    <t>PAC-00203</t>
  </si>
  <si>
    <t>ELENA CORTES ESPINOZA</t>
  </si>
  <si>
    <t>PAC-00204</t>
  </si>
  <si>
    <t>JUANA FIGUEROA TORRES</t>
  </si>
  <si>
    <t>PAC-00205</t>
  </si>
  <si>
    <t>CECILIA GOMEZ SOTO</t>
  </si>
  <si>
    <t>PAC-00206</t>
  </si>
  <si>
    <t>YESENIA RAMIREZ MARTINEZ</t>
  </si>
  <si>
    <t>PAC-00207</t>
  </si>
  <si>
    <t>BARBARA PEREZ VASQUEZ</t>
  </si>
  <si>
    <t>PAC-00208</t>
  </si>
  <si>
    <t>CATALINA SOTO ESPINOZA</t>
  </si>
  <si>
    <t>PAC-00209</t>
  </si>
  <si>
    <t>CONSTANZA CORTES ALVAREZ</t>
  </si>
  <si>
    <t>PAC-00210</t>
  </si>
  <si>
    <t>NATALIA NUÑEZ FLORES</t>
  </si>
  <si>
    <t>PAC-00211</t>
  </si>
  <si>
    <t>CATALINA ALVAREZ REYES</t>
  </si>
  <si>
    <t>PAC-00212</t>
  </si>
  <si>
    <t>VERONICA SILVA RODRIGUEZ</t>
  </si>
  <si>
    <t>PAC-00213</t>
  </si>
  <si>
    <t>ANA ARAYA FLORES</t>
  </si>
  <si>
    <t>PAC-00214</t>
  </si>
  <si>
    <t>ANDREA PEREZ SEPULVEDA</t>
  </si>
  <si>
    <t>PAC-00215</t>
  </si>
  <si>
    <t>JUANA TAPIA MUÑOZ</t>
  </si>
  <si>
    <t>PAC-00216</t>
  </si>
  <si>
    <t>ANA TAPIA CONTRERAS</t>
  </si>
  <si>
    <t>PAC-00217</t>
  </si>
  <si>
    <t>ROSA CONTRERAS RODRIGUEZ</t>
  </si>
  <si>
    <t>PAC-00218</t>
  </si>
  <si>
    <t>PATRICIA ARAYA VASQUEZ</t>
  </si>
  <si>
    <t>PAC-00219</t>
  </si>
  <si>
    <t>ANA TORRES FLORES</t>
  </si>
  <si>
    <t>PAC-00220</t>
  </si>
  <si>
    <t>ANA RAMIREZ FIGUEROA</t>
  </si>
  <si>
    <t>PAC-00221</t>
  </si>
  <si>
    <t>CAROLINA REYES FIGUEROA</t>
  </si>
  <si>
    <t>PAC-00222</t>
  </si>
  <si>
    <t>JUANA DIAZ ARAYA</t>
  </si>
  <si>
    <t>PAC-00223</t>
  </si>
  <si>
    <t>TAMARA ROJAS RAMIREZ</t>
  </si>
  <si>
    <t>PAC-00224</t>
  </si>
  <si>
    <t>MONICA LOPEZ SILVA</t>
  </si>
  <si>
    <t>PAC-00225</t>
  </si>
  <si>
    <t>ANA PIZARRO HERRERA</t>
  </si>
  <si>
    <t>PAC-00226</t>
  </si>
  <si>
    <t>PAMELA JARA ESPINOZA</t>
  </si>
  <si>
    <t>PAC-00227</t>
  </si>
  <si>
    <t>NICOLE LOPEZ VASQUEZ</t>
  </si>
  <si>
    <t>PAC-00228</t>
  </si>
  <si>
    <t>LORENA HERNANDEZ RAMIREZ</t>
  </si>
  <si>
    <t>PAC-00229</t>
  </si>
  <si>
    <t>FERNANDA ALVAREZ REYES</t>
  </si>
  <si>
    <t>PAC-00230</t>
  </si>
  <si>
    <t>IG7J1S</t>
  </si>
  <si>
    <t>ANDREA TORRES VASQUEZ</t>
  </si>
  <si>
    <t>PAC-00231</t>
  </si>
  <si>
    <t>TERESA GOMEZ NUÑEZ</t>
  </si>
  <si>
    <t>PAC-00232</t>
  </si>
  <si>
    <t>CAMILA SEPULVEDA MARTINEZ</t>
  </si>
  <si>
    <t>PAC-00233</t>
  </si>
  <si>
    <t>PATRICIA CONTRERAS CONTRERAS</t>
  </si>
  <si>
    <t>PAC-00234</t>
  </si>
  <si>
    <t>TAMARA RAMIREZ ALVAREZ</t>
  </si>
  <si>
    <t>PAC-00235</t>
  </si>
  <si>
    <t>BARBARA ESPINOZA VASQUEZ</t>
  </si>
  <si>
    <t>PAC-00236</t>
  </si>
  <si>
    <t>ANA RIVERA TORRES</t>
  </si>
  <si>
    <t>PAC-00237</t>
  </si>
  <si>
    <t>BARBARA FERNANDEZ FLORES</t>
  </si>
  <si>
    <t>PAC-00238</t>
  </si>
  <si>
    <t>PAULA REYES GUTIERREZ</t>
  </si>
  <si>
    <t>PAC-00239</t>
  </si>
  <si>
    <t>PATRICIA TORRES NUÑEZ</t>
  </si>
  <si>
    <t>PAC-00240</t>
  </si>
  <si>
    <t>BARBARA JARA PIZARRO</t>
  </si>
  <si>
    <t>PAC-00241</t>
  </si>
  <si>
    <t>SOLEDAD HERRERA HERRERA</t>
  </si>
  <si>
    <t>PAC-00242</t>
  </si>
  <si>
    <t>DANIELA JARA ARAYA</t>
  </si>
  <si>
    <t>PAC-00243</t>
  </si>
  <si>
    <t>VERONICA SEPULVEDA JARA</t>
  </si>
  <si>
    <t>PAC-00244</t>
  </si>
  <si>
    <t>CLAUDIA PEREZ RODRIGUEZ</t>
  </si>
  <si>
    <t>PAC-00245</t>
  </si>
  <si>
    <t>VALENTINA GUTIERREZ ALVAREZ</t>
  </si>
  <si>
    <t>PAC-00246</t>
  </si>
  <si>
    <t>ANA SILVA GUTIERREZ</t>
  </si>
  <si>
    <t>PAC-00247</t>
  </si>
  <si>
    <t>YESENIA GONZALEZ CONTRERAS</t>
  </si>
  <si>
    <t>PAC-00248</t>
  </si>
  <si>
    <t>BARBARA CASTRO ROJAS</t>
  </si>
  <si>
    <t>PAC-00249</t>
  </si>
  <si>
    <t>NICOLE CASTRO VERGARA</t>
  </si>
  <si>
    <t>PAC-00250</t>
  </si>
  <si>
    <t>MARIA FIGUEROA GUTIERREZ</t>
  </si>
  <si>
    <t>PAC-00251</t>
  </si>
  <si>
    <t>PAMELA NUÑEZ TORRES</t>
  </si>
  <si>
    <t>PAC-00252</t>
  </si>
  <si>
    <t>CATALINA RODRIGUEZ PEREZ</t>
  </si>
  <si>
    <t>PAC-00253</t>
  </si>
  <si>
    <t>ANDREA DIAZ CONTRERAS</t>
  </si>
  <si>
    <t>PAC-00254</t>
  </si>
  <si>
    <t>ANA RIVERA CARRASCO</t>
  </si>
  <si>
    <t>PAC-00255</t>
  </si>
  <si>
    <t>CESFAM F</t>
  </si>
  <si>
    <t>ROSA CARRASCO MUÑOZ</t>
  </si>
  <si>
    <t>PAC-00256</t>
  </si>
  <si>
    <t>TERESA GOMEZ VERGARA</t>
  </si>
  <si>
    <t>PAC-00257</t>
  </si>
  <si>
    <t>SOLEDAD DIAZ SILVA</t>
  </si>
  <si>
    <t>PAC-00258</t>
  </si>
  <si>
    <t>PATRICIA LOPEZ SOTO</t>
  </si>
  <si>
    <t>PAC-00259</t>
  </si>
  <si>
    <t>CONSTANZA GUTIERREZ FIGUEROA</t>
  </si>
  <si>
    <t>PAC-00260</t>
  </si>
  <si>
    <t>ANA MUÑOZ GONZALEZ</t>
  </si>
  <si>
    <t>PAC-00261</t>
  </si>
  <si>
    <t>CLAUDIA MORALES PIZARRO</t>
  </si>
  <si>
    <t>PAC-00262</t>
  </si>
  <si>
    <t>IG8J6</t>
  </si>
  <si>
    <t>ELENA RODRIGUEZ FLORES</t>
  </si>
  <si>
    <t>PAC-00263</t>
  </si>
  <si>
    <t>ALEJANDRA LOPEZ RIVERA</t>
  </si>
  <si>
    <t>PAC-00264</t>
  </si>
  <si>
    <t>PATRICIA FLORES RIVERA</t>
  </si>
  <si>
    <t>PAC-00265</t>
  </si>
  <si>
    <t>BARBARA MORALES CARRASCO</t>
  </si>
  <si>
    <t>PAC-00266</t>
  </si>
  <si>
    <t>TAMARA SANCHEZ RODRIGUEZ</t>
  </si>
  <si>
    <t>PAC-00267</t>
  </si>
  <si>
    <t>GLORIA LOPEZ RODRIGUEZ</t>
  </si>
  <si>
    <t>PAC-00268</t>
  </si>
  <si>
    <t>A1J1S</t>
  </si>
  <si>
    <t>KARINA RODRIGUEZ MARTINEZ</t>
  </si>
  <si>
    <t>PAC-00269</t>
  </si>
  <si>
    <t>SANDRA SILVA PEREZ</t>
  </si>
  <si>
    <t>PAC-00270</t>
  </si>
  <si>
    <t>LORENA ALVAREZ CARRASCO</t>
  </si>
  <si>
    <t>PAC-00271</t>
  </si>
  <si>
    <t>LORENA VASQUEZ ARAYA</t>
  </si>
  <si>
    <t>PAC-00272</t>
  </si>
  <si>
    <t>CONSTANZA DIAZ MORALES</t>
  </si>
  <si>
    <t>PAC-00273</t>
  </si>
  <si>
    <t>GLORIA DIAZ HERNANDEZ</t>
  </si>
  <si>
    <t>PAC-00274</t>
  </si>
  <si>
    <t>PAULA REYES VERGARA</t>
  </si>
  <si>
    <t>PAC-00275</t>
  </si>
  <si>
    <t>CECILIA ARAYA RODRIGUEZ</t>
  </si>
  <si>
    <t>PAC-00276</t>
  </si>
  <si>
    <t>IG8N</t>
  </si>
  <si>
    <t>TAMARA GOMEZ VASQUEZ</t>
  </si>
  <si>
    <t>PAC-00277</t>
  </si>
  <si>
    <t>PAULA PIZARRO PEREZ</t>
  </si>
  <si>
    <t>PAC-00278</t>
  </si>
  <si>
    <t>DANIELA CASTILLO JARA</t>
  </si>
  <si>
    <t>PAC-00279</t>
  </si>
  <si>
    <t>PATRICIA PEREZ GONZALEZ</t>
  </si>
  <si>
    <t>PAC-00280</t>
  </si>
  <si>
    <t>PAMELA GOMEZ RAMIREZ</t>
  </si>
  <si>
    <t>PAC-00281</t>
  </si>
  <si>
    <t>PAULA GUTIERREZ GUTIERREZ</t>
  </si>
  <si>
    <t>PAC-00282</t>
  </si>
  <si>
    <t>LORENA PIZARRO CASTRO</t>
  </si>
  <si>
    <t>PAC-00283</t>
  </si>
  <si>
    <t>PAULA FIGUEROA ARAYA</t>
  </si>
  <si>
    <t>PAC-00284</t>
  </si>
  <si>
    <t>CATALINA SANCHEZ ARAYA</t>
  </si>
  <si>
    <t>PAC-00285</t>
  </si>
  <si>
    <t>CECILIA LOPEZ GUTIERREZ</t>
  </si>
  <si>
    <t>PAC-00286</t>
  </si>
  <si>
    <t>LORENA MUÑOZ SANCHEZ</t>
  </si>
  <si>
    <t>PAC-00287</t>
  </si>
  <si>
    <t>SANDRA GONZALEZ RAMIREZ</t>
  </si>
  <si>
    <t>PAC-00288</t>
  </si>
  <si>
    <t>ROSA GUTIERREZ MARTINEZ</t>
  </si>
  <si>
    <t>PAC-00289</t>
  </si>
  <si>
    <t>CATALINA GOMEZ CARRASCO</t>
  </si>
  <si>
    <t>PAC-00290</t>
  </si>
  <si>
    <t>MONICA TORRES SEPULVEDA</t>
  </si>
  <si>
    <t>PAC-00291</t>
  </si>
  <si>
    <t>XIMENA ROJAS CASTILLO</t>
  </si>
  <si>
    <t>PAC-00292</t>
  </si>
  <si>
    <t>ROSA CASTRO NUÑEZ</t>
  </si>
  <si>
    <t>PAC-00293</t>
  </si>
  <si>
    <t>PAMELA RIVERA PIZARRO</t>
  </si>
  <si>
    <t>PAC-00294</t>
  </si>
  <si>
    <t>NATALIA RODRIGUEZ GOMEZ</t>
  </si>
  <si>
    <t>PAC-00295</t>
  </si>
  <si>
    <t>SILVIA LOPEZ FLORES</t>
  </si>
  <si>
    <t>PAC-00296</t>
  </si>
  <si>
    <t>MACARENA HERRERA NUÑEZ</t>
  </si>
  <si>
    <t>PAC-00297</t>
  </si>
  <si>
    <t>ANA TORRES VERGARA</t>
  </si>
  <si>
    <t>PAC-00298</t>
  </si>
  <si>
    <t>PAULA CASTILLO GONZALEZ</t>
  </si>
  <si>
    <t>PAC-00299</t>
  </si>
  <si>
    <t>FRANCISCA DIAZ MUÑOZ</t>
  </si>
  <si>
    <t>PAC-00300</t>
  </si>
  <si>
    <t>VALENTINA RODRIGUEZ VERGARA</t>
  </si>
  <si>
    <t>PAC-00301</t>
  </si>
  <si>
    <t>MONICA FIGUEROA SANCHEZ</t>
  </si>
  <si>
    <t>PAC-00302</t>
  </si>
  <si>
    <t>DANIELA CASTILLO GUTIERREZ</t>
  </si>
  <si>
    <t>PAC-00303</t>
  </si>
  <si>
    <t>SANDRA GUTIERREZ SOTO</t>
  </si>
  <si>
    <t>PAC-00304</t>
  </si>
  <si>
    <t>ROXANA HERRERA CARRASCO</t>
  </si>
  <si>
    <t>PAC-00305</t>
  </si>
  <si>
    <t>ANDREA LOPEZ RAMIREZ</t>
  </si>
  <si>
    <t>PAC-00306</t>
  </si>
  <si>
    <t>VALENTINA CASTRO NUÑEZ</t>
  </si>
  <si>
    <t>PAC-00307</t>
  </si>
  <si>
    <t>PATRICIA VALENZUELA SANCHEZ</t>
  </si>
  <si>
    <t>PAC-00308</t>
  </si>
  <si>
    <t>GLORIA RODRIGUEZ ALVAREZ</t>
  </si>
  <si>
    <t>PAC-00309</t>
  </si>
  <si>
    <t>MONICA CASTILLO TAPIA</t>
  </si>
  <si>
    <t>PAC-00310</t>
  </si>
  <si>
    <t>ANA SEPULVEDA ALVAREZ</t>
  </si>
  <si>
    <t>PAC-00311</t>
  </si>
  <si>
    <t>ANDREA MARTINEZ TAPIA</t>
  </si>
  <si>
    <t>PAC-00312</t>
  </si>
  <si>
    <t>PATRICIA SEPULVEDA HERNANDEZ</t>
  </si>
  <si>
    <t>PAC-00313</t>
  </si>
  <si>
    <t>XIMENA JARA REYES</t>
  </si>
  <si>
    <t>PAC-00314</t>
  </si>
  <si>
    <t>ELENA MUÑOZ ALVAREZ</t>
  </si>
  <si>
    <t>PAC-00315</t>
  </si>
  <si>
    <t>DANIELA HERRERA FUENTES</t>
  </si>
  <si>
    <t>PAC-00316</t>
  </si>
  <si>
    <t>KARINA ALVAREZ VASQUEZ</t>
  </si>
  <si>
    <t>PAC-00317</t>
  </si>
  <si>
    <t>SANDRA CASTRO RODRIGUEZ</t>
  </si>
  <si>
    <t>PAC-00318</t>
  </si>
  <si>
    <t>MONICA CASTRO ESPINOZA</t>
  </si>
  <si>
    <t>PAC-00319</t>
  </si>
  <si>
    <t>CLAUDIA MARTINEZ HERNANDEZ</t>
  </si>
  <si>
    <t>PAC-00320</t>
  </si>
  <si>
    <t>PAULA VERGARA LOPEZ</t>
  </si>
  <si>
    <t>PAC-00321</t>
  </si>
  <si>
    <t>LORENA SEPULVEDA LOPEZ</t>
  </si>
  <si>
    <t>PAC-00322</t>
  </si>
  <si>
    <t>ANDREA TORRES LOPEZ</t>
  </si>
  <si>
    <t>PAC-00323</t>
  </si>
  <si>
    <t>TAMARA GONZALEZ RIVERA</t>
  </si>
  <si>
    <t>PAC-00324</t>
  </si>
  <si>
    <t>GLORIA RIVERA CARRASCO</t>
  </si>
  <si>
    <t>PAC-00325</t>
  </si>
  <si>
    <t>TAMARA TAPIA FUENTES</t>
  </si>
  <si>
    <t>PAC-00326</t>
  </si>
  <si>
    <t>ANDREA JARA PEREZ</t>
  </si>
  <si>
    <t>PAC-00327</t>
  </si>
  <si>
    <t>PAULA ALVAREZ RIVERA</t>
  </si>
  <si>
    <t>PAC-00328</t>
  </si>
  <si>
    <t>PAMELA VALENZUELA ALVAREZ</t>
  </si>
  <si>
    <t>PAC-00329</t>
  </si>
  <si>
    <t>ELENA RIVERA MUÑOZ</t>
  </si>
  <si>
    <t>PAC-00330</t>
  </si>
  <si>
    <t>ALEJANDRA TORRES ARAYA</t>
  </si>
  <si>
    <t>PAC-00331</t>
  </si>
  <si>
    <t>G3O5</t>
  </si>
  <si>
    <t>SOLEDAD ESPINOZA RAMIREZ</t>
  </si>
  <si>
    <t>PAC-00332</t>
  </si>
  <si>
    <t>CATALINA PIZARRO REYES</t>
  </si>
  <si>
    <t>PAC-00333</t>
  </si>
  <si>
    <t>CAMILA CORTES MUÑOZ</t>
  </si>
  <si>
    <t>PAC-00334</t>
  </si>
  <si>
    <t>ISABEL VERGARA FIGUEROA</t>
  </si>
  <si>
    <t>PAC-00335</t>
  </si>
  <si>
    <t>ISABEL CASTILLO CARRASCO</t>
  </si>
  <si>
    <t>PAC-00336</t>
  </si>
  <si>
    <t>KARINA VASQUEZ CORTES</t>
  </si>
  <si>
    <t>PAC-00337</t>
  </si>
  <si>
    <t>ROSA SOTO CORTES</t>
  </si>
  <si>
    <t>PAC-00338</t>
  </si>
  <si>
    <t>PATRICIA DIAZ LOPEZ</t>
  </si>
  <si>
    <t>PAC-00339</t>
  </si>
  <si>
    <t>CATALINA CONTRERAS REYES</t>
  </si>
  <si>
    <t>PAC-00340</t>
  </si>
  <si>
    <t>GLORIA RIVERA PEREZ</t>
  </si>
  <si>
    <t>PAC-00341</t>
  </si>
  <si>
    <t>ALEJANDRA TAPIA SOTO</t>
  </si>
  <si>
    <t>PAC-00342</t>
  </si>
  <si>
    <t>ROSA JARA JARA</t>
  </si>
  <si>
    <t>PAC-00343</t>
  </si>
  <si>
    <t>ISABEL DIAZ VASQUEZ</t>
  </si>
  <si>
    <t>PAC-00344</t>
  </si>
  <si>
    <t>MONICA MUÑOZ CASTILLO</t>
  </si>
  <si>
    <t>PAC-00345</t>
  </si>
  <si>
    <t>PATRICIA RIVERA PIZARRO</t>
  </si>
  <si>
    <t>PAC-00346</t>
  </si>
  <si>
    <t>ROSA VASQUEZ ROJAS</t>
  </si>
  <si>
    <t>PAC-00347</t>
  </si>
  <si>
    <t>CAROLINA SILVA CASTRO</t>
  </si>
  <si>
    <t>PAC-00348</t>
  </si>
  <si>
    <t>PATRICIA ESPINOZA RAMIREZ</t>
  </si>
  <si>
    <t>PAC-00349</t>
  </si>
  <si>
    <t>ROXANA VASQUEZ SEPULVEDA</t>
  </si>
  <si>
    <t>PAC-00350</t>
  </si>
  <si>
    <t>ROSA VALENZUELA NUÑEZ</t>
  </si>
  <si>
    <t>PAC-00351</t>
  </si>
  <si>
    <t>MACARENA MORALES PEREZ</t>
  </si>
  <si>
    <t>PAC-00352</t>
  </si>
  <si>
    <t>ELENA FLORES TAPIA</t>
  </si>
  <si>
    <t>PAC-00353</t>
  </si>
  <si>
    <t>CECILIA VERGARA VASQUEZ</t>
  </si>
  <si>
    <t>PAC-00354</t>
  </si>
  <si>
    <t>CONSTANZA ALVAREZ SILVA</t>
  </si>
  <si>
    <t>PAC-00355</t>
  </si>
  <si>
    <t>TAMARA LOPEZ JARA</t>
  </si>
  <si>
    <t>PAC-00356</t>
  </si>
  <si>
    <t>CECILIA RODRIGUEZ NUÑEZ</t>
  </si>
  <si>
    <t>PAC-00357</t>
  </si>
  <si>
    <t>ROSA TAPIA ESPINOZA</t>
  </si>
  <si>
    <t>PAC-00358</t>
  </si>
  <si>
    <t>PATRICIA SILVA TAPIA</t>
  </si>
  <si>
    <t>PAC-00359</t>
  </si>
  <si>
    <t>ISABEL CASTRO SANCHEZ</t>
  </si>
  <si>
    <t>PAC-00360</t>
  </si>
  <si>
    <t>FRANCISCA VASQUEZ MARTINEZ</t>
  </si>
  <si>
    <t>PAC-00361</t>
  </si>
  <si>
    <t>BARBARA SANCHEZ NUÑEZ</t>
  </si>
  <si>
    <t>PAC-00362</t>
  </si>
  <si>
    <t>PAMELA PIZARRO DIAZ</t>
  </si>
  <si>
    <t>PAC-00363</t>
  </si>
  <si>
    <t>CAROLINA CARRASCO SOTO</t>
  </si>
  <si>
    <t>PAC-00364</t>
  </si>
  <si>
    <t>FRANCISCA GOMEZ VALENZUELA</t>
  </si>
  <si>
    <t>PAC-00365</t>
  </si>
  <si>
    <t>ROSA MUÑOZ RIVERA</t>
  </si>
  <si>
    <t>PAC-00366</t>
  </si>
  <si>
    <t>VALENTINA SANCHEZ HERRERA</t>
  </si>
  <si>
    <t>PAC-00367</t>
  </si>
  <si>
    <t>SANDRA FIGUEROA ROJAS</t>
  </si>
  <si>
    <t>PAC-00368</t>
  </si>
  <si>
    <t>YESENIA FIGUEROA CASTRO</t>
  </si>
  <si>
    <t>PAC-00369</t>
  </si>
  <si>
    <t>ROXANA SANCHEZ SOTO</t>
  </si>
  <si>
    <t>PAC-00370</t>
  </si>
  <si>
    <t>ALEJANDRA MORALES SOTO</t>
  </si>
  <si>
    <t>PAC-00371</t>
  </si>
  <si>
    <t>CATALINA CONTRERAS MORALES</t>
  </si>
  <si>
    <t>PAC-00372</t>
  </si>
  <si>
    <t>GLORIA FUENTES RAMIREZ</t>
  </si>
  <si>
    <t>PAC-00373</t>
  </si>
  <si>
    <t>PAULA CASTRO VERGARA</t>
  </si>
  <si>
    <t>PAC-00374</t>
  </si>
  <si>
    <t>FRANCISCA CORTES JARA</t>
  </si>
  <si>
    <t>PAC-00375</t>
  </si>
  <si>
    <t>NICOLE CARRASCO HERNANDEZ</t>
  </si>
  <si>
    <t>PAC-00376</t>
  </si>
  <si>
    <t>PAMELA NUÑEZ SOTO</t>
  </si>
  <si>
    <t>PAC-00377</t>
  </si>
  <si>
    <t>SANDRA FUENTES TAPIA</t>
  </si>
  <si>
    <t>PAC-00378</t>
  </si>
  <si>
    <t>VERONICA GOMEZ CONTRERAS</t>
  </si>
  <si>
    <t>PAC-00379</t>
  </si>
  <si>
    <t>JAVIERA REYES MARTINEZ</t>
  </si>
  <si>
    <t>PAC-00380</t>
  </si>
  <si>
    <t>NICOLE CORTES FERNANDEZ</t>
  </si>
  <si>
    <t>PAC-00381</t>
  </si>
  <si>
    <t>ANA ESPINOZA GUTIERREZ</t>
  </si>
  <si>
    <t>PAC-00382</t>
  </si>
  <si>
    <t>PAMELA VERGARA FUENTES</t>
  </si>
  <si>
    <t>PAC-00383</t>
  </si>
  <si>
    <t>JUANA GOMEZ LOPEZ</t>
  </si>
  <si>
    <t>PAC-00384</t>
  </si>
  <si>
    <t>CLAUDIA REYES DIAZ</t>
  </si>
  <si>
    <t>PAC-00385</t>
  </si>
  <si>
    <t>VERONICA HERNANDEZ NUÑEZ</t>
  </si>
  <si>
    <t>PAC-00386</t>
  </si>
  <si>
    <t>GLORIA FERNANDEZ DIAZ</t>
  </si>
  <si>
    <t>PAC-00387</t>
  </si>
  <si>
    <t>ELENA FUENTES CASTILLO</t>
  </si>
  <si>
    <t>PAC-00388</t>
  </si>
  <si>
    <t>XIMENA MORALES VASQUEZ</t>
  </si>
  <si>
    <t>PAC-00389</t>
  </si>
  <si>
    <t>MONICA SEPULVEDA HERRERA</t>
  </si>
  <si>
    <t>PAC-00390</t>
  </si>
  <si>
    <t>G6O5</t>
  </si>
  <si>
    <t>SANDRA RODRIGUEZ ROJAS</t>
  </si>
  <si>
    <t>PAC-00391</t>
  </si>
  <si>
    <t>ANA FERNANDEZ ESPINOZA</t>
  </si>
  <si>
    <t>PAC-00392</t>
  </si>
  <si>
    <t>ELENA ROJAS SANCHEZ</t>
  </si>
  <si>
    <t>PAC-00393</t>
  </si>
  <si>
    <t>TERESA SANCHEZ GUTIERREZ</t>
  </si>
  <si>
    <t>PAC-00394</t>
  </si>
  <si>
    <t>YESENIA CASTRO MUÑOZ</t>
  </si>
  <si>
    <t>PAC-00395</t>
  </si>
  <si>
    <t>ANDREA CONTRERAS HERRERA</t>
  </si>
  <si>
    <t>PAC-00396</t>
  </si>
  <si>
    <t>SOLEDAD HERRERA REYES</t>
  </si>
  <si>
    <t>PAC-00397</t>
  </si>
  <si>
    <t>MARCELA FUENTES FIGUEROA</t>
  </si>
  <si>
    <t>PAC-00398</t>
  </si>
  <si>
    <t>GLORIA MARTINEZ GONZALEZ</t>
  </si>
  <si>
    <t>PAC-00399</t>
  </si>
  <si>
    <t>TAMARA VERGARA FLORES</t>
  </si>
  <si>
    <t>PAC-00400</t>
  </si>
  <si>
    <t>ROXANA FERNANDEZ VERGARA</t>
  </si>
  <si>
    <t>PAC-00401</t>
  </si>
  <si>
    <t>CECILIA CASTRO PIZARRO</t>
  </si>
  <si>
    <t>PAC-00402</t>
  </si>
  <si>
    <t>SILVIA CARRASCO HERNANDEZ</t>
  </si>
  <si>
    <t>PAC-00403</t>
  </si>
  <si>
    <t>GLORIA MARTINEZ GOMEZ</t>
  </si>
  <si>
    <t>PAC-00404</t>
  </si>
  <si>
    <t>ANDREA FLORES RODRIGUEZ</t>
  </si>
  <si>
    <t>PAC-00405</t>
  </si>
  <si>
    <t>ALEJANDRA JARA ROJAS</t>
  </si>
  <si>
    <t>PAC-00406</t>
  </si>
  <si>
    <t>ANA VASQUEZ MORALES</t>
  </si>
  <si>
    <t>PAC-00407</t>
  </si>
  <si>
    <t>SILVIA PIZARRO TAPIA</t>
  </si>
  <si>
    <t>PAC-00408</t>
  </si>
  <si>
    <t>VALENTINA HERNANDEZ FERNANDEZ</t>
  </si>
  <si>
    <t>PAC-00409</t>
  </si>
  <si>
    <t>XIMENA CONTRERAS CARRASCO</t>
  </si>
  <si>
    <t>PAC-00410</t>
  </si>
  <si>
    <t>CATALINA VERGARA CONTRERAS</t>
  </si>
  <si>
    <t>PAC-00411</t>
  </si>
  <si>
    <t>KARINA HERRERA NUÑEZ</t>
  </si>
  <si>
    <t>PAC-00412</t>
  </si>
  <si>
    <t>MARCELA CARRASCO HERNANDEZ</t>
  </si>
  <si>
    <t>PAC-00413</t>
  </si>
  <si>
    <t>ROSA REYES CONTRERAS</t>
  </si>
  <si>
    <t>PAC-00414</t>
  </si>
  <si>
    <t>CECILIA VASQUEZ TORRES</t>
  </si>
  <si>
    <t>PAC-00415</t>
  </si>
  <si>
    <t>YESENIA SEPULVEDA FIGUEROA</t>
  </si>
  <si>
    <t>PAC-00416</t>
  </si>
  <si>
    <t>BARBARA ROJAS FERNANDEZ</t>
  </si>
  <si>
    <t>PAC-00417</t>
  </si>
  <si>
    <t>CAMILA HERNANDEZ CONTRERAS</t>
  </si>
  <si>
    <t>PAC-00418</t>
  </si>
  <si>
    <t>XIMENA RAMIREZ REYES</t>
  </si>
  <si>
    <t>PAC-00419</t>
  </si>
  <si>
    <t>ISABEL FERNANDEZ MUÑOZ</t>
  </si>
  <si>
    <t>PAC-00420</t>
  </si>
  <si>
    <t>SOLEDAD HERNANDEZ CARRASCO</t>
  </si>
  <si>
    <t>PAC-00421</t>
  </si>
  <si>
    <t>MONICA SANCHEZ GOMEZ</t>
  </si>
  <si>
    <t>PAC-00422</t>
  </si>
  <si>
    <t>FERNANDA SOTO</t>
  </si>
  <si>
    <t>YESENIA SOTO JARA</t>
  </si>
  <si>
    <t>PAC-00423</t>
  </si>
  <si>
    <t>YESENIA CASTRO TAPIA</t>
  </si>
  <si>
    <t>PAC-00424</t>
  </si>
  <si>
    <t>ig8j1</t>
  </si>
  <si>
    <t>ANA ARAYA HERNANDEZ</t>
  </si>
  <si>
    <t>PAC-00425</t>
  </si>
  <si>
    <t>YESENIA CASTRO LOPEZ</t>
  </si>
  <si>
    <t>PAC-00426</t>
  </si>
  <si>
    <t>TAMARA CASTRO TAPIA</t>
  </si>
  <si>
    <t>PAC-00427</t>
  </si>
  <si>
    <t>KARINA ARAYA ALVAREZ</t>
  </si>
  <si>
    <t>PAC-00428</t>
  </si>
  <si>
    <t>CAMILA JARA FLORES</t>
  </si>
  <si>
    <t>PAC-00429</t>
  </si>
  <si>
    <t>MONICA CASTILLO SEPULVEDA</t>
  </si>
  <si>
    <t>PAC-00430</t>
  </si>
  <si>
    <t>PATRICIA PIZARRO FUENTES</t>
  </si>
  <si>
    <t>PAC-00431</t>
  </si>
  <si>
    <t>ROSA ROJAS DIAZ</t>
  </si>
  <si>
    <t>PAC-00432</t>
  </si>
  <si>
    <t>ig8j1s</t>
  </si>
  <si>
    <t>XIMENA CASTILLO MARTINEZ</t>
  </si>
  <si>
    <t>PAC-00433</t>
  </si>
  <si>
    <t>CAMILA VALENZUELA DIAZ</t>
  </si>
  <si>
    <t>PAC-00434</t>
  </si>
  <si>
    <t>JAVIERA FIGUEROA PIZARRO</t>
  </si>
  <si>
    <t>PAC-00435</t>
  </si>
  <si>
    <t>MARIA PEREZ SOTO</t>
  </si>
  <si>
    <t>PAC-00436</t>
  </si>
  <si>
    <t>DANIELA RAMIREZ VALENZUELA</t>
  </si>
  <si>
    <t>PAC-00437</t>
  </si>
  <si>
    <t>CONSTANZA MUÑOZ ARAYA</t>
  </si>
  <si>
    <t>PAC-00438</t>
  </si>
  <si>
    <t>A1S</t>
  </si>
  <si>
    <t>CONSTANZA VALENZUELA RODRIGUEZ</t>
  </si>
  <si>
    <t>PAC-00439</t>
  </si>
  <si>
    <t>MACARENA ARAYA MORALES</t>
  </si>
  <si>
    <t>PAC-00440</t>
  </si>
  <si>
    <t>ELENA VERGARA RIVERA</t>
  </si>
  <si>
    <t>PAC-00441</t>
  </si>
  <si>
    <t>ROSA REYES ARAYA</t>
  </si>
  <si>
    <t>PAC-00442</t>
  </si>
  <si>
    <t>CLAUDIA SILVA MARTINEZ</t>
  </si>
  <si>
    <t>PAC-00443</t>
  </si>
  <si>
    <t>SOLEDAD SEPULVEDA DIAZ</t>
  </si>
  <si>
    <t>PAC-00444</t>
  </si>
  <si>
    <t>PATRICIA ESPINOZA MARTINEZ</t>
  </si>
  <si>
    <t>PAC-00445</t>
  </si>
  <si>
    <t>ELENA SANCHEZ SOTO</t>
  </si>
  <si>
    <t>PAC-00446</t>
  </si>
  <si>
    <t>MACARENA FLORES ALVAREZ</t>
  </si>
  <si>
    <t>PAC-00447</t>
  </si>
  <si>
    <t>LORENA CORTES MORALES</t>
  </si>
  <si>
    <t>PAC-00448</t>
  </si>
  <si>
    <t>PAMELA MORALES FERNANDEZ</t>
  </si>
  <si>
    <t>PAC-00449</t>
  </si>
  <si>
    <t>CAROLINA HERRERA CORTES</t>
  </si>
  <si>
    <t>PAC-00450</t>
  </si>
  <si>
    <t>CAMILA GUTIERREZ SOTO</t>
  </si>
  <si>
    <t>PAC-00451</t>
  </si>
  <si>
    <t>MONICA VERGARA VALENZUELA</t>
  </si>
  <si>
    <t>PAC-00452</t>
  </si>
  <si>
    <t>FERNANDA RAMIREZ JARA</t>
  </si>
  <si>
    <t>PAC-00453</t>
  </si>
  <si>
    <t>PAULA TORRES CASTILLO</t>
  </si>
  <si>
    <t>PAC-00454</t>
  </si>
  <si>
    <t>ALEJANDRA SILVA TAPIA</t>
  </si>
  <si>
    <t>PAC-00455</t>
  </si>
  <si>
    <t>JAVIERA CASTILLO TORRES</t>
  </si>
  <si>
    <t>PAC-00456</t>
  </si>
  <si>
    <t>VALENTINA NUÑEZ JARA</t>
  </si>
  <si>
    <t>PAC-00457</t>
  </si>
  <si>
    <t>A1O3</t>
  </si>
  <si>
    <t>CAMILA HERRERA FIGUEROA</t>
  </si>
  <si>
    <t>PAC-00458</t>
  </si>
  <si>
    <t>BARBARA VASQUEZ GOMEZ</t>
  </si>
  <si>
    <t>PAC-00459</t>
  </si>
  <si>
    <t>JUANA ARAYA NUÑEZ</t>
  </si>
  <si>
    <t>PAC-00460</t>
  </si>
  <si>
    <t>MACARENA CORTES ARAYA</t>
  </si>
  <si>
    <t>PAC-00461</t>
  </si>
  <si>
    <t>DANIELA SOTO FLORES</t>
  </si>
  <si>
    <t>PAC-00462</t>
  </si>
  <si>
    <t>ROSA HERRERA DIAZ</t>
  </si>
  <si>
    <t>PAC-00463</t>
  </si>
  <si>
    <t>CAROLINA MARTINEZ RIVERA</t>
  </si>
  <si>
    <t>PAC-00464</t>
  </si>
  <si>
    <t>MACARENA VASQUEZ HERRERA</t>
  </si>
  <si>
    <t>PAC-00465</t>
  </si>
  <si>
    <t>SOLEDAD ALVAREZ HERNANDEZ</t>
  </si>
  <si>
    <t>PAC-00466</t>
  </si>
  <si>
    <t>NICOLE SEPULVEDA LOPEZ</t>
  </si>
  <si>
    <t>PAC-00467</t>
  </si>
  <si>
    <t>MACARENA ESPINOZA FIGUEROA</t>
  </si>
  <si>
    <t>PAC-00468</t>
  </si>
  <si>
    <t>PATRICIA SANCHEZ RODRIGUEZ</t>
  </si>
  <si>
    <t>PAC-00469</t>
  </si>
  <si>
    <t>MACARENA FLORES VALENZUELA</t>
  </si>
  <si>
    <t>PAC-00470</t>
  </si>
  <si>
    <t>LORENA RODRIGUEZ GONZALEZ</t>
  </si>
  <si>
    <t>PAC-00471</t>
  </si>
  <si>
    <t>XIMENA TAPIA CARRASCO</t>
  </si>
  <si>
    <t>PAC-00472</t>
  </si>
  <si>
    <t>CAROLINA PEREZ VALENZUELA</t>
  </si>
  <si>
    <t>PAC-00473</t>
  </si>
  <si>
    <t>CATALINA CARRASCO VALENZUELA</t>
  </si>
  <si>
    <t>PAC-00474</t>
  </si>
  <si>
    <t>BARBARA RODRIGUEZ SANCHEZ</t>
  </si>
  <si>
    <t>PAC-00475</t>
  </si>
  <si>
    <t>ANDREA CASTILLO SANCHEZ</t>
  </si>
  <si>
    <t>PAC-00476</t>
  </si>
  <si>
    <t>CONSTANZA CASTILLO RODRIGUEZ</t>
  </si>
  <si>
    <t>PAC-00477</t>
  </si>
  <si>
    <t>CLAUDIA TAPIA JARA</t>
  </si>
  <si>
    <t>PAC-00478</t>
  </si>
  <si>
    <t>NATALIA REYES FUENTES</t>
  </si>
  <si>
    <t>PAC-00479</t>
  </si>
  <si>
    <t>MONICA HERRERA SEPULVEDA</t>
  </si>
  <si>
    <t>PAC-00480</t>
  </si>
  <si>
    <t>PATRICIA MARTINEZ GOMEZ</t>
  </si>
  <si>
    <t>PAC-00481</t>
  </si>
  <si>
    <t>CECILIA TORRES SANCHEZ</t>
  </si>
  <si>
    <t>PAC-00482</t>
  </si>
  <si>
    <t>CECILIA LOPEZ ARAYA</t>
  </si>
  <si>
    <t>PAC-00483</t>
  </si>
  <si>
    <t>CAMILA NUÑEZ JARA</t>
  </si>
  <si>
    <t>PAC-00484</t>
  </si>
  <si>
    <t>NICOLE SANCHEZ FERNANDEZ</t>
  </si>
  <si>
    <t>PAC-00485</t>
  </si>
  <si>
    <t>XIMENA PIZARRO ARAYA</t>
  </si>
  <si>
    <t>PAC-00486</t>
  </si>
  <si>
    <t>CAROLINA SILVA DIAZ</t>
  </si>
  <si>
    <t>PAC-00487</t>
  </si>
  <si>
    <t>ROSA VASQUEZ CASTRO</t>
  </si>
  <si>
    <t>PAC-00488</t>
  </si>
  <si>
    <t>ALEJANDRA ALVAREZ ALVAREZ</t>
  </si>
  <si>
    <t>PAC-00489</t>
  </si>
  <si>
    <t>SOLEDAD SILVA SILVA</t>
  </si>
  <si>
    <t>PAC-00490</t>
  </si>
  <si>
    <t>H1O3</t>
  </si>
  <si>
    <t>PAMELA SILVA HERRERA</t>
  </si>
  <si>
    <t>PAC-00491</t>
  </si>
  <si>
    <t>CECILIA SILVA CASTILLO</t>
  </si>
  <si>
    <t>PAC-00492</t>
  </si>
  <si>
    <t>VERONICA SOTO CASTILLO</t>
  </si>
  <si>
    <t>PAC-00493</t>
  </si>
  <si>
    <t>CATALINA FUENTES JARA</t>
  </si>
  <si>
    <t>PAC-00494</t>
  </si>
  <si>
    <t>NATALIA RAMIREZ TAPIA</t>
  </si>
  <si>
    <t>PAC-00495</t>
  </si>
  <si>
    <t>KARINA ARAYA FLORES</t>
  </si>
  <si>
    <t>PAC-00496</t>
  </si>
  <si>
    <t>MARCELA FERNANDEZ TORRES</t>
  </si>
  <si>
    <t>PAC-00497</t>
  </si>
  <si>
    <t>MONICA FIGUEROA ALVAREZ</t>
  </si>
  <si>
    <t>PAC-00498</t>
  </si>
  <si>
    <t>ISABEL FIGUEROA PIZARRO</t>
  </si>
  <si>
    <t>PAC-00499</t>
  </si>
  <si>
    <t>ANA LOPEZ MORALES</t>
  </si>
  <si>
    <t>PAC-00500</t>
  </si>
  <si>
    <t>XIMENA VERGARA HERNANDEZ</t>
  </si>
  <si>
    <t>PAC-00501</t>
  </si>
  <si>
    <t>ELENA LOPEZ VALENZUELA</t>
  </si>
  <si>
    <t>PAC-00502</t>
  </si>
  <si>
    <t>MARIA LOPEZ FUENTES</t>
  </si>
  <si>
    <t>PAC-00503</t>
  </si>
  <si>
    <t>ROSA ALVAREZ SEPULVEDA</t>
  </si>
  <si>
    <t>PAC-00504</t>
  </si>
  <si>
    <t>PAULA GONZALEZ CORTES</t>
  </si>
  <si>
    <t>PAC-00505</t>
  </si>
  <si>
    <t>CLAUDIA FLORES MUÑOZ</t>
  </si>
  <si>
    <t>PAC-00506</t>
  </si>
  <si>
    <t>TERESA JARA CASTILLO</t>
  </si>
  <si>
    <t>PAC-00507</t>
  </si>
  <si>
    <t>YESENIA SOTO MARTINEZ</t>
  </si>
  <si>
    <t>PAC-00508</t>
  </si>
  <si>
    <t>GLORIA MORALES VASQUEZ</t>
  </si>
  <si>
    <t>PAC-00509</t>
  </si>
  <si>
    <t>ANA DIAZ PEREZ</t>
  </si>
  <si>
    <t>PAC-00510</t>
  </si>
  <si>
    <t>TAMARA MORALES MARTINEZ</t>
  </si>
  <si>
    <t>PAC-00511</t>
  </si>
  <si>
    <t>ROXANA TAPIA SOTO</t>
  </si>
  <si>
    <t>PAC-00512</t>
  </si>
  <si>
    <t>KARINA FERNANDEZ RIVERA</t>
  </si>
  <si>
    <t>PAC-00513</t>
  </si>
  <si>
    <t>MARIA SILVA PIZARRO</t>
  </si>
  <si>
    <t>PAC-00514</t>
  </si>
  <si>
    <t>PATRICIA MUÑOZ VERGARA</t>
  </si>
  <si>
    <t>PAC-00515</t>
  </si>
  <si>
    <t>ELENA LOPEZ FUENTES</t>
  </si>
  <si>
    <t>PAC-00516</t>
  </si>
  <si>
    <t>TAMARA ESPINOZA SILVA</t>
  </si>
  <si>
    <t>PAC-00517</t>
  </si>
  <si>
    <t>MACARENA GONZALEZ CASTRO</t>
  </si>
  <si>
    <t>PAC-00518</t>
  </si>
  <si>
    <t>MACARENA FERNANDEZ VASQUEZ</t>
  </si>
  <si>
    <t>PAC-00519</t>
  </si>
  <si>
    <t>SILVIA MARTINEZ SEPULVEDA</t>
  </si>
  <si>
    <t>PAC-00520</t>
  </si>
  <si>
    <t>ANA NUÑEZ SILVA</t>
  </si>
  <si>
    <t>PAC-00521</t>
  </si>
  <si>
    <t>FERNANDA HERRERA FERNANDEZ</t>
  </si>
  <si>
    <t>PAC-00522</t>
  </si>
  <si>
    <t>VALENTINA GUTIERREZ GOMEZ</t>
  </si>
  <si>
    <t>PAC-00523</t>
  </si>
  <si>
    <t>ROXANA ROJAS PEREZ</t>
  </si>
  <si>
    <t>PAC-00524</t>
  </si>
  <si>
    <t>MARIA GONZALEZ FUENTES</t>
  </si>
  <si>
    <t>PAC-00525</t>
  </si>
  <si>
    <t>ANDREA MARTINEZ CORTES</t>
  </si>
  <si>
    <t>PAC-00526</t>
  </si>
  <si>
    <t>SILVIA VERGARA ALVAREZ</t>
  </si>
  <si>
    <t>PAC-00527</t>
  </si>
  <si>
    <t>TAMARA LOPEZ REYES</t>
  </si>
  <si>
    <t>PAC-00528</t>
  </si>
  <si>
    <t>NICOLE FIGUEROA FUENTES</t>
  </si>
  <si>
    <t>PAC-00529</t>
  </si>
  <si>
    <t>IG7J5S</t>
  </si>
  <si>
    <t>CONSTANZA PEREZ HERNANDEZ</t>
  </si>
  <si>
    <t>PAC-00530</t>
  </si>
  <si>
    <t>ANA GONZALEZ SILVA</t>
  </si>
  <si>
    <t>PAC-00531</t>
  </si>
  <si>
    <t>KARINA FERNANDEZ LOPEZ</t>
  </si>
  <si>
    <t>PAC-00532</t>
  </si>
  <si>
    <t>MARCELA PIZARRO VALENZUELA</t>
  </si>
  <si>
    <t>PAC-00533</t>
  </si>
  <si>
    <t>NATALIA TAPIA PIZARRO</t>
  </si>
  <si>
    <t>PAC-00534</t>
  </si>
  <si>
    <t>MARIA ROJAS CASTILLO</t>
  </si>
  <si>
    <t>PAC-00535</t>
  </si>
  <si>
    <t>CONSTANZA ALVAREZ NUÑEZ</t>
  </si>
  <si>
    <t>PAC-00536</t>
  </si>
  <si>
    <t>YESENIA TAPIA MORALES</t>
  </si>
  <si>
    <t>PAC-00537</t>
  </si>
  <si>
    <t>ELENA CORTES VERGARA</t>
  </si>
  <si>
    <t>PAC-00538</t>
  </si>
  <si>
    <t>JUANA VASQUEZ TORRES</t>
  </si>
  <si>
    <t>PAC-00539</t>
  </si>
  <si>
    <t>SANDRA FIGUEROA MARTINEZ</t>
  </si>
  <si>
    <t>PAC-00540</t>
  </si>
  <si>
    <t>ROXANA PEREZ SEPULVEDA</t>
  </si>
  <si>
    <t>PAC-00541</t>
  </si>
  <si>
    <t>ALEJANDRA CASTILLO LOPEZ</t>
  </si>
  <si>
    <t>PAC-00542</t>
  </si>
  <si>
    <t>PAULA PIZARRO ROJAS</t>
  </si>
  <si>
    <t>PAC-00543</t>
  </si>
  <si>
    <t>VALENTINA DIAZ RODRIGUEZ</t>
  </si>
  <si>
    <t>PAC-00544</t>
  </si>
  <si>
    <t>GLORIA ALVAREZ ARAYA</t>
  </si>
  <si>
    <t>PAC-00545</t>
  </si>
  <si>
    <t>MARIA ROJAS SEPULVEDA</t>
  </si>
  <si>
    <t>PAC-00546</t>
  </si>
  <si>
    <t>VALENTINA TAPIA CORTES</t>
  </si>
  <si>
    <t>PAC-00547</t>
  </si>
  <si>
    <t>CLAUDIA HERRERA MARTINEZ</t>
  </si>
  <si>
    <t>PAC-00548</t>
  </si>
  <si>
    <t>GLORIA JARA PIZARRO</t>
  </si>
  <si>
    <t>PAC-00549</t>
  </si>
  <si>
    <t>ROSA JARA ARAYA</t>
  </si>
  <si>
    <t>PAC-00550</t>
  </si>
  <si>
    <t>CAROLINA SANCHEZ ROJAS</t>
  </si>
  <si>
    <t>PAC-00551</t>
  </si>
  <si>
    <t>MARCELA RAMIREZ VERGARA</t>
  </si>
  <si>
    <t>PAC-00552</t>
  </si>
  <si>
    <t>KARINA ARAYA CORTES</t>
  </si>
  <si>
    <t>PAC-00553</t>
  </si>
  <si>
    <t>ELENA VASQUEZ ALVAREZ</t>
  </si>
  <si>
    <t>PAC-00554</t>
  </si>
  <si>
    <t>PAULA VIDAL</t>
  </si>
  <si>
    <t>FERNANDA MARTINEZ PIZARRO</t>
  </si>
  <si>
    <t>PAC-00555</t>
  </si>
  <si>
    <t>FERNANDA FIGUEROA VASQUEZ</t>
  </si>
  <si>
    <t>PAC-00556</t>
  </si>
  <si>
    <t>SANDRA GOMEZ GONZALEZ</t>
  </si>
  <si>
    <t>PAC-00557</t>
  </si>
  <si>
    <t>CATALINA HERRERA JARA</t>
  </si>
  <si>
    <t>PAC-00558</t>
  </si>
  <si>
    <t>ISABEL ESPINOZA VALENZUELA</t>
  </si>
  <si>
    <t>PAC-00559</t>
  </si>
  <si>
    <t>ISABEL PEREZ FIGUEROA</t>
  </si>
  <si>
    <t>PAC-00560</t>
  </si>
  <si>
    <t>SILVIA MARTINEZ VASQUEZ</t>
  </si>
  <si>
    <t>PAC-00561</t>
  </si>
  <si>
    <t>MONICA MARTINEZ NUÑEZ</t>
  </si>
  <si>
    <t>PAC-00562</t>
  </si>
  <si>
    <t>MONICA ESPINOZA PIZARRO</t>
  </si>
  <si>
    <t>PAC-00563</t>
  </si>
  <si>
    <t>MONICA MARTINEZ CARRASCO</t>
  </si>
  <si>
    <t>PAC-00564</t>
  </si>
  <si>
    <t>CAMILA FLORES CASTILLO</t>
  </si>
  <si>
    <t>PAC-00565</t>
  </si>
  <si>
    <t>LORENA MUÑOZ VALENZUELA</t>
  </si>
  <si>
    <t>PAC-00566</t>
  </si>
  <si>
    <t>YESENIA RAMIREZ SEPULVEDA</t>
  </si>
  <si>
    <t>PAC-00567</t>
  </si>
  <si>
    <t>ANA CASTRO MORALES</t>
  </si>
  <si>
    <t>PAC-00568</t>
  </si>
  <si>
    <t>MARIA CORTES CORTES</t>
  </si>
  <si>
    <t>PAC-00569</t>
  </si>
  <si>
    <t>CLAUDIA GOMEZ FLORES</t>
  </si>
  <si>
    <t>PAC-00570</t>
  </si>
  <si>
    <t>KARINA SANCHEZ SOTO</t>
  </si>
  <si>
    <t>PAC-00571</t>
  </si>
  <si>
    <t>XIMENA RAMIREZ CONTRERAS</t>
  </si>
  <si>
    <t>PAC-00572</t>
  </si>
  <si>
    <t>G3J2O5</t>
  </si>
  <si>
    <t>MARCELA REYES NUÑEZ</t>
  </si>
  <si>
    <t>PAC-00573</t>
  </si>
  <si>
    <t>GLORIA VASQUEZ RIVERA</t>
  </si>
  <si>
    <t>PAC-00574</t>
  </si>
  <si>
    <t>YESENIA VERGARA FUENTES</t>
  </si>
  <si>
    <t>PAC-00575</t>
  </si>
  <si>
    <t>ANDREA SEPULVEDA HERNANDEZ</t>
  </si>
  <si>
    <t>PAC-00576</t>
  </si>
  <si>
    <t>ISABEL MUÑOZ HERRERA</t>
  </si>
  <si>
    <t>PAC-00577</t>
  </si>
  <si>
    <t>MARCELA GOMEZ LOPEZ</t>
  </si>
  <si>
    <t>PAC-00578</t>
  </si>
  <si>
    <t>PAULA SILVA CARRASCO</t>
  </si>
  <si>
    <t>PAC-00579</t>
  </si>
  <si>
    <t>VERONICA CASTRO JARA</t>
  </si>
  <si>
    <t>PAC-00580</t>
  </si>
  <si>
    <t>ROXANA TAPIA VALENZUELA</t>
  </si>
  <si>
    <t>PAC-00581</t>
  </si>
  <si>
    <t>JAVIERA CASTRO FERNANDEZ</t>
  </si>
  <si>
    <t>PAC-00582</t>
  </si>
  <si>
    <t>VERONICA ALVAREZ CONTRERAS</t>
  </si>
  <si>
    <t>PAC-00583</t>
  </si>
  <si>
    <t>PATRICIA TORRES MARTINEZ</t>
  </si>
  <si>
    <t>PAC-00584</t>
  </si>
  <si>
    <t>MONICA ROJAS NUÑEZ</t>
  </si>
  <si>
    <t>PAC-00585</t>
  </si>
  <si>
    <t>DANIELA TAPIA GUTIERREZ</t>
  </si>
  <si>
    <t>PAC-00586</t>
  </si>
  <si>
    <t>ELENA CARRASCO CORTES</t>
  </si>
  <si>
    <t>PAC-00587</t>
  </si>
  <si>
    <t>NICOLE ESPINOZA CORTES</t>
  </si>
  <si>
    <t>PAC-00588</t>
  </si>
  <si>
    <t>PAMELA VERGARA FERNANDEZ</t>
  </si>
  <si>
    <t>PAC-00589</t>
  </si>
  <si>
    <t>FERNANDA LOPEZ LOPEZ</t>
  </si>
  <si>
    <t>PAC-00590</t>
  </si>
  <si>
    <t>LORENA MUÑOZ VERGARA</t>
  </si>
  <si>
    <t>PAC-00591</t>
  </si>
  <si>
    <t>SANDRA SANCHEZ SILVA</t>
  </si>
  <si>
    <t>PAC-00592</t>
  </si>
  <si>
    <t>SANDRA SILVA ALVAREZ</t>
  </si>
  <si>
    <t>PAC-00593</t>
  </si>
  <si>
    <t>ANA FUENTES CASTILLO</t>
  </si>
  <si>
    <t>PAC-00594</t>
  </si>
  <si>
    <t>CONSTANZA MORALES MUÑOZ</t>
  </si>
  <si>
    <t>PAC-00595</t>
  </si>
  <si>
    <t>G305</t>
  </si>
  <si>
    <t>ALEJANDRA SILVA RIVERA</t>
  </si>
  <si>
    <t>PAC-00596</t>
  </si>
  <si>
    <t>CONSTANZA MORALES CONTRERAS</t>
  </si>
  <si>
    <t>PAC-00597</t>
  </si>
  <si>
    <t>KARINA SEPULVEDA CONTRERAS</t>
  </si>
  <si>
    <t>PAC-00598</t>
  </si>
  <si>
    <t>JAVIERA SEPULVEDA NUÑEZ</t>
  </si>
  <si>
    <t>PAC-00599</t>
  </si>
  <si>
    <t>NICOLE FIGUEROA PEREZ</t>
  </si>
  <si>
    <t>PAC-00600</t>
  </si>
  <si>
    <t>JAVIERA TAPIA CARRASCO</t>
  </si>
  <si>
    <t>PAC-00601</t>
  </si>
  <si>
    <t>ALEJANDRA GUTIERREZ VALENZUELA</t>
  </si>
  <si>
    <t>PAC-00602</t>
  </si>
  <si>
    <t>TERESA CONTRERAS RAMIREZ</t>
  </si>
  <si>
    <t>PAC-00603</t>
  </si>
  <si>
    <t>SOLEDAD GUTIERREZ CASTRO</t>
  </si>
  <si>
    <t>PAC-00604</t>
  </si>
  <si>
    <t>SOLEDAD JARA FUENTES</t>
  </si>
  <si>
    <t>PAC-00605</t>
  </si>
  <si>
    <t>JUANA GOMEZ FLORES</t>
  </si>
  <si>
    <t>PAC-00606</t>
  </si>
  <si>
    <t>MARCELA MARTINEZ SANCHEZ</t>
  </si>
  <si>
    <t>PAC-00607</t>
  </si>
  <si>
    <t>LORENA DIAZ FLORES</t>
  </si>
  <si>
    <t>PAC-00608</t>
  </si>
  <si>
    <t>MARIA REYES VASQUEZ</t>
  </si>
  <si>
    <t>PAC-00609</t>
  </si>
  <si>
    <t>KARINA CARRASCO CASTILLO</t>
  </si>
  <si>
    <t>PAC-00610</t>
  </si>
  <si>
    <t>CAMILA HERRERA MUÑOZ</t>
  </si>
  <si>
    <t>PAC-00611</t>
  </si>
  <si>
    <t>NICOLE ARAYA RAMIREZ</t>
  </si>
  <si>
    <t>PAC-00612</t>
  </si>
  <si>
    <t>ISABEL FLORES TAPIA</t>
  </si>
  <si>
    <t>PAC-00613</t>
  </si>
  <si>
    <t>ALEJANDRA SANCHEZ ROJAS</t>
  </si>
  <si>
    <t>PAC-00614</t>
  </si>
  <si>
    <t>ELENA SANCHEZ VASQUEZ</t>
  </si>
  <si>
    <t>PAC-00615</t>
  </si>
  <si>
    <t>PAULA FIGUEROA HERNANDEZ</t>
  </si>
  <si>
    <t>PAC-00616</t>
  </si>
  <si>
    <t>SOLEDAD ESPINOZA PIZARRO</t>
  </si>
  <si>
    <t>PAC-00617</t>
  </si>
  <si>
    <t>ALEJANDRA CASTILLO RAMIREZ</t>
  </si>
  <si>
    <t>PAC-00618</t>
  </si>
  <si>
    <t>SOLEDAD CORTES HERRERA</t>
  </si>
  <si>
    <t>PAC-00619</t>
  </si>
  <si>
    <t>KARINA MORALES RODRIGUEZ</t>
  </si>
  <si>
    <t>PAC-00620</t>
  </si>
  <si>
    <t>ANDREA GOMEZ LOPEZ</t>
  </si>
  <si>
    <t>PAC-00621</t>
  </si>
  <si>
    <t>PAULA DIAZ MARTINEZ</t>
  </si>
  <si>
    <t>PAC-00622</t>
  </si>
  <si>
    <t>MARCELA PIZARRO NUÑEZ</t>
  </si>
  <si>
    <t>PAC-00623</t>
  </si>
  <si>
    <t>MONICA GOMEZ MORALES</t>
  </si>
  <si>
    <t>PAC-00624</t>
  </si>
  <si>
    <t>SANDRA CONTRERAS MORALES</t>
  </si>
  <si>
    <t>PAC-00625</t>
  </si>
  <si>
    <t>PATRICIA ROJAS VERGARA</t>
  </si>
  <si>
    <t>PAC-00626</t>
  </si>
  <si>
    <t>DANIELA VALENZUELA GONZALEZ</t>
  </si>
  <si>
    <t>PAC-00627</t>
  </si>
  <si>
    <t>PAMELA ARAYA CORTES</t>
  </si>
  <si>
    <t>PAC-00628</t>
  </si>
  <si>
    <t>NICOLE GOMEZ LOPEZ</t>
  </si>
  <si>
    <t>PAC-00629</t>
  </si>
  <si>
    <t>PAULA FUENTES ALVAREZ</t>
  </si>
  <si>
    <t>PAC-00630</t>
  </si>
  <si>
    <t>PATRICIA TORRES VERGARA</t>
  </si>
  <si>
    <t>PAC-00631</t>
  </si>
  <si>
    <t>ELENA CORTES CONTRERAS</t>
  </si>
  <si>
    <t>PAC-00632</t>
  </si>
  <si>
    <t>MARIA SANCHEZ CORTES</t>
  </si>
  <si>
    <t>PAC-00633</t>
  </si>
  <si>
    <t>YESENIA JARA MUÑOZ</t>
  </si>
  <si>
    <t>PAC-00634</t>
  </si>
  <si>
    <t>CONSTANZA RAMIREZ SILVA</t>
  </si>
  <si>
    <t>PAC-00635</t>
  </si>
  <si>
    <t>TERESA RAMIREZ MUÑOZ</t>
  </si>
  <si>
    <t>PAC-00636</t>
  </si>
  <si>
    <t>KARINA GUTIERREZ GOMEZ</t>
  </si>
  <si>
    <t>PAC-00637</t>
  </si>
  <si>
    <t>GLORIA LOPEZ GOMEZ</t>
  </si>
  <si>
    <t>PAC-00638</t>
  </si>
  <si>
    <t>CAMILA SEPULVEDA MORALES</t>
  </si>
  <si>
    <t>PAC-00639</t>
  </si>
  <si>
    <t>CAROLINA DIAZ TAPIA</t>
  </si>
  <si>
    <t>PAC-00640</t>
  </si>
  <si>
    <t>SILVIA VASQUEZ CARRASCO</t>
  </si>
  <si>
    <t>PAC-00641</t>
  </si>
  <si>
    <t>MARIA RAMIREZ PIZARRO</t>
  </si>
  <si>
    <t>PAC-00642</t>
  </si>
  <si>
    <t>VERONICA TORRES PIZARRO</t>
  </si>
  <si>
    <t>PAC-00643</t>
  </si>
  <si>
    <t>FERNANDA RODRIGUEZ FUENTES</t>
  </si>
  <si>
    <t>PAC-00644</t>
  </si>
  <si>
    <t>ANA SANCHEZ SILVA</t>
  </si>
  <si>
    <t>PAC-00645</t>
  </si>
  <si>
    <t>ROXANA VERGARA TORRES</t>
  </si>
  <si>
    <t>PAC-00646</t>
  </si>
  <si>
    <t>CECILIA MUÑOZ ROJAS</t>
  </si>
  <si>
    <t>PAC-00647</t>
  </si>
  <si>
    <t>SILVIA DIAZ MARTINEZ</t>
  </si>
  <si>
    <t>PAC-00648</t>
  </si>
  <si>
    <t>MARCELA VASQUEZ GUTIERREZ</t>
  </si>
  <si>
    <t>PAC-00649</t>
  </si>
  <si>
    <t>SOLEDAD DIAZ CONTRERAS</t>
  </si>
  <si>
    <t>PAC-00650</t>
  </si>
  <si>
    <t>LORENA DIAZ DIAZ</t>
  </si>
  <si>
    <t>PAC-00651</t>
  </si>
  <si>
    <t>YESENIA ARAYA FIGUEROA</t>
  </si>
  <si>
    <t>PAC-00652</t>
  </si>
  <si>
    <t>DANIELA VASQUEZ CORTES</t>
  </si>
  <si>
    <t>PAC-00653</t>
  </si>
  <si>
    <t>CLAUDIA ALVAREZ REYES</t>
  </si>
  <si>
    <t>PAC-00654</t>
  </si>
  <si>
    <t>H1J1O3</t>
  </si>
  <si>
    <t>CECILIA CONTRERAS FUENTES</t>
  </si>
  <si>
    <t>PAC-00655</t>
  </si>
  <si>
    <t>JUANA CORTES ALVAREZ</t>
  </si>
  <si>
    <t>PAC-00656</t>
  </si>
  <si>
    <t>ROSA FUENTES SOTO</t>
  </si>
  <si>
    <t>PAC-00657</t>
  </si>
  <si>
    <t>MARCELA CARRASCO HERRERA</t>
  </si>
  <si>
    <t>PAC-00658</t>
  </si>
  <si>
    <t>ISABEL MORALES GONZALEZ</t>
  </si>
  <si>
    <t>PAC-00659</t>
  </si>
  <si>
    <t>NICOLE GONZALEZ RAMIREZ</t>
  </si>
  <si>
    <t>PAC-00660</t>
  </si>
  <si>
    <t>ALEJANDRA CASTRO GOMEZ</t>
  </si>
  <si>
    <t>PAC-00661</t>
  </si>
  <si>
    <t>MONICA FIGUEROA HERNANDEZ</t>
  </si>
  <si>
    <t>PAC-00662</t>
  </si>
  <si>
    <t>MONICA TORRES HERRERA</t>
  </si>
  <si>
    <t>PAC-00663</t>
  </si>
  <si>
    <t>ALEJANDRA HERRERA FUENTES</t>
  </si>
  <si>
    <t>PAC-00664</t>
  </si>
  <si>
    <t>PAULA HERRERA CASTILLO</t>
  </si>
  <si>
    <t>PAC-00665</t>
  </si>
  <si>
    <t>NICOLE FERNANDEZ GUTIERREZ</t>
  </si>
  <si>
    <t>PAC-00666</t>
  </si>
  <si>
    <t>NATALIA HERRERA DIAZ</t>
  </si>
  <si>
    <t>PAC-00667</t>
  </si>
  <si>
    <t>ROXANA VALENZUELA CARRASCO</t>
  </si>
  <si>
    <t>PAC-00668</t>
  </si>
  <si>
    <t>SILVIA ESPINOZA MORALES</t>
  </si>
  <si>
    <t>PAC-00669</t>
  </si>
  <si>
    <t>KARINA RODRIGUEZ GOMEZ</t>
  </si>
  <si>
    <t>PAC-00670</t>
  </si>
  <si>
    <t>ALEJANDRA MUÑOZ RIVERA</t>
  </si>
  <si>
    <t>PAC-00671</t>
  </si>
  <si>
    <t>FERNANDA CASTRO CARRASCO</t>
  </si>
  <si>
    <t>PAC-00672</t>
  </si>
  <si>
    <t>DANIELA RODRIGUEZ ROJAS</t>
  </si>
  <si>
    <t>PAC-00673</t>
  </si>
  <si>
    <t>ANDREA RODRIGUEZ CASTRO</t>
  </si>
  <si>
    <t>PAC-00674</t>
  </si>
  <si>
    <t>VERONICA SILVA FERNANDEZ</t>
  </si>
  <si>
    <t>PAC-00675</t>
  </si>
  <si>
    <t>VALENTINA DIAZ FERNANDEZ</t>
  </si>
  <si>
    <t>PAC-00676</t>
  </si>
  <si>
    <t>PATRICIA CASTRO HERNANDEZ</t>
  </si>
  <si>
    <t>PAC-00677</t>
  </si>
  <si>
    <t>ISABEL SANCHEZ ARAYA</t>
  </si>
  <si>
    <t>PAC-00678</t>
  </si>
  <si>
    <t>MARCELA FIGUEROA REYES</t>
  </si>
  <si>
    <t>PAC-00679</t>
  </si>
  <si>
    <t>KARINA JARA GUTIERREZ</t>
  </si>
  <si>
    <t>PAC-00680</t>
  </si>
  <si>
    <t>LORENA ROJAS ALVAREZ</t>
  </si>
  <si>
    <t>PAC-00681</t>
  </si>
  <si>
    <t>PAMELA RAMIREZ FUENTES</t>
  </si>
  <si>
    <t>PAC-00682</t>
  </si>
  <si>
    <t>DANIELA HERNANDEZ CASTRO</t>
  </si>
  <si>
    <t>PAC-00683</t>
  </si>
  <si>
    <t>ROXANA SILVA MORALES</t>
  </si>
  <si>
    <t>PAC-00684</t>
  </si>
  <si>
    <t>NICOLE FUENTES VERGARA</t>
  </si>
  <si>
    <t>PAC-00685</t>
  </si>
  <si>
    <t>GLORIA MORALES GONZALEZ</t>
  </si>
  <si>
    <t>PAC-00686</t>
  </si>
  <si>
    <t>LORENA MUÑOZ PEREZ</t>
  </si>
  <si>
    <t>PAC-00687</t>
  </si>
  <si>
    <t>MONICA GUTIERREZ RODRIGUEZ</t>
  </si>
  <si>
    <t>PAC-00688</t>
  </si>
  <si>
    <t>JUANA RAMIREZ PIZARRO</t>
  </si>
  <si>
    <t>PAC-00689</t>
  </si>
  <si>
    <t>ELENA FLORES DIAZ</t>
  </si>
  <si>
    <t>PAC-00690</t>
  </si>
  <si>
    <t>NICOLE RIVERA GONZALEZ</t>
  </si>
  <si>
    <t>PAC-00691</t>
  </si>
  <si>
    <t>ROXANA CORTES GONZALEZ</t>
  </si>
  <si>
    <t>PAC-00692</t>
  </si>
  <si>
    <t>VERONICA RODRIGUEZ RODRIGUEZ</t>
  </si>
  <si>
    <t>PAC-00693</t>
  </si>
  <si>
    <t>MACARENA ALVAREZ VERGARA</t>
  </si>
  <si>
    <t>PAC-00694</t>
  </si>
  <si>
    <t>NICOLE SEPULVEDA FUENTES</t>
  </si>
  <si>
    <t>PAC-00695</t>
  </si>
  <si>
    <t>ANA RAMIREZ ALVAREZ</t>
  </si>
  <si>
    <t>PAC-00696</t>
  </si>
  <si>
    <t>VALENTINA HERNANDEZ VALENZUELA</t>
  </si>
  <si>
    <t>PAC-00697</t>
  </si>
  <si>
    <t>SANDRA MUÑOZ GOMEZ</t>
  </si>
  <si>
    <t>PAC-00698</t>
  </si>
  <si>
    <t>CLAUDIA REYES ESPINOZA</t>
  </si>
  <si>
    <t>PAC-00699</t>
  </si>
  <si>
    <t>SILVIA ARAYA MORALES</t>
  </si>
  <si>
    <t>PAC-00700</t>
  </si>
  <si>
    <t>YESENIA MUÑOZ FUENTES</t>
  </si>
  <si>
    <t>PAC-00701</t>
  </si>
  <si>
    <t>MACARENA GUTIERREZ CASTILLO</t>
  </si>
  <si>
    <t>PAC-00702</t>
  </si>
  <si>
    <t>NATALIA VASQUEZ CORTES</t>
  </si>
  <si>
    <t>PAC-00703</t>
  </si>
  <si>
    <t>VERONICA MUÑOZ PEREZ</t>
  </si>
  <si>
    <t>PAC-00704</t>
  </si>
  <si>
    <t>KARINA ALVAREZ CORTES</t>
  </si>
  <si>
    <t>PAC-00705</t>
  </si>
  <si>
    <t>GLORIA FLORES FIGUEROA</t>
  </si>
  <si>
    <t>PAC-00706</t>
  </si>
  <si>
    <t>DANIELA ROJAS MORALES</t>
  </si>
  <si>
    <t>PAC-00707</t>
  </si>
  <si>
    <t>CAMILA HERRERA VASQUEZ</t>
  </si>
  <si>
    <t>PAC-00708</t>
  </si>
  <si>
    <t>CONSTANZA FIGUEROA GONZALEZ</t>
  </si>
  <si>
    <t>PAC-00709</t>
  </si>
  <si>
    <t>ANDREA MORALES FLORES</t>
  </si>
  <si>
    <t>PAC-00710</t>
  </si>
  <si>
    <t>ALEJANDRA MARTINEZ RAMIREZ</t>
  </si>
  <si>
    <t>PAC-00711</t>
  </si>
  <si>
    <t>FERNANDA FLORES TAPIA</t>
  </si>
  <si>
    <t>PAC-00712</t>
  </si>
  <si>
    <t>TERESA CASTILLO MARTINEZ</t>
  </si>
  <si>
    <t>PAC-00713</t>
  </si>
  <si>
    <t>PAULA SILVA RIVERA</t>
  </si>
  <si>
    <t>PAC-00714</t>
  </si>
  <si>
    <t>BARBARA RAMIREZ SOTO</t>
  </si>
  <si>
    <t>PAC-00715</t>
  </si>
  <si>
    <t>NATALIA FLORES RIVERA</t>
  </si>
  <si>
    <t>PAC-00716</t>
  </si>
  <si>
    <t>ROSA FIGUEROA GONZALEZ</t>
  </si>
  <si>
    <t>PAC-00717</t>
  </si>
  <si>
    <t>KARINA RODRIGUEZ CASTRO</t>
  </si>
  <si>
    <t>PAC-00718</t>
  </si>
  <si>
    <t>VERONICA RIVERA VERGARA</t>
  </si>
  <si>
    <t>PAC-00719</t>
  </si>
  <si>
    <t>ANA FIGUEROA RAMIREZ</t>
  </si>
  <si>
    <t>PAC-00720</t>
  </si>
  <si>
    <t>JAVIERA CONTRERAS CASTILLO</t>
  </si>
  <si>
    <t>PAC-00721</t>
  </si>
  <si>
    <t>KARINA PEREZ CARRASCO</t>
  </si>
  <si>
    <t>PAC-00722</t>
  </si>
  <si>
    <t>YESENIA RIVERA SANCHEZ</t>
  </si>
  <si>
    <t>PAC-00723</t>
  </si>
  <si>
    <t>VALENTINA MUÑOZ MORALES</t>
  </si>
  <si>
    <t>PAC-00724</t>
  </si>
  <si>
    <t>NICOLE RIVERA FIGUEROA</t>
  </si>
  <si>
    <t>PAC-00725</t>
  </si>
  <si>
    <t>FERNANDA TAPIA VERGARA</t>
  </si>
  <si>
    <t>PAC-00726</t>
  </si>
  <si>
    <t>VERONICA RODRIGUEZ GOMEZ</t>
  </si>
  <si>
    <t>PAC-00727</t>
  </si>
  <si>
    <t>MARIA TORRES DIAZ</t>
  </si>
  <si>
    <t>PAC-00728</t>
  </si>
  <si>
    <t>NATALIA JARA CONTRERAS</t>
  </si>
  <si>
    <t>PAC-00729</t>
  </si>
  <si>
    <t>SOLEDAD TAPIA RIVERA</t>
  </si>
  <si>
    <t>PAC-00730</t>
  </si>
  <si>
    <t>MONICA ROJAS GONZALEZ</t>
  </si>
  <si>
    <t>PAC-00731</t>
  </si>
  <si>
    <t>CECILIA MUÑOZ CONTRERAS</t>
  </si>
  <si>
    <t>PAC-00732</t>
  </si>
  <si>
    <t>MACARENA CONTRERAS RODRIGUEZ</t>
  </si>
  <si>
    <t>PAC-00733</t>
  </si>
  <si>
    <t>JUANA FERNANDEZ CARRASCO</t>
  </si>
  <si>
    <t>PAC-00734</t>
  </si>
  <si>
    <t>JAVIERA MUÑOZ VASQUEZ</t>
  </si>
  <si>
    <t>PAC-00735</t>
  </si>
  <si>
    <t>MARIA CISTERNA</t>
  </si>
  <si>
    <t>PAMELA ARAYA VASQUEZ</t>
  </si>
  <si>
    <t>PAC-00736</t>
  </si>
  <si>
    <t>NICOLE NUÑEZ HERRERA</t>
  </si>
  <si>
    <t>PAC-00737</t>
  </si>
  <si>
    <t>KARINA ARAYA HERRERA</t>
  </si>
  <si>
    <t>PAC-00738</t>
  </si>
  <si>
    <t>CECILIA MARTINEZ CARRASCO</t>
  </si>
  <si>
    <t>PAC-00739</t>
  </si>
  <si>
    <t>NATALIA SOTO ALVAREZ</t>
  </si>
  <si>
    <t>PAC-00740</t>
  </si>
  <si>
    <t>TAMARA VERGARA HERNANDEZ</t>
  </si>
  <si>
    <t>PAC-00741</t>
  </si>
  <si>
    <t>CAROLINA SILVA REYES</t>
  </si>
  <si>
    <t>PAC-00742</t>
  </si>
  <si>
    <t>CECILIA CASTILLO ALVAREZ</t>
  </si>
  <si>
    <t>PAC-00743</t>
  </si>
  <si>
    <t>GLORIA PIZARRO FUENTES</t>
  </si>
  <si>
    <t>PAC-00744</t>
  </si>
  <si>
    <t>JUANA VALENZUELA RODRIGUEZ</t>
  </si>
  <si>
    <t>PAC-00745</t>
  </si>
  <si>
    <t>ELENA SOTO SANCHEZ</t>
  </si>
  <si>
    <t>PAC-00746</t>
  </si>
  <si>
    <t>VALENTINA FERNANDEZ TAPIA</t>
  </si>
  <si>
    <t>PAC-00747</t>
  </si>
  <si>
    <t>BARBARA PIZARRO HERNANDEZ</t>
  </si>
  <si>
    <t>PAC-00748</t>
  </si>
  <si>
    <t>MACARENA MUÑOZ CARRASCO</t>
  </si>
  <si>
    <t>PAC-00749</t>
  </si>
  <si>
    <t>CATALINA VASQUEZ SOTO</t>
  </si>
  <si>
    <t>PAC-00750</t>
  </si>
  <si>
    <t>XIMENA SANCHEZ MORALES</t>
  </si>
  <si>
    <t>PAC-00751</t>
  </si>
  <si>
    <t>ISABEL HERRERA NUÑEZ</t>
  </si>
  <si>
    <t>PAC-00752</t>
  </si>
  <si>
    <t>NICOLE TORRES FIGUEROA</t>
  </si>
  <si>
    <t>PAC-00753</t>
  </si>
  <si>
    <t>CLAUDIA CONTRERAS CARRASCO</t>
  </si>
  <si>
    <t>PAC-00754</t>
  </si>
  <si>
    <t>ANDREA VASQUEZ ALVAREZ</t>
  </si>
  <si>
    <t>PAC-00755</t>
  </si>
  <si>
    <t>LORENA SOTO FLORES</t>
  </si>
  <si>
    <t>PAC-00756</t>
  </si>
  <si>
    <t>FERNANDA PEREZ FERNANDEZ</t>
  </si>
  <si>
    <t>PAC-00757</t>
  </si>
  <si>
    <t>SPOTING</t>
  </si>
  <si>
    <t>GLORIA RIVERA VERGARA</t>
  </si>
  <si>
    <t>PAC-00758</t>
  </si>
  <si>
    <t>FRANCISCA SEPULVEDA MUÑOZ</t>
  </si>
  <si>
    <t>PAC-00759</t>
  </si>
  <si>
    <t>1G8J1</t>
  </si>
  <si>
    <t>FERNANDA SILVA DIAZ</t>
  </si>
  <si>
    <t>PAC-00760</t>
  </si>
  <si>
    <t>TERESA REYES PEREZ</t>
  </si>
  <si>
    <t>PAC-00761</t>
  </si>
  <si>
    <t>CAMILA SANCHEZ RODRIGUEZ</t>
  </si>
  <si>
    <t>PAC-00762</t>
  </si>
  <si>
    <t>ROXANA JARA VALENZUELA</t>
  </si>
  <si>
    <t>PAC-00763</t>
  </si>
  <si>
    <t>GLORIA TAPIA VASQUEZ</t>
  </si>
  <si>
    <t>PAC-00764</t>
  </si>
  <si>
    <t>CAMILA ESPINOZA MORALES</t>
  </si>
  <si>
    <t>PAC-00765</t>
  </si>
  <si>
    <t>SILVIA MUÑOZ RODRIGUEZ</t>
  </si>
  <si>
    <t>PAC-00766</t>
  </si>
  <si>
    <t>CLAUDIA MARTINEZ RIVERA</t>
  </si>
  <si>
    <t>PAC-00767</t>
  </si>
  <si>
    <t>FRANCISCA CONTRERAS HERNANDEZ</t>
  </si>
  <si>
    <t>PAC-00768</t>
  </si>
  <si>
    <t>ROXANA CARRASCO FERNANDEZ</t>
  </si>
  <si>
    <t>PAC-00769</t>
  </si>
  <si>
    <t>ISABEL CORTES FERNANDEZ</t>
  </si>
  <si>
    <t>PAC-00770</t>
  </si>
  <si>
    <t>MONICA CASTILLO TORRES</t>
  </si>
  <si>
    <t>PAC-00771</t>
  </si>
  <si>
    <t>MARIA FLORES HERRERA</t>
  </si>
  <si>
    <t>PAC-00772</t>
  </si>
  <si>
    <t>TAMARA FERNANDEZ ARAYA</t>
  </si>
  <si>
    <t>PAC-00773</t>
  </si>
  <si>
    <t>MARIA CORTES JARA</t>
  </si>
  <si>
    <t>PAC-00774</t>
  </si>
  <si>
    <t>JUANA VALENZUELA ROJAS</t>
  </si>
  <si>
    <t>PAC-00775</t>
  </si>
  <si>
    <t>CAROLINA PEREZ DIAZ</t>
  </si>
  <si>
    <t>PAC-00776</t>
  </si>
  <si>
    <t>ISABEL FUENTES RODRIGUEZ</t>
  </si>
  <si>
    <t>PAC-00777</t>
  </si>
  <si>
    <t>ROSA GUTIERREZ PIZARRO</t>
  </si>
  <si>
    <t>PAC-00778</t>
  </si>
  <si>
    <t>MONICA ARAYA PEREZ</t>
  </si>
  <si>
    <t>PAC-00779</t>
  </si>
  <si>
    <t>PAULA ALVAREZ HERRERA</t>
  </si>
  <si>
    <t>PAC-00780</t>
  </si>
  <si>
    <t>FRANCISCA MARTINEZ RIVERA</t>
  </si>
  <si>
    <t>PAC-00781</t>
  </si>
  <si>
    <t>CECILIA PEREZ HERRERA</t>
  </si>
  <si>
    <t>PAC-00782</t>
  </si>
  <si>
    <t>TERESA CASTILLO SANCHEZ</t>
  </si>
  <si>
    <t>PAC-00783</t>
  </si>
  <si>
    <t>FRANCISCA GONZALEZ FUENTES</t>
  </si>
  <si>
    <t>PAC-00784</t>
  </si>
  <si>
    <t>FRANCISCA PIZARRO FLORES</t>
  </si>
  <si>
    <t>PAC-00785</t>
  </si>
  <si>
    <t>CECILIA ARAYA MARTINEZ</t>
  </si>
  <si>
    <t>PAC-00786</t>
  </si>
  <si>
    <t>G5O5</t>
  </si>
  <si>
    <t>JUANA SOTO GOMEZ</t>
  </si>
  <si>
    <t>PAC-00787</t>
  </si>
  <si>
    <t>SANDRA MUÑOZ ARAYA</t>
  </si>
  <si>
    <t>PAC-00788</t>
  </si>
  <si>
    <t>PAMELA GUTIERREZ HERRERA</t>
  </si>
  <si>
    <t>PAC-00789</t>
  </si>
  <si>
    <t>JUANA ALVAREZ SILVA</t>
  </si>
  <si>
    <t>PAC-00790</t>
  </si>
  <si>
    <t>ROXANA LOPEZ MARTINEZ</t>
  </si>
  <si>
    <t>PAC-00791</t>
  </si>
  <si>
    <t>TERESA RODRIGUEZ RIVERA</t>
  </si>
  <si>
    <t>PAC-00792</t>
  </si>
  <si>
    <t>CLAUDIA HERNANDEZ MARTINEZ</t>
  </si>
  <si>
    <t>PAC-00793</t>
  </si>
  <si>
    <t>FERNANDA PIZARRO RODRIGUEZ</t>
  </si>
  <si>
    <t>PAC-00794</t>
  </si>
  <si>
    <t>KARINA SANCHEZ MORALES</t>
  </si>
  <si>
    <t>PAC-00795</t>
  </si>
  <si>
    <t>XIMENA MORALES LOPEZ</t>
  </si>
  <si>
    <t>PAC-00796</t>
  </si>
  <si>
    <t>VERONICA HERRERA ROJAS</t>
  </si>
  <si>
    <t>PAC-00797</t>
  </si>
  <si>
    <t>FRANCISCA HERNANDEZ MUÑOZ</t>
  </si>
  <si>
    <t>PAC-00798</t>
  </si>
  <si>
    <t>YESENIA CONTRERAS CORTES</t>
  </si>
  <si>
    <t>PAC-00799</t>
  </si>
  <si>
    <t>CECILIA FUENTES FUENTES</t>
  </si>
  <si>
    <t>PAC-00800</t>
  </si>
  <si>
    <t>CLAUDIA VERGARA FIGUEROA</t>
  </si>
  <si>
    <t>PAC-00801</t>
  </si>
  <si>
    <t>ROSA REYES ROJAS</t>
  </si>
  <si>
    <t>PAC-00802</t>
  </si>
  <si>
    <t>CAROLINA RAMIREZ PIZARRO</t>
  </si>
  <si>
    <t>PAC-00803</t>
  </si>
  <si>
    <t>JAVIERA MUÑOZ FUENTES</t>
  </si>
  <si>
    <t>PAC-00804</t>
  </si>
  <si>
    <t>YESENIA MUÑOZ SANCHEZ</t>
  </si>
  <si>
    <t>PAC-00805</t>
  </si>
  <si>
    <t>FERNANDA GUTIERREZ FUENTES</t>
  </si>
  <si>
    <t>PAC-00806</t>
  </si>
  <si>
    <t>CLAUDIA NUÑEZ CONTRERAS</t>
  </si>
  <si>
    <t>PAC-00807</t>
  </si>
  <si>
    <t>VALENTINA RAMIREZ TAPIA</t>
  </si>
  <si>
    <t>PAC-00808</t>
  </si>
  <si>
    <t>GLORIA FERNANDEZ LOPEZ</t>
  </si>
  <si>
    <t>PAC-00809</t>
  </si>
  <si>
    <t>SANDRA HERNANDEZ LOPEZ</t>
  </si>
  <si>
    <t>PAC-00810</t>
  </si>
  <si>
    <t>SOLEDAD TORRES ROJAS</t>
  </si>
  <si>
    <t>PAC-00811</t>
  </si>
  <si>
    <t>XIMENA GOMEZ HERNANDEZ</t>
  </si>
  <si>
    <t>PAC-00812</t>
  </si>
  <si>
    <t>ELENA MORALES HERNANDEZ</t>
  </si>
  <si>
    <t>PAC-00813</t>
  </si>
  <si>
    <t>SOLEDAD ALVAREZ SANCHEZ</t>
  </si>
  <si>
    <t>PAC-00814</t>
  </si>
  <si>
    <t>NATALIA HERNANDEZ FIGUEROA</t>
  </si>
  <si>
    <t>PAC-00815</t>
  </si>
  <si>
    <t>NATALIA NUÑEZ ARAYA</t>
  </si>
  <si>
    <t>PAC-00816</t>
  </si>
  <si>
    <t>CATALINA CORTES VERGARA</t>
  </si>
  <si>
    <t>PAC-00817</t>
  </si>
  <si>
    <t>SANDRA FIGUEROA DIAZ</t>
  </si>
  <si>
    <t>PAC-00818</t>
  </si>
  <si>
    <t>ALEJANDRA ALVAREZ DIAZ</t>
  </si>
  <si>
    <t>PAC-00819</t>
  </si>
  <si>
    <t>VALENTINA VERGARA MORALES</t>
  </si>
  <si>
    <t>PAC-00820</t>
  </si>
  <si>
    <t>PAULA CASTRO CORTES</t>
  </si>
  <si>
    <t>PAC-00821</t>
  </si>
  <si>
    <t>LORENA CONTRERAS CORTES</t>
  </si>
  <si>
    <t>PAC-00822</t>
  </si>
  <si>
    <t>ROXANA GOMEZ DIAZ</t>
  </si>
  <si>
    <t>PAC-00823</t>
  </si>
  <si>
    <t>PAMELA CASTILLO ROJAS</t>
  </si>
  <si>
    <t>PAC-00824</t>
  </si>
  <si>
    <t>CATALINA VERGARA CORTES</t>
  </si>
  <si>
    <t>PAC-00825</t>
  </si>
  <si>
    <t>CECILIA ROJAS ESPINOZA</t>
  </si>
  <si>
    <t>PAC-00826</t>
  </si>
  <si>
    <t>LORENA ALVAREZ FUENTES</t>
  </si>
  <si>
    <t>PAC-00827</t>
  </si>
  <si>
    <t>ROXANA RAMIREZ FLORES</t>
  </si>
  <si>
    <t>PAC-00828</t>
  </si>
  <si>
    <t>LORENA CORTES VERGARA</t>
  </si>
  <si>
    <t>PAC-00829</t>
  </si>
  <si>
    <t>ROXANA RODRIGUEZ GONZALEZ</t>
  </si>
  <si>
    <t>PAC-00830</t>
  </si>
  <si>
    <t>ALEJANDRA ESPINOZA HERNANDEZ</t>
  </si>
  <si>
    <t>PAC-00831</t>
  </si>
  <si>
    <t>DANIELA FUENTES SOTO</t>
  </si>
  <si>
    <t>PAC-00832</t>
  </si>
  <si>
    <t>SANDRA PEREZ SANCHEZ</t>
  </si>
  <si>
    <t>PAC-00833</t>
  </si>
  <si>
    <t>VERONICA VALENZUELA VALENZUELA</t>
  </si>
  <si>
    <t>PAC-00834</t>
  </si>
  <si>
    <t>ANA PIZARRO FLORES</t>
  </si>
  <si>
    <t>PAC-00835</t>
  </si>
  <si>
    <t>CAMILA ALVAREZ LOPEZ</t>
  </si>
  <si>
    <t>PAC-00836</t>
  </si>
  <si>
    <t>KARINA GUTIERREZ HERNANDEZ</t>
  </si>
  <si>
    <t>PAC-00837</t>
  </si>
  <si>
    <t>VALENTINA MARTINEZ SILVA</t>
  </si>
  <si>
    <t>PAC-00838</t>
  </si>
  <si>
    <t>MACARENA JARA PEREZ</t>
  </si>
  <si>
    <t>PAC-00839</t>
  </si>
  <si>
    <t>VALENTINA FIGUEROA RIVERA</t>
  </si>
  <si>
    <t>PAC-00840</t>
  </si>
  <si>
    <t>CLAUDIA CONTRERAS ESPINOZA</t>
  </si>
  <si>
    <t>PAC-00841</t>
  </si>
  <si>
    <t>CLAUDIA VALENZUELA PEREZ</t>
  </si>
  <si>
    <t>PAC-00842</t>
  </si>
  <si>
    <t>TAMARA RODRIGUEZ GUTIERREZ</t>
  </si>
  <si>
    <t>PAC-00843</t>
  </si>
  <si>
    <t>GLORIA ROJAS CASTRO</t>
  </si>
  <si>
    <t>PAC-00844</t>
  </si>
  <si>
    <t>DANIELA PEREZ CARRASCO</t>
  </si>
  <si>
    <t>PAC-00845</t>
  </si>
  <si>
    <t>ANDREA CARRASCO MORALES</t>
  </si>
  <si>
    <t>PAC-00846</t>
  </si>
  <si>
    <t>CECILIA ALVAREZ RAMIREZ</t>
  </si>
  <si>
    <t>PAC-00847</t>
  </si>
  <si>
    <t>ROXANA HERRERA FERNANDEZ</t>
  </si>
  <si>
    <t>PAC-00848</t>
  </si>
  <si>
    <t>FERNANDA GUTIERREZ SILVA</t>
  </si>
  <si>
    <t>PAC-00849</t>
  </si>
  <si>
    <t>SOLEDAD CARRASCO GONZALEZ</t>
  </si>
  <si>
    <t>PAC-00850</t>
  </si>
  <si>
    <t>FERNANDA HERRERA TAPIA</t>
  </si>
  <si>
    <t>PAC-00851</t>
  </si>
  <si>
    <t>ISABEL TORRES CARRASCO</t>
  </si>
  <si>
    <t>PAC-00852</t>
  </si>
  <si>
    <t>BARBARA CASTILLO VASQUEZ</t>
  </si>
  <si>
    <t>PAC-00853</t>
  </si>
  <si>
    <t>GLORIA MORALES SEPULVEDA</t>
  </si>
  <si>
    <t>PAC-00854</t>
  </si>
  <si>
    <t>CECILIA CORTES MORALES</t>
  </si>
  <si>
    <t>PAC-00855</t>
  </si>
  <si>
    <t>NATALIA DIAZ PEREZ</t>
  </si>
  <si>
    <t>PAC-00856</t>
  </si>
  <si>
    <t>CECILIA DIAZ FLORES</t>
  </si>
  <si>
    <t>PAC-00857</t>
  </si>
  <si>
    <t>SOLEDAD MARTINEZ MARTINEZ</t>
  </si>
  <si>
    <t>PAC-00858</t>
  </si>
  <si>
    <t>PAMELA MARTINEZ FERNANDEZ</t>
  </si>
  <si>
    <t>PAC-00859</t>
  </si>
  <si>
    <t>MONICA DIAZ FERNANDEZ</t>
  </si>
  <si>
    <t>PAC-00860</t>
  </si>
  <si>
    <t>NATALIA CARRASCO CASTILLO</t>
  </si>
  <si>
    <t>PAC-00861</t>
  </si>
  <si>
    <t>FERNANDA CASTRO MARTINEZ</t>
  </si>
  <si>
    <t>PAC-00862</t>
  </si>
  <si>
    <t>VALENTINA ARAYA MARTINEZ</t>
  </si>
  <si>
    <t>PAC-00863</t>
  </si>
  <si>
    <t>PAULA SOTO PEREZ</t>
  </si>
  <si>
    <t>PAC-00864</t>
  </si>
  <si>
    <t>ROXANA GONZALEZ FERNANDEZ</t>
  </si>
  <si>
    <t>PAC-00865</t>
  </si>
  <si>
    <t>LORENA REYES FIGUEROA</t>
  </si>
  <si>
    <t>PAC-00866</t>
  </si>
  <si>
    <t>ALEJANDRA REYES ARAYA</t>
  </si>
  <si>
    <t>PAC-00867</t>
  </si>
  <si>
    <t>ROSA CASTRO ESPINOZA</t>
  </si>
  <si>
    <t>PAC-00868</t>
  </si>
  <si>
    <t>SANDRA SOTO MARTINEZ</t>
  </si>
  <si>
    <t>PAC-00869</t>
  </si>
  <si>
    <t>CAMILA CASTRO REYES</t>
  </si>
  <si>
    <t>PAC-00870</t>
  </si>
  <si>
    <t>FRANCISCA ARAYA VASQUEZ</t>
  </si>
  <si>
    <t>PAC-00871</t>
  </si>
  <si>
    <t>JUANA SILVA SEPULVEDA</t>
  </si>
  <si>
    <t>PAC-00872</t>
  </si>
  <si>
    <t>VERONICA MORALES FUENTES</t>
  </si>
  <si>
    <t>PAC-00873</t>
  </si>
  <si>
    <t>PAMELA CORTES VASQUEZ</t>
  </si>
  <si>
    <t>PAC-00874</t>
  </si>
  <si>
    <t>CATALINA NUÑEZ REYES</t>
  </si>
  <si>
    <t>PAC-00875</t>
  </si>
  <si>
    <t>FRANCISCA MUÑOZ CONTRERAS</t>
  </si>
  <si>
    <t>PAC-00876</t>
  </si>
  <si>
    <t>LEUCORREA</t>
  </si>
  <si>
    <t>DANIELA NUÑEZ GUTIERREZ</t>
  </si>
  <si>
    <t>PAC-00877</t>
  </si>
  <si>
    <t>MARIA CORTES GOMEZ</t>
  </si>
  <si>
    <t>PAC-00878</t>
  </si>
  <si>
    <t>NICOLE FUENTES REYES</t>
  </si>
  <si>
    <t>PAC-00879</t>
  </si>
  <si>
    <t>TERESA SILVA GUTIERREZ</t>
  </si>
  <si>
    <t>PAC-00880</t>
  </si>
  <si>
    <t>PATRICIA RODRIGUEZ ARAYA</t>
  </si>
  <si>
    <t>PAC-00881</t>
  </si>
  <si>
    <t>ANA PIZARRO GUTIERREZ</t>
  </si>
  <si>
    <t>PAC-00882</t>
  </si>
  <si>
    <t>FRANCISCA JARA GUTIERREZ</t>
  </si>
  <si>
    <t>PAC-00883</t>
  </si>
  <si>
    <t>CLAUDIA ARAYA FERNANDEZ</t>
  </si>
  <si>
    <t>PAC-00884</t>
  </si>
  <si>
    <t>SOLEDAD GONZALEZ CORTES</t>
  </si>
  <si>
    <t>PAC-00885</t>
  </si>
  <si>
    <t>CATALINA RIVERA REYES</t>
  </si>
  <si>
    <t>PAC-00886</t>
  </si>
  <si>
    <t>CONSTANZA FIGUEROA VALENZUELA</t>
  </si>
  <si>
    <t>PAC-00887</t>
  </si>
  <si>
    <t>PAULA CONTRERAS CASTILLO</t>
  </si>
  <si>
    <t>PAC-00888</t>
  </si>
  <si>
    <t>CATALINA REYES SEPULVEDA</t>
  </si>
  <si>
    <t>PAC-00889</t>
  </si>
  <si>
    <t>ALEJANDRA ARAYA TAPIA</t>
  </si>
  <si>
    <t>PAC-00890</t>
  </si>
  <si>
    <t>VERONICA CORTES RIVERA</t>
  </si>
  <si>
    <t>PAC-00891</t>
  </si>
  <si>
    <t>G3G4O5</t>
  </si>
  <si>
    <t>CONSTANZA CARRASCO CASTILLO</t>
  </si>
  <si>
    <t>PAC-00892</t>
  </si>
  <si>
    <t>YESENIA RODRIGUEZ GUTIERREZ</t>
  </si>
  <si>
    <t>PAC-00893</t>
  </si>
  <si>
    <t>NICOLE CASTRO RAMIREZ</t>
  </si>
  <si>
    <t>PAC-00894</t>
  </si>
  <si>
    <t>FRANCISCA MUÑOZ SILVA</t>
  </si>
  <si>
    <t>PAC-00895</t>
  </si>
  <si>
    <t>ANA FUENTES LOPEZ</t>
  </si>
  <si>
    <t>PAC-00896</t>
  </si>
  <si>
    <t>VALENTINA HERNANDEZ VERGARA</t>
  </si>
  <si>
    <t>PAC-00897</t>
  </si>
  <si>
    <t>PAMELA TORRES MARTINEZ</t>
  </si>
  <si>
    <t>PAC-00898</t>
  </si>
  <si>
    <t>CAMILA TORRES NUÑEZ</t>
  </si>
  <si>
    <t>PAC-00899</t>
  </si>
  <si>
    <t>ALEJANDRA FLORES ROJAS</t>
  </si>
  <si>
    <t>PAC-00900</t>
  </si>
  <si>
    <t>MONICA JARA GOMEZ</t>
  </si>
  <si>
    <t>PAC-00901</t>
  </si>
  <si>
    <t>KARINA DIAZ SOTO</t>
  </si>
  <si>
    <t>PAC-00902</t>
  </si>
  <si>
    <t>VERONICA CONTRERAS FERNANDEZ</t>
  </si>
  <si>
    <t>PAC-00903</t>
  </si>
  <si>
    <t>ISABEL NUÑEZ MUÑOZ</t>
  </si>
  <si>
    <t>PAC-00904</t>
  </si>
  <si>
    <t>JAVIERA SOTO CASTILLO</t>
  </si>
  <si>
    <t>PAC-00905</t>
  </si>
  <si>
    <t>NATALIA CORTES VASQUEZ</t>
  </si>
  <si>
    <t>PAC-00906</t>
  </si>
  <si>
    <t>VALENTINA SILVA SEPULVEDA</t>
  </si>
  <si>
    <t>PAC-00907</t>
  </si>
  <si>
    <t>CATALINA PIZARRO ROJAS</t>
  </si>
  <si>
    <t>PAC-00908</t>
  </si>
  <si>
    <t>PAULA MORALES NUÑEZ</t>
  </si>
  <si>
    <t>PAC-00909</t>
  </si>
  <si>
    <t>GLORIA SOTO ESPINOZA</t>
  </si>
  <si>
    <t>PAC-00910</t>
  </si>
  <si>
    <t>SANDRA NUÑEZ ARAYA</t>
  </si>
  <si>
    <t>PAC-00911</t>
  </si>
  <si>
    <t>NATALIA VASQUEZ MARTINEZ</t>
  </si>
  <si>
    <t>PAC-00912</t>
  </si>
  <si>
    <t>JUANA MARTINEZ GONZALEZ</t>
  </si>
  <si>
    <t>PAC-00913</t>
  </si>
  <si>
    <t>KARINA ESPINOZA TAPIA</t>
  </si>
  <si>
    <t>PAC-00914</t>
  </si>
  <si>
    <t>YESENIA CONTRERAS JARA</t>
  </si>
  <si>
    <t>PAC-00915</t>
  </si>
  <si>
    <t>YESENIA FLORES FLORES</t>
  </si>
  <si>
    <t>PAC-00916</t>
  </si>
  <si>
    <t>JAVIERA HERRERA CORTES</t>
  </si>
  <si>
    <t>PAC-00917</t>
  </si>
  <si>
    <t>VALENTINA REYES RAMIREZ</t>
  </si>
  <si>
    <t>PAC-00918</t>
  </si>
  <si>
    <t>ANDREA MARTINEZ ESPINOZA</t>
  </si>
  <si>
    <t>PAC-00919</t>
  </si>
  <si>
    <t>SILVIA RODRIGUEZ CORTES</t>
  </si>
  <si>
    <t>PAC-00920</t>
  </si>
  <si>
    <t>ELENA SEPULVEDA ALVAREZ</t>
  </si>
  <si>
    <t>PAC-00921</t>
  </si>
  <si>
    <t>ANA LOPEZ CONTRERAS</t>
  </si>
  <si>
    <t>PAC-00922</t>
  </si>
  <si>
    <t>CONSTANZA VALENZUELA VERGARA</t>
  </si>
  <si>
    <t>PAC-00923</t>
  </si>
  <si>
    <t>SILVIA TORRES GOMEZ</t>
  </si>
  <si>
    <t>PAC-00924</t>
  </si>
  <si>
    <t>ANDREA GUTIERREZ ROJAS</t>
  </si>
  <si>
    <t>PAC-00925</t>
  </si>
  <si>
    <t>NICOLE GOMEZ MARTINEZ</t>
  </si>
  <si>
    <t>PAC-00926</t>
  </si>
  <si>
    <t>CAROLINA CASTILLO FERNANDEZ</t>
  </si>
  <si>
    <t>PAC-00927</t>
  </si>
  <si>
    <t>SOLEDAD CARRASCO FUENTES</t>
  </si>
  <si>
    <t>PAC-00928</t>
  </si>
  <si>
    <t>SILVIA VASQUEZ NUÑEZ</t>
  </si>
  <si>
    <t>PAC-00929</t>
  </si>
  <si>
    <t>ROXANA MARTINEZ REYES</t>
  </si>
  <si>
    <t>PAC-00930</t>
  </si>
  <si>
    <t>DANIELA SEPULVEDA ALVAREZ</t>
  </si>
  <si>
    <t>PAC-00931</t>
  </si>
  <si>
    <t>CONSTANZA CASTILLO JARA</t>
  </si>
  <si>
    <t>PAC-00932</t>
  </si>
  <si>
    <t>FERNANDA MUÑOZ FLORES</t>
  </si>
  <si>
    <t>PAC-00933</t>
  </si>
  <si>
    <t>IG8JS</t>
  </si>
  <si>
    <t>TAMARA DIAZ FERNANDEZ</t>
  </si>
  <si>
    <t>PAC-00934</t>
  </si>
  <si>
    <t>KARINA DIAZ SANCHEZ</t>
  </si>
  <si>
    <t>PAC-00935</t>
  </si>
  <si>
    <t>ELENA HERNANDEZ CONTRERAS</t>
  </si>
  <si>
    <t>PAC-00936</t>
  </si>
  <si>
    <t>CECILIA REYES SILVA</t>
  </si>
  <si>
    <t>PAC-00937</t>
  </si>
  <si>
    <t>VERONICA GOMEZ ROJAS</t>
  </si>
  <si>
    <t>PAC-00938</t>
  </si>
  <si>
    <t>CONSTANZA CASTRO HERNANDEZ</t>
  </si>
  <si>
    <t>PAC-00939</t>
  </si>
  <si>
    <t>GLORIA FIGUEROA HERNANDEZ</t>
  </si>
  <si>
    <t>PAC-00940</t>
  </si>
  <si>
    <t>SILVIA FLORES DIAZ</t>
  </si>
  <si>
    <t>PAC-00941</t>
  </si>
  <si>
    <t>FERNANDA MORALES ROJAS</t>
  </si>
  <si>
    <t>PAC-00942</t>
  </si>
  <si>
    <t>CATALINA PEREZ HERNANDEZ</t>
  </si>
  <si>
    <t>PAC-00943</t>
  </si>
  <si>
    <t>FRANCISCA REYES LOPEZ</t>
  </si>
  <si>
    <t>PAC-00944</t>
  </si>
  <si>
    <t>ROSA MORALES SILVA</t>
  </si>
  <si>
    <t>PAC-00945</t>
  </si>
  <si>
    <t>TERESA CORTES ALVAREZ</t>
  </si>
  <si>
    <t>PAC-00946</t>
  </si>
  <si>
    <t>MARIA SILVA CONTRERAS</t>
  </si>
  <si>
    <t>PAC-00947</t>
  </si>
  <si>
    <t>CECILIA VASQUEZ CORTES</t>
  </si>
  <si>
    <t>PAC-00948</t>
  </si>
  <si>
    <t>MARIA NUÑEZ MUÑOZ</t>
  </si>
  <si>
    <t>PAC-00949</t>
  </si>
  <si>
    <t>MACARENA FIGUEROA RIVERA</t>
  </si>
  <si>
    <t>PAC-00950</t>
  </si>
  <si>
    <t>MACARENA CARRASCO ESPINOZA</t>
  </si>
  <si>
    <t>PAC-00951</t>
  </si>
  <si>
    <t>SILVIA FIGUEROA SILVA</t>
  </si>
  <si>
    <t>PAC-00952</t>
  </si>
  <si>
    <t>TERESA GONZALEZ DIAZ</t>
  </si>
  <si>
    <t>PAC-00953</t>
  </si>
  <si>
    <t>MONICA CASTILLO MORALES</t>
  </si>
  <si>
    <t>PAC-00954</t>
  </si>
  <si>
    <t>CECILIA ROJAS FIGUEROA</t>
  </si>
  <si>
    <t>PAC-00955</t>
  </si>
  <si>
    <t>FRIABLE</t>
  </si>
  <si>
    <t>NICOLE DIAZ RODRIGUEZ</t>
  </si>
  <si>
    <t>PAC-00956</t>
  </si>
  <si>
    <t>SANDRA TAPIA ROJAS</t>
  </si>
  <si>
    <t>PAC-00957</t>
  </si>
  <si>
    <t>CAROLINA ROJAS GOMEZ</t>
  </si>
  <si>
    <t>PAC-00958</t>
  </si>
  <si>
    <t>CECILIA CARRASCO SANCHEZ</t>
  </si>
  <si>
    <t>PAC-00959</t>
  </si>
  <si>
    <t>GLORIA FUENTES FERNANDEZ</t>
  </si>
  <si>
    <t>PAC-00960</t>
  </si>
  <si>
    <t>FRANCISCA NUÑEZ FIGUEROA</t>
  </si>
  <si>
    <t>PAC-00961</t>
  </si>
  <si>
    <t>PAMELA RIVERA MUÑOZ</t>
  </si>
  <si>
    <t>PAC-00962</t>
  </si>
  <si>
    <t>GLORIA VASQUEZ PIZARRO</t>
  </si>
  <si>
    <t>PAC-00963</t>
  </si>
  <si>
    <t>VALENTINA ROJAS REYES</t>
  </si>
  <si>
    <t>PAC-00964</t>
  </si>
  <si>
    <t>ANDREA FIGUEROA MUÑOZ</t>
  </si>
  <si>
    <t>PAC-00965</t>
  </si>
  <si>
    <t>HTT</t>
  </si>
  <si>
    <t>PAMELA HERNANDEZ CASTILLO</t>
  </si>
  <si>
    <t>PAC-00966</t>
  </si>
  <si>
    <t>TAMARA TAPIA RODRIGUEZ</t>
  </si>
  <si>
    <t>PAC-00967</t>
  </si>
  <si>
    <t>FRANCISCA RIVERA LOPEZ</t>
  </si>
  <si>
    <t>PAC-00968</t>
  </si>
  <si>
    <t>NATALIA SOTO GUTIERREZ</t>
  </si>
  <si>
    <t>PAC-00969</t>
  </si>
  <si>
    <t>KARINA GOMEZ ALVAREZ</t>
  </si>
  <si>
    <t>PAC-00970</t>
  </si>
  <si>
    <t>ROXANA CONTRERAS ALVAREZ</t>
  </si>
  <si>
    <t>PAC-00971</t>
  </si>
  <si>
    <t>TAMARA ALVAREZ HERNANDEZ</t>
  </si>
  <si>
    <t>PAC-00972</t>
  </si>
  <si>
    <t>DANIELA SANCHEZ GUTIERREZ</t>
  </si>
  <si>
    <t>PAC-00973</t>
  </si>
  <si>
    <t>TERESA VERGARA SANCHEZ</t>
  </si>
  <si>
    <t>PAC-00974</t>
  </si>
  <si>
    <t>FERNANDA MARTINEZ GUTIERREZ</t>
  </si>
  <si>
    <t>PAC-00975</t>
  </si>
  <si>
    <t>ROSA RIVERA FERNANDEZ</t>
  </si>
  <si>
    <t>PAC-00976</t>
  </si>
  <si>
    <t>SOLEDAD REYES LOPEZ</t>
  </si>
  <si>
    <t>PAC-00977</t>
  </si>
  <si>
    <t>NICOLE DIAZ FIGUEROA</t>
  </si>
  <si>
    <t>PAC-00978</t>
  </si>
  <si>
    <t>MONICA PEREZ SOTO</t>
  </si>
  <si>
    <t>PAC-00979</t>
  </si>
  <si>
    <t>ISABEL TORRES RODRIGUEZ</t>
  </si>
  <si>
    <t>PAC-00980</t>
  </si>
  <si>
    <t>JAVIERA ARAYA NUÑEZ</t>
  </si>
  <si>
    <t>PAC-00981</t>
  </si>
  <si>
    <t>CONSTANZA FLORES HERNANDEZ</t>
  </si>
  <si>
    <t>PAC-00982</t>
  </si>
  <si>
    <t>GLORIA CARRASCO MUÑOZ</t>
  </si>
  <si>
    <t>PAC-00983</t>
  </si>
  <si>
    <t>FRANCISCA TORRES GUTIERREZ</t>
  </si>
  <si>
    <t>PAC-00984</t>
  </si>
  <si>
    <t>MACARENA MUÑOZ CASTILLO</t>
  </si>
  <si>
    <t>PAC-00985</t>
  </si>
  <si>
    <t>PAULA VERGARA FIGUEROA</t>
  </si>
  <si>
    <t>PAC-00986</t>
  </si>
  <si>
    <t>SANDRA RIVERA REYES</t>
  </si>
  <si>
    <t>PAC-00987</t>
  </si>
  <si>
    <t>LORENA VASQUEZ DIAZ</t>
  </si>
  <si>
    <t>PAC-00988</t>
  </si>
  <si>
    <t>JAVIERA PEREZ CARRASCO</t>
  </si>
  <si>
    <t>PAC-00989</t>
  </si>
  <si>
    <t>CECILIA HERRERA PEREZ</t>
  </si>
  <si>
    <t>PAC-00990</t>
  </si>
  <si>
    <t>JAVIERA SOTO DIAZ</t>
  </si>
  <si>
    <t>PAC-00991</t>
  </si>
  <si>
    <t>CAMILA RAMIREZ DIAZ</t>
  </si>
  <si>
    <t>PAC-00992</t>
  </si>
  <si>
    <t>LORENA MUÑOZ FUENTES</t>
  </si>
  <si>
    <t>PAC-00993</t>
  </si>
  <si>
    <t>KARINA DIAZ ESPINOZA</t>
  </si>
  <si>
    <t>PAC-00994</t>
  </si>
  <si>
    <t>ISABEL SEPULVEDA ARAYA</t>
  </si>
  <si>
    <t>PAC-00995</t>
  </si>
  <si>
    <t>FERNANDA CASTILLO MARTINEZ</t>
  </si>
  <si>
    <t>PAC-00996</t>
  </si>
  <si>
    <t>TERESA RODRIGUEZ TORRES</t>
  </si>
  <si>
    <t>PAC-00997</t>
  </si>
  <si>
    <t>VERONICA MORALES ALVAREZ</t>
  </si>
  <si>
    <t>PAC-00998</t>
  </si>
  <si>
    <t>SANDRA REYES DIAZ</t>
  </si>
  <si>
    <t>PAC-00999</t>
  </si>
  <si>
    <t>LORENA CARRASCO SILVA</t>
  </si>
  <si>
    <t>PAC-01000</t>
  </si>
  <si>
    <t>TAMARA TAPIA VASQUEZ</t>
  </si>
  <si>
    <t>PAC-01001</t>
  </si>
  <si>
    <t>ROSA HERNANDEZ ARAYA</t>
  </si>
  <si>
    <t>PAC-01002</t>
  </si>
  <si>
    <t>MONICA DIAZ HERRERA</t>
  </si>
  <si>
    <t>PAC-01003</t>
  </si>
  <si>
    <t>TAMARA TORRES VALENZUELA</t>
  </si>
  <si>
    <t>PAC-01004</t>
  </si>
  <si>
    <t>GLORIA ALVAREZ CORTES</t>
  </si>
  <si>
    <t>PAC-01005</t>
  </si>
  <si>
    <t>YESENIA CASTRO ROJAS</t>
  </si>
  <si>
    <t>PAC-01006</t>
  </si>
  <si>
    <t>PATRICIA VASQUEZ MARTINEZ</t>
  </si>
  <si>
    <t>PAC-01007</t>
  </si>
  <si>
    <t>GLORIA CONTRERAS CASTRO</t>
  </si>
  <si>
    <t>PAC-01008</t>
  </si>
  <si>
    <t>ANDREA CONTRERAS RAMIREZ</t>
  </si>
  <si>
    <t>PAC-01009</t>
  </si>
  <si>
    <t>YESENIA CONTRERAS RODRIGUEZ</t>
  </si>
  <si>
    <t>PAC-01010</t>
  </si>
  <si>
    <t>CAMILA CASTRO CASTILLO</t>
  </si>
  <si>
    <t>PAC-01011</t>
  </si>
  <si>
    <t>ELENA CONTRERAS GUTIERREZ</t>
  </si>
  <si>
    <t>PAC-01012</t>
  </si>
  <si>
    <t>SOLEDAD SANCHEZ GUTIERREZ</t>
  </si>
  <si>
    <t>PAC-01013</t>
  </si>
  <si>
    <t>FERNANDA GONZALEZ FIGUEROA</t>
  </si>
  <si>
    <t>PAC-01014</t>
  </si>
  <si>
    <t>CLAUDIA GUTIERREZ PIZARRO</t>
  </si>
  <si>
    <t>PAC-01015</t>
  </si>
  <si>
    <t>FRANCISCA CONTRERAS TAPIA</t>
  </si>
  <si>
    <t>PAC-01016</t>
  </si>
  <si>
    <t>FRANCISCA HERRERA CORTES</t>
  </si>
  <si>
    <t>PAC-01017</t>
  </si>
  <si>
    <t>NATALIA SILVA FLORES</t>
  </si>
  <si>
    <t>PAC-01018</t>
  </si>
  <si>
    <t>MARIA SANCHEZ SILVA</t>
  </si>
  <si>
    <t>PAC-01019</t>
  </si>
  <si>
    <t>GLORIA PIZARRO MARTINEZ</t>
  </si>
  <si>
    <t>PAC-01020</t>
  </si>
  <si>
    <t>FRANCISCA SEPULVEDA FERNANDEZ</t>
  </si>
  <si>
    <t>PAC-01021</t>
  </si>
  <si>
    <t>ANA RODRIGUEZ PEREZ</t>
  </si>
  <si>
    <t>PAC-01022</t>
  </si>
  <si>
    <t>PATRICIA SEPULVEDA TORRES</t>
  </si>
  <si>
    <t>PAC-01023</t>
  </si>
  <si>
    <t>MACARENA TORRES CORTES</t>
  </si>
  <si>
    <t>PAC-01024</t>
  </si>
  <si>
    <t>FRANCISCA MARTINEZ LOPEZ</t>
  </si>
  <si>
    <t>PAC-01025</t>
  </si>
  <si>
    <t>FERNANDA GOMEZ GUTIERREZ</t>
  </si>
  <si>
    <t>PAC-01026</t>
  </si>
  <si>
    <t>ROSA TORRES CARRASCO</t>
  </si>
  <si>
    <t>PAC-01027</t>
  </si>
  <si>
    <t>CAMILA GOMEZ RODRIGUEZ</t>
  </si>
  <si>
    <t>PAC-01028</t>
  </si>
  <si>
    <t>ROXANA REYES TAPIA</t>
  </si>
  <si>
    <t>PAC-01029</t>
  </si>
  <si>
    <t>GLORIA SANCHEZ PIZARRO</t>
  </si>
  <si>
    <t>PAC-01030</t>
  </si>
  <si>
    <t>CAROLINA SEPULVEDA NUÑEZ</t>
  </si>
  <si>
    <t>PAC-01031</t>
  </si>
  <si>
    <t>LORENA RODRIGUEZ MORALES</t>
  </si>
  <si>
    <t>PAC-01032</t>
  </si>
  <si>
    <t>VERONICA GONZALEZ PIZARRO</t>
  </si>
  <si>
    <t>PAC-01033</t>
  </si>
  <si>
    <t>FRANCISCA RAMIREZ PEREZ</t>
  </si>
  <si>
    <t>PAC-01034</t>
  </si>
  <si>
    <t>ISABEL MUÑOZ NUÑEZ</t>
  </si>
  <si>
    <t>PAC-01035</t>
  </si>
  <si>
    <t>PAULA MORALES FERNANDEZ</t>
  </si>
  <si>
    <t>PAC-01036</t>
  </si>
  <si>
    <t>ANDREA GUTIERREZ SILVA</t>
  </si>
  <si>
    <t>PAC-01037</t>
  </si>
  <si>
    <t>CONSTANZA MORALES FUENTES</t>
  </si>
  <si>
    <t>PAC-01038</t>
  </si>
  <si>
    <t>JUANA FUENTES RIVERA</t>
  </si>
  <si>
    <t>PAC-01039</t>
  </si>
  <si>
    <t>CLAUDIA CORTES ROJAS</t>
  </si>
  <si>
    <t>PAC-01040</t>
  </si>
  <si>
    <t>NICOLE GUTIERREZ ALVAREZ</t>
  </si>
  <si>
    <t>PAC-01041</t>
  </si>
  <si>
    <t>NATALIA JARA SEPULVEDA</t>
  </si>
  <si>
    <t>PAC-01042</t>
  </si>
  <si>
    <t>GLORIA HERNANDEZ GONZALEZ</t>
  </si>
  <si>
    <t>PAC-01043</t>
  </si>
  <si>
    <t>DANIELA ALVAREZ VALENZUELA</t>
  </si>
  <si>
    <t>PAC-01044</t>
  </si>
  <si>
    <t>CONSTANZA GOMEZ REYES</t>
  </si>
  <si>
    <t>PAC-01045</t>
  </si>
  <si>
    <t>BARBARA HERNANDEZ FERNANDEZ</t>
  </si>
  <si>
    <t>PAC-01046</t>
  </si>
  <si>
    <t>CATALINA RODRIGUEZ SANCHEZ</t>
  </si>
  <si>
    <t>PAC-01047</t>
  </si>
  <si>
    <t>CLAUDIA RODRIGUEZ ROJAS</t>
  </si>
  <si>
    <t>PAC-01048</t>
  </si>
  <si>
    <t>LORENA MARTINEZ FERNANDEZ</t>
  </si>
  <si>
    <t>PAC-01049</t>
  </si>
  <si>
    <t>TAMARA FUENTES PIZARRO</t>
  </si>
  <si>
    <t>PAC-01050</t>
  </si>
  <si>
    <t>ALEJANDRA MUÑOZ ESPINOZA</t>
  </si>
  <si>
    <t>PAC-01051</t>
  </si>
  <si>
    <t>KARINA ARAYA RAMIREZ</t>
  </si>
  <si>
    <t>PAC-01052</t>
  </si>
  <si>
    <t>TERESA RIVERA MARTINEZ</t>
  </si>
  <si>
    <t>PAC-01053</t>
  </si>
  <si>
    <t>ROSA CASTILLO GONZALEZ</t>
  </si>
  <si>
    <t>PAC-01054</t>
  </si>
  <si>
    <t>ROSA RODRIGUEZ RIVERA</t>
  </si>
  <si>
    <t>PAC-01055</t>
  </si>
  <si>
    <t>JUANA GONZALEZ VERGARA</t>
  </si>
  <si>
    <t>PAC-01056</t>
  </si>
  <si>
    <t>SILVIA PIZARRO VALENZUELA</t>
  </si>
  <si>
    <t>PAC-01057</t>
  </si>
  <si>
    <t>GLORIA MORALES FLORES</t>
  </si>
  <si>
    <t>PAC-01058</t>
  </si>
  <si>
    <t>BARBARA RIVERA GONZALEZ</t>
  </si>
  <si>
    <t>PAC-01059</t>
  </si>
  <si>
    <t>JAVIERA RIVERA SOTO</t>
  </si>
  <si>
    <t>PAC-01060</t>
  </si>
  <si>
    <t>ANDREA SOTO ROJAS</t>
  </si>
  <si>
    <t>PAC-01061</t>
  </si>
  <si>
    <t>FERNANDA SILVA TAPIA</t>
  </si>
  <si>
    <t>PAC-01062</t>
  </si>
  <si>
    <t>ELENA ROJAS MUÑOZ</t>
  </si>
  <si>
    <t>PAC-01063</t>
  </si>
  <si>
    <t>CLAUDIA JARA PIZARRO</t>
  </si>
  <si>
    <t>PAC-01064</t>
  </si>
  <si>
    <t>SILVIA SANCHEZ PIZARRO</t>
  </si>
  <si>
    <t>PAC-01065</t>
  </si>
  <si>
    <t>ROXANA VASQUEZ MORALES</t>
  </si>
  <si>
    <t>PAC-01066</t>
  </si>
  <si>
    <t>BARBARA CASTRO VASQUEZ</t>
  </si>
  <si>
    <t>PAC-01067</t>
  </si>
  <si>
    <t>TAMARA JARA CORTES</t>
  </si>
  <si>
    <t>PAC-01068</t>
  </si>
  <si>
    <t>FRANCISCA ROJAS PIZARRO</t>
  </si>
  <si>
    <t>PAC-01069</t>
  </si>
  <si>
    <t>MARIA LOPEZ ARAYA</t>
  </si>
  <si>
    <t>PAC-01070</t>
  </si>
  <si>
    <t>PATRICIA FERNANDEZ RODRIGUEZ</t>
  </si>
  <si>
    <t>PAC-01071</t>
  </si>
  <si>
    <t>NICOLE CONTRERAS DIAZ</t>
  </si>
  <si>
    <t>PAC-01072</t>
  </si>
  <si>
    <t>VERONICA RAMIREZ MUÑOZ</t>
  </si>
  <si>
    <t>PAC-01073</t>
  </si>
  <si>
    <t>VALENTINA GOMEZ SOTO</t>
  </si>
  <si>
    <t>PAC-01074</t>
  </si>
  <si>
    <t>DANIELA CASTILLO MARTINEZ</t>
  </si>
  <si>
    <t>PAC-01075</t>
  </si>
  <si>
    <t>TERESA NUÑEZ FIGUEROA</t>
  </si>
  <si>
    <t>PAC-01076</t>
  </si>
  <si>
    <t>GLORIA FUENTES SILVA</t>
  </si>
  <si>
    <t>PAC-01077</t>
  </si>
  <si>
    <t>TERESA RIVERA HERNANDEZ</t>
  </si>
  <si>
    <t>PAC-01078</t>
  </si>
  <si>
    <t>BARBARA RIVERA ALVAREZ</t>
  </si>
  <si>
    <t>PAC-01079</t>
  </si>
  <si>
    <t>ANA SILVA FLORES</t>
  </si>
  <si>
    <t>PAC-01080</t>
  </si>
  <si>
    <t>ISABEL FLORES GUTIERREZ</t>
  </si>
  <si>
    <t>PAC-01081</t>
  </si>
  <si>
    <t>ERITROPLAQUEA</t>
  </si>
  <si>
    <t>CECILIA RAMIREZ TAPIA</t>
  </si>
  <si>
    <t>PAC-01082</t>
  </si>
  <si>
    <t>VERONICA CASTILLO TAPIA</t>
  </si>
  <si>
    <t>PAC-01083</t>
  </si>
  <si>
    <t>PAMELA MORALES CARRASCO</t>
  </si>
  <si>
    <t>PAC-01084</t>
  </si>
  <si>
    <t>CAMILA ROJAS PEREZ</t>
  </si>
  <si>
    <t>PAC-01085</t>
  </si>
  <si>
    <t>NICOLE ARAYA FIGUEROA</t>
  </si>
  <si>
    <t>PAC-01086</t>
  </si>
  <si>
    <t>GLORIA REYES VALENZUELA</t>
  </si>
  <si>
    <t>PAC-01087</t>
  </si>
  <si>
    <t>MARCELA SOTO SEPULVEDA</t>
  </si>
  <si>
    <t>PAC-01088</t>
  </si>
  <si>
    <t>MARCELA VALENZUELA ESPINOZA</t>
  </si>
  <si>
    <t>PAC-01089</t>
  </si>
  <si>
    <t>GLORIA CONTRERAS REYES</t>
  </si>
  <si>
    <t>PAC-01090</t>
  </si>
  <si>
    <t>ANDREA RODRIGUEZ CORTES</t>
  </si>
  <si>
    <t>PAC-01091</t>
  </si>
  <si>
    <t>DANIELA REYES HERNANDEZ</t>
  </si>
  <si>
    <t>PAC-01092</t>
  </si>
  <si>
    <t>BARBARA MUÑOZ MARTINEZ</t>
  </si>
  <si>
    <t>PAC-01093</t>
  </si>
  <si>
    <t>ELENA TORRES CONTRERAS</t>
  </si>
  <si>
    <t>PAC-01094</t>
  </si>
  <si>
    <t>PAMELA MORALES RAMIREZ</t>
  </si>
  <si>
    <t>PAC-01095</t>
  </si>
  <si>
    <t>SANDRA VASQUEZ TAPIA</t>
  </si>
  <si>
    <t>PAC-01096</t>
  </si>
  <si>
    <t>NICOLE GOMEZ CASTRO</t>
  </si>
  <si>
    <t>PAC-01097</t>
  </si>
  <si>
    <t>TERESA PEREZ GONZALEZ</t>
  </si>
  <si>
    <t>PAC-01098</t>
  </si>
  <si>
    <t>PAMELA CORTES TAPIA</t>
  </si>
  <si>
    <t>PAC-01099</t>
  </si>
  <si>
    <t>SANDRA VERGARA REYES</t>
  </si>
  <si>
    <t>PAC-01100</t>
  </si>
  <si>
    <t>VERONICA DIAZ RODRIGUEZ</t>
  </si>
  <si>
    <t>PAC-01101</t>
  </si>
  <si>
    <t>ROXANA SANCHEZ SANCHEZ</t>
  </si>
  <si>
    <t>PAC-01102</t>
  </si>
  <si>
    <t>BARBARA FLORES PEREZ</t>
  </si>
  <si>
    <t>PAC-01103</t>
  </si>
  <si>
    <t>CLAUDIA GOMEZ ARAYA</t>
  </si>
  <si>
    <t>PAC-01104</t>
  </si>
  <si>
    <t>ROXANA CASTILLO GONZALEZ</t>
  </si>
  <si>
    <t>PAC-01105</t>
  </si>
  <si>
    <t>CATALINA TAPIA NUÑEZ</t>
  </si>
  <si>
    <t>PAC-01106</t>
  </si>
  <si>
    <t>CUPULA</t>
  </si>
  <si>
    <t>ANDREA MUÑOZ CONTRERAS</t>
  </si>
  <si>
    <t>PAC-01107</t>
  </si>
  <si>
    <t>FERNANDA GUTIERREZ NUÑEZ</t>
  </si>
  <si>
    <t>PAC-01108</t>
  </si>
  <si>
    <t>FERNANDA NUÑEZ ARAYA</t>
  </si>
  <si>
    <t>PAC-01109</t>
  </si>
  <si>
    <t>VASTAGOS DE DIU</t>
  </si>
  <si>
    <t>CATALINA RIVERA NUÑEZ</t>
  </si>
  <si>
    <t>PAC-01110</t>
  </si>
  <si>
    <t>JUANA NUÑEZ SOTO</t>
  </si>
  <si>
    <t>PAC-01111</t>
  </si>
  <si>
    <t>ROSA GOMEZ RODRIGUEZ</t>
  </si>
  <si>
    <t>PAC-01112</t>
  </si>
  <si>
    <t>MONICA SANCHEZ SOTO</t>
  </si>
  <si>
    <t>PAC-01113</t>
  </si>
  <si>
    <t>PAMELA REYES SEPULVEDA</t>
  </si>
  <si>
    <t>PAC-01114</t>
  </si>
  <si>
    <t>JUANA HERNANDEZ DIAZ</t>
  </si>
  <si>
    <t>PAC-01115</t>
  </si>
  <si>
    <t>CATALINA RODRIGUEZ TORRES</t>
  </si>
  <si>
    <t>PAC-01116</t>
  </si>
  <si>
    <t>MARCELA PIZARRO MUÑOZ</t>
  </si>
  <si>
    <t>PAC-01117</t>
  </si>
  <si>
    <t>ELENA SEPULVEDA RODRIGUEZ</t>
  </si>
  <si>
    <t>PAC-01118</t>
  </si>
  <si>
    <t>SOLEDAD GUTIERREZ NUÑEZ</t>
  </si>
  <si>
    <t>PAC-01119</t>
  </si>
  <si>
    <t>MONICA CASTRO FUENTES</t>
  </si>
  <si>
    <t>PAC-01120</t>
  </si>
  <si>
    <t>SANDRA CASTRO SEPULVEDA</t>
  </si>
  <si>
    <t>PAC-01121</t>
  </si>
  <si>
    <t>ROSA CASTILLO DIAZ</t>
  </si>
  <si>
    <t>PAC-01122</t>
  </si>
  <si>
    <t>CAMILA SANCHEZ MARTINEZ</t>
  </si>
  <si>
    <t>PAC-01123</t>
  </si>
  <si>
    <t>ANDREA FLORES MARTINEZ</t>
  </si>
  <si>
    <t>PAC-01124</t>
  </si>
  <si>
    <t>MARIA ROJAS MORALES</t>
  </si>
  <si>
    <t>PAC-01125</t>
  </si>
  <si>
    <t>XIMENA MARTINEZ PEREZ</t>
  </si>
  <si>
    <t>PAC-01126</t>
  </si>
  <si>
    <t>MARCELA ALVAREZ FIGUEROA</t>
  </si>
  <si>
    <t>PAC-01127</t>
  </si>
  <si>
    <t>ANDREA CORTES LOPEZ</t>
  </si>
  <si>
    <t>PAC-01128</t>
  </si>
  <si>
    <t>LORENA MORALES SEPULVEDA</t>
  </si>
  <si>
    <t>PAC-01129</t>
  </si>
  <si>
    <t>TAMARA FUENTES HERRERA</t>
  </si>
  <si>
    <t>PAC-01130</t>
  </si>
  <si>
    <t>KARINA PEREZ LOPEZ</t>
  </si>
  <si>
    <t>PAC-01131</t>
  </si>
  <si>
    <t>MONICA VERGARA RAMIREZ</t>
  </si>
  <si>
    <t>PAC-01132</t>
  </si>
  <si>
    <t>ALEJANDRA GOMEZ GUTIERREZ</t>
  </si>
  <si>
    <t>PAC-01133</t>
  </si>
  <si>
    <t>ROXANA CONTRERAS CONTRERAS</t>
  </si>
  <si>
    <t>PAC-01134</t>
  </si>
  <si>
    <t>VALENTINA RIVERA HERRERA</t>
  </si>
  <si>
    <t>PAC-01135</t>
  </si>
  <si>
    <t>JAVIERA ALVAREZ JARA</t>
  </si>
  <si>
    <t>PAC-01136</t>
  </si>
  <si>
    <t>ISABEL CORTES ROJAS</t>
  </si>
  <si>
    <t>PAC-01137</t>
  </si>
  <si>
    <t>CAMILA DIAZ MARTINEZ</t>
  </si>
  <si>
    <t>PAC-01138</t>
  </si>
  <si>
    <t>BARBARA CASTILLO CASTRO</t>
  </si>
  <si>
    <t>PAC-01139</t>
  </si>
  <si>
    <t>TERESA SOTO HERRERA</t>
  </si>
  <si>
    <t>PAC-01140</t>
  </si>
  <si>
    <t>ANA CASTILLO FIGUEROA</t>
  </si>
  <si>
    <t>PAC-01141</t>
  </si>
  <si>
    <t>YESENIA REYES VERGARA</t>
  </si>
  <si>
    <t>PAC-01142</t>
  </si>
  <si>
    <t>LORENA FUENTES DIAZ</t>
  </si>
  <si>
    <t>PAC-01143</t>
  </si>
  <si>
    <t>CECILIA HERRERA CARRASCO</t>
  </si>
  <si>
    <t>PAC-01144</t>
  </si>
  <si>
    <t>CATALINA MARTINEZ DIAZ</t>
  </si>
  <si>
    <t>PAC-01145</t>
  </si>
  <si>
    <t>NATALIA FIGUEROA ALVAREZ</t>
  </si>
  <si>
    <t>PAC-01146</t>
  </si>
  <si>
    <t>VALENTINA MARTINEZ CORTES</t>
  </si>
  <si>
    <t>PAC-01147</t>
  </si>
  <si>
    <t>CAROLINA HERNANDEZ CASTRO</t>
  </si>
  <si>
    <t>PAC-01148</t>
  </si>
  <si>
    <t>ROXANA SANCHEZ GOMEZ</t>
  </si>
  <si>
    <t>PAC-01149</t>
  </si>
  <si>
    <t>TERESA RAMIREZ MORALES</t>
  </si>
  <si>
    <t>PAC-01150</t>
  </si>
  <si>
    <t>MARCELA JARA VERGARA</t>
  </si>
  <si>
    <t>PAC-01151</t>
  </si>
  <si>
    <t>ROSA VALENZUELA VERGARA</t>
  </si>
  <si>
    <t>PAC-01152</t>
  </si>
  <si>
    <t>CATALINA SILVA MARTINEZ</t>
  </si>
  <si>
    <t>PAC-01153</t>
  </si>
  <si>
    <t>ANDREA HERNANDEZ DIAZ</t>
  </si>
  <si>
    <t>PAC-01154</t>
  </si>
  <si>
    <t>CAROLINA NUÑEZ CORTES</t>
  </si>
  <si>
    <t>PAC-01155</t>
  </si>
  <si>
    <t>SILVIA SILVA TORRES</t>
  </si>
  <si>
    <t>PAC-01156</t>
  </si>
  <si>
    <t>VERONICA JARA FUENTES</t>
  </si>
  <si>
    <t>PAC-01157</t>
  </si>
  <si>
    <t>MACARENA HERNANDEZ SEPULVEDA</t>
  </si>
  <si>
    <t>PAC-01158</t>
  </si>
  <si>
    <t>ANA LOPEZ FLORES</t>
  </si>
  <si>
    <t>PAC-01159</t>
  </si>
  <si>
    <t>MONICA FLORES RAMIREZ</t>
  </si>
  <si>
    <t>PAC-01160</t>
  </si>
  <si>
    <t>ALEJANDRA PEREZ SILVA</t>
  </si>
  <si>
    <t>PAC-01161</t>
  </si>
  <si>
    <t>TERESA MORALES PEREZ</t>
  </si>
  <si>
    <t>PAC-01162</t>
  </si>
  <si>
    <t>SILVIA CASTILLO MARTINEZ</t>
  </si>
  <si>
    <t>PAC-01163</t>
  </si>
  <si>
    <t>ANDREA GOMEZ HERRERA</t>
  </si>
  <si>
    <t>PAC-01164</t>
  </si>
  <si>
    <t>MACARENA LOPEZ TORRES</t>
  </si>
  <si>
    <t>PAC-01165</t>
  </si>
  <si>
    <t>ROXANA ESPINOZA VALENZUELA</t>
  </si>
  <si>
    <t>PAC-01166</t>
  </si>
  <si>
    <t>TAMARA RIVERA CARRASCO</t>
  </si>
  <si>
    <t>PAC-01167</t>
  </si>
  <si>
    <t>NATALIA FUENTES JARA</t>
  </si>
  <si>
    <t>PAC-01168</t>
  </si>
  <si>
    <t>TAMARA LOPEZ LOPEZ</t>
  </si>
  <si>
    <t>PAC-01169</t>
  </si>
  <si>
    <t>NICOLE VASQUEZ ARAYA</t>
  </si>
  <si>
    <t>PAC-01170</t>
  </si>
  <si>
    <t>MARCELA SILVA LOPEZ</t>
  </si>
  <si>
    <t>PAC-01171</t>
  </si>
  <si>
    <t>NICOLE FERNANDEZ MARTINEZ</t>
  </si>
  <si>
    <t>PAC-01172</t>
  </si>
  <si>
    <t>XIMENA FUENTES DIAZ</t>
  </si>
  <si>
    <t>PAC-01173</t>
  </si>
  <si>
    <t>GLORIA VERGARA ALVAREZ</t>
  </si>
  <si>
    <t>PAC-01174</t>
  </si>
  <si>
    <t>XIMENA ROJAS VASQUEZ</t>
  </si>
  <si>
    <t>PAC-01175</t>
  </si>
  <si>
    <t>PAULA NUÑEZ MUÑOZ</t>
  </si>
  <si>
    <t>PAC-01176</t>
  </si>
  <si>
    <t>PAMELA GONZALEZ VALENZUELA</t>
  </si>
  <si>
    <t>PAC-01177</t>
  </si>
  <si>
    <t>ANA RAMIREZ REYES</t>
  </si>
  <si>
    <t>PAC-01178</t>
  </si>
  <si>
    <t>JUANA ALVAREZ PEREZ</t>
  </si>
  <si>
    <t>PAC-01179</t>
  </si>
  <si>
    <t>ISABEL NUÑEZ ROJAS</t>
  </si>
  <si>
    <t>PAC-01180</t>
  </si>
  <si>
    <t>XIMENA REYES FLORES</t>
  </si>
  <si>
    <t>PAC-01181</t>
  </si>
  <si>
    <t>NICOLE GONZALEZ MORALES</t>
  </si>
  <si>
    <t>PAC-01182</t>
  </si>
  <si>
    <t>XIMENA SILVA DIAZ</t>
  </si>
  <si>
    <t>PAC-01183</t>
  </si>
  <si>
    <t>MACARENA CORTES FLORES</t>
  </si>
  <si>
    <t>PAC-01184</t>
  </si>
  <si>
    <t>SILVIA HERRERA MARTINEZ</t>
  </si>
  <si>
    <t>PAC-01185</t>
  </si>
  <si>
    <t>MARCELA CONTRERAS PIZARRO</t>
  </si>
  <si>
    <t>PAC-01186</t>
  </si>
  <si>
    <t>TERESA REYES MUÑOZ</t>
  </si>
  <si>
    <t>PAC-01187</t>
  </si>
  <si>
    <t>MARCELA VASQUEZ FERNANDEZ</t>
  </si>
  <si>
    <t>PAC-01188</t>
  </si>
  <si>
    <t>ROXANA SEPULVEDA MARTINEZ</t>
  </si>
  <si>
    <t>PAC-01189</t>
  </si>
  <si>
    <t>SILVIA ARAYA PEREZ</t>
  </si>
  <si>
    <t>PAC-01190</t>
  </si>
  <si>
    <t>NATALIA MORALES HERRERA</t>
  </si>
  <si>
    <t>PAC-01191</t>
  </si>
  <si>
    <t>MARCELA TAPIA PEREZ</t>
  </si>
  <si>
    <t>PAC-01192</t>
  </si>
  <si>
    <t>DANIELA REYES CASTILLO</t>
  </si>
  <si>
    <t>PAC-01193</t>
  </si>
  <si>
    <t>NATALIA MUÑOZ RIVERA</t>
  </si>
  <si>
    <t>PAC-01194</t>
  </si>
  <si>
    <t>ANDREA SANCHEZ FUENTES</t>
  </si>
  <si>
    <t>PAC-01195</t>
  </si>
  <si>
    <t>DANIELA SEPULVEDA FLORES</t>
  </si>
  <si>
    <t>PAC-01196</t>
  </si>
  <si>
    <t>ALEJANDRA PEREZ CORTES</t>
  </si>
  <si>
    <t>PAC-01197</t>
  </si>
  <si>
    <t>ROSA FIGUEROA VASQUEZ</t>
  </si>
  <si>
    <t>PAC-01198</t>
  </si>
  <si>
    <t>ALEJANDRA REYES VALENZUELA</t>
  </si>
  <si>
    <t>PAC-01199</t>
  </si>
  <si>
    <t>SANDRA RAMIREZ ESPINOZA</t>
  </si>
  <si>
    <t>PAC-01200</t>
  </si>
  <si>
    <t>TERESA CONTRERAS GUTIERREZ</t>
  </si>
  <si>
    <t>PAC-01201</t>
  </si>
  <si>
    <t>JAVIERA CASTILLO VERGARA</t>
  </si>
  <si>
    <t>PAC-01202</t>
  </si>
  <si>
    <t>ROSA ESPINOZA TAPIA</t>
  </si>
  <si>
    <t>PAC-01203</t>
  </si>
  <si>
    <t>SANDRA PEREZ FUENTES</t>
  </si>
  <si>
    <t>PAC-01204</t>
  </si>
  <si>
    <t>FERNANDA GOMEZ RAMIREZ</t>
  </si>
  <si>
    <t>PAC-01205</t>
  </si>
  <si>
    <t>XIMENA ESPINOZA PIZARRO</t>
  </si>
  <si>
    <t>PAC-01206</t>
  </si>
  <si>
    <t>PAMELA VALENZUELA FUENTES</t>
  </si>
  <si>
    <t>PAC-01207</t>
  </si>
  <si>
    <t>CAMILA FLORES FIGUEROA</t>
  </si>
  <si>
    <t>PAC-01208</t>
  </si>
  <si>
    <t>CLAUDIA GOMEZ CASTILLO</t>
  </si>
  <si>
    <t>PAC-01209</t>
  </si>
  <si>
    <t>DANIELA SOTO SEPULVEDA</t>
  </si>
  <si>
    <t>PAC-01210</t>
  </si>
  <si>
    <t>PAULA ROJAS MORALES</t>
  </si>
  <si>
    <t>PAC-01211</t>
  </si>
  <si>
    <t>TERESA FUENTES PIZARRO</t>
  </si>
  <si>
    <t>PAC-01212</t>
  </si>
  <si>
    <t>FRANCISCA FERNANDEZ SOTO</t>
  </si>
  <si>
    <t>PAC-01213</t>
  </si>
  <si>
    <t>MARIA NUÑEZ SANCHEZ</t>
  </si>
  <si>
    <t>PAC-01214</t>
  </si>
  <si>
    <t>PATRICIA PEREZ VALENZUELA</t>
  </si>
  <si>
    <t>PAC-01215</t>
  </si>
  <si>
    <t>PAMELA SEPULVEDA SEPULVEDA</t>
  </si>
  <si>
    <t>PAC-01216</t>
  </si>
  <si>
    <t>ANA REYES MORALES</t>
  </si>
  <si>
    <t>PAC-01217</t>
  </si>
  <si>
    <t>CECILIA FUENTES VASQUEZ</t>
  </si>
  <si>
    <t>PAC-01218</t>
  </si>
  <si>
    <t>ROXANA LOPEZ MUÑOZ</t>
  </si>
  <si>
    <t>PAC-01219</t>
  </si>
  <si>
    <t>ANA HERRERA REYES</t>
  </si>
  <si>
    <t>PAC-01220</t>
  </si>
  <si>
    <t>NATALIA REYES GONZALEZ</t>
  </si>
  <si>
    <t>PAC-01221</t>
  </si>
  <si>
    <t>VASTAGOS DIU</t>
  </si>
  <si>
    <t>XIMENA ARAYA CARRASCO</t>
  </si>
  <si>
    <t>PAC-01222</t>
  </si>
  <si>
    <t>PAULA DIAZ ESPINOZA</t>
  </si>
  <si>
    <t>PAC-01223</t>
  </si>
  <si>
    <t>JAVIERA TAPIA FERNANDEZ</t>
  </si>
  <si>
    <t>PAC-01224</t>
  </si>
  <si>
    <t>VERONICA TORRES DIAZ</t>
  </si>
  <si>
    <t>PAC-01225</t>
  </si>
  <si>
    <t>NICOLE HERNANDEZ GONZALEZ</t>
  </si>
  <si>
    <t>PAC-01226</t>
  </si>
  <si>
    <t>MARIA ESPINOZA ROJAS</t>
  </si>
  <si>
    <t>PAC-01227</t>
  </si>
  <si>
    <t>PATRICIA SILVA CASTILLO</t>
  </si>
  <si>
    <t>PAC-01228</t>
  </si>
  <si>
    <t>JAVIERA MORALES GUTIERREZ</t>
  </si>
  <si>
    <t>PAC-01229</t>
  </si>
  <si>
    <t>NICOLE ESPINOZA VERGARA</t>
  </si>
  <si>
    <t>PAC-01230</t>
  </si>
  <si>
    <t>CONSTANZA FUENTES CARRASCO</t>
  </si>
  <si>
    <t>PAC-01231</t>
  </si>
  <si>
    <t>FRANCISCA SEPULVEDA SOTO</t>
  </si>
  <si>
    <t>PAC-01232</t>
  </si>
  <si>
    <t>SOLEDAD REYES RODRIGUEZ</t>
  </si>
  <si>
    <t>PAC-01233</t>
  </si>
  <si>
    <t>MACARENA DIAZ HERRERA</t>
  </si>
  <si>
    <t>PAC-01234</t>
  </si>
  <si>
    <t>SILVIA VASQUEZ FUENTES</t>
  </si>
  <si>
    <t>PAC-01235</t>
  </si>
  <si>
    <t>JUANA RIVERA VALENZUELA</t>
  </si>
  <si>
    <t>PAC-01236</t>
  </si>
  <si>
    <t>ROSA GONZALEZ SANCHEZ</t>
  </si>
  <si>
    <t>PAC-01237</t>
  </si>
  <si>
    <t>KARINA CONTRERAS ALVAREZ</t>
  </si>
  <si>
    <t>PAC-01238</t>
  </si>
  <si>
    <t>MACARENA RODRIGUEZ SILVA</t>
  </si>
  <si>
    <t>PAC-01239</t>
  </si>
  <si>
    <t>SILVIA TORRES REYES</t>
  </si>
  <si>
    <t>PAC-01240</t>
  </si>
  <si>
    <t>ALEJANDRA VALENZUELA GUTIERREZ</t>
  </si>
  <si>
    <t>PAC-01241</t>
  </si>
  <si>
    <t>XIMENA SOTO TAPIA</t>
  </si>
  <si>
    <t>PAC-01242</t>
  </si>
  <si>
    <t>ELENA FERNANDEZ ESPINOZA</t>
  </si>
  <si>
    <t>PAC-01243</t>
  </si>
  <si>
    <t>NATALIA VERGARA MORALES</t>
  </si>
  <si>
    <t>PAC-01244</t>
  </si>
  <si>
    <t>YESENIA TORRES TORRES</t>
  </si>
  <si>
    <t>PAC-01245</t>
  </si>
  <si>
    <t>MARIA FERNANDEZ CASTILLO</t>
  </si>
  <si>
    <t>PAC-01246</t>
  </si>
  <si>
    <t>JAVIERA PEREZ SEPULVEDA</t>
  </si>
  <si>
    <t>PAC-01247</t>
  </si>
  <si>
    <t>LORENA ESPINOZA SILVA</t>
  </si>
  <si>
    <t>PAC-01248</t>
  </si>
  <si>
    <t>TAMARA REYES TAPIA</t>
  </si>
  <si>
    <t>PAC-01249</t>
  </si>
  <si>
    <t>MARIA SILVA RAMIREZ</t>
  </si>
  <si>
    <t>PAC-01250</t>
  </si>
  <si>
    <t>LORENA ESPINOZA MUÑOZ</t>
  </si>
  <si>
    <t>PAC-01251</t>
  </si>
  <si>
    <t>CATALINA GUTIERREZ ALVAREZ</t>
  </si>
  <si>
    <t>PAC-01252</t>
  </si>
  <si>
    <t>MARIA RODRIGUEZ SEPULVEDA</t>
  </si>
  <si>
    <t>PAC-01253</t>
  </si>
  <si>
    <t>VERONICA RAMIREZ CASTILLO</t>
  </si>
  <si>
    <t>PAC-01254</t>
  </si>
  <si>
    <t>BARBARA VASQUEZ CORTES</t>
  </si>
  <si>
    <t>PAC-01255</t>
  </si>
  <si>
    <t>BARBARA TORRES NUÑEZ</t>
  </si>
  <si>
    <t>PAC-01256</t>
  </si>
  <si>
    <t>MACARENA VALENZUELA MORALES</t>
  </si>
  <si>
    <t>PAC-01257</t>
  </si>
  <si>
    <t>SILVIA VALENZUELA RODRIGUEZ</t>
  </si>
  <si>
    <t>PAC-01258</t>
  </si>
  <si>
    <t>MONICA HERNANDEZ GONZALEZ</t>
  </si>
  <si>
    <t>PAC-01259</t>
  </si>
  <si>
    <t>SILVIA NUÑEZ GONZALEZ</t>
  </si>
  <si>
    <t>PAC-01260</t>
  </si>
  <si>
    <t>MARCELA CORTES RODRIGUEZ</t>
  </si>
  <si>
    <t>PAC-01261</t>
  </si>
  <si>
    <t>FRANCISCA ESPINOZA HERRERA</t>
  </si>
  <si>
    <t>PAC-01262</t>
  </si>
  <si>
    <t>MONICA CORTES SOTO</t>
  </si>
  <si>
    <t>PAC-01263</t>
  </si>
  <si>
    <t>CAMILA CORTES MARTINEZ</t>
  </si>
  <si>
    <t>PAC-01264</t>
  </si>
  <si>
    <t>TERESA REYES CARRASCO</t>
  </si>
  <si>
    <t>PAC-01265</t>
  </si>
  <si>
    <t>FRANCISCA RODRIGUEZ TAPIA</t>
  </si>
  <si>
    <t>PAC-01266</t>
  </si>
  <si>
    <t>FRANCISCA JARA RODRIGUEZ</t>
  </si>
  <si>
    <t>PAC-01267</t>
  </si>
  <si>
    <t>CLAUDIA VASQUEZ PIZARRO</t>
  </si>
  <si>
    <t>PAC-01268</t>
  </si>
  <si>
    <t>DANIELA TORRES ARAYA</t>
  </si>
  <si>
    <t>PAC-01269</t>
  </si>
  <si>
    <t>PATRICIA VALENZUELA SOTO</t>
  </si>
  <si>
    <t>PAC-01270</t>
  </si>
  <si>
    <t>NATALIA SOTO TAPIA</t>
  </si>
  <si>
    <t>PAC-01271</t>
  </si>
  <si>
    <t>CAROLINA MUÑOZ FERNANDEZ</t>
  </si>
  <si>
    <t>PAC-01272</t>
  </si>
  <si>
    <t>ELENA NUÑEZ RAMIREZ</t>
  </si>
  <si>
    <t>PAC-01273</t>
  </si>
  <si>
    <t>KARINA MORALES CASTRO</t>
  </si>
  <si>
    <t>PAC-01274</t>
  </si>
  <si>
    <t>CLAUDIA TORRES VASQUEZ</t>
  </si>
  <si>
    <t>PAC-01275</t>
  </si>
  <si>
    <t>ISABEL FIGUEROA ESPINOZA</t>
  </si>
  <si>
    <t>PAC-01276</t>
  </si>
  <si>
    <t>NICOLE ARAYA PIZARRO</t>
  </si>
  <si>
    <t>PAC-01277</t>
  </si>
  <si>
    <t>CAROLINA REYES PEREZ</t>
  </si>
  <si>
    <t>PAC-01278</t>
  </si>
  <si>
    <t>PATRICIA JARA RIVERA</t>
  </si>
  <si>
    <t>PAC-01279</t>
  </si>
  <si>
    <t>TAMARA MARTINEZ FLORES</t>
  </si>
  <si>
    <t>PAC-01280</t>
  </si>
  <si>
    <t>LORENA CONTRERAS CARRASCO</t>
  </si>
  <si>
    <t>PAC-01281</t>
  </si>
  <si>
    <t>TAMARA SANCHEZ VERGARA</t>
  </si>
  <si>
    <t>PAC-01282</t>
  </si>
  <si>
    <t>CUPULA VAGINAL</t>
  </si>
  <si>
    <t>CECILIA NUÑEZ JARA</t>
  </si>
  <si>
    <t>PAC-01283</t>
  </si>
  <si>
    <t>FRANCISCA CORTES ESPINOZA</t>
  </si>
  <si>
    <t>PAC-01284</t>
  </si>
  <si>
    <t>ANA VERGARA NUÑEZ</t>
  </si>
  <si>
    <t>PAC-01285</t>
  </si>
  <si>
    <t>NATALIA PEREZ CARRASCO</t>
  </si>
  <si>
    <t>PAC-01286</t>
  </si>
  <si>
    <t>SANDRA REYES GONZALEZ</t>
  </si>
  <si>
    <t>PAC-01287</t>
  </si>
  <si>
    <t>SANDRA GOMEZ VALENZUELA</t>
  </si>
  <si>
    <t>PAC-01288</t>
  </si>
  <si>
    <t>FERNANDA PEREZ GUTIERREZ</t>
  </si>
  <si>
    <t>PAC-01289</t>
  </si>
  <si>
    <t>ANA RODRIGUEZ FUENTES</t>
  </si>
  <si>
    <t>PAC-01290</t>
  </si>
  <si>
    <t>FERNANDA CASTILLO PEREZ</t>
  </si>
  <si>
    <t>PAC-01291</t>
  </si>
  <si>
    <t>SANDRA SANCHEZ CASTRO</t>
  </si>
  <si>
    <t>PAC-01292</t>
  </si>
  <si>
    <t>ANDREA GONZALEZ MUÑOZ</t>
  </si>
  <si>
    <t>PAC-01293</t>
  </si>
  <si>
    <t>CLAUDIA CASTRO TORRES</t>
  </si>
  <si>
    <t>PAC-01294</t>
  </si>
  <si>
    <t>MONICA VERGARA HERNANDEZ</t>
  </si>
  <si>
    <t>PAC-01295</t>
  </si>
  <si>
    <t>VERONICA VALENZUELA ALVAREZ</t>
  </si>
  <si>
    <t>PAC-01296</t>
  </si>
  <si>
    <t>JAVIERA FERNANDEZ SEPULVEDA</t>
  </si>
  <si>
    <t>PAC-01297</t>
  </si>
  <si>
    <t>ANA FERNANDEZ TORRES</t>
  </si>
  <si>
    <t>PAC-01298</t>
  </si>
  <si>
    <t>DANIELA TORRES FIGUEROA</t>
  </si>
  <si>
    <t>PAC-01299</t>
  </si>
  <si>
    <t>LORENA HERNANDEZ REYES</t>
  </si>
  <si>
    <t>PAC-01300</t>
  </si>
  <si>
    <t>MONICA NUÑEZ GONZALEZ</t>
  </si>
  <si>
    <t>PAC-01301</t>
  </si>
  <si>
    <t>FERNANDA CARRASCO SEPULVEDA</t>
  </si>
  <si>
    <t>PAC-01302</t>
  </si>
  <si>
    <t>NATALIA SILVA HERNANDEZ</t>
  </si>
  <si>
    <t>PAC-01303</t>
  </si>
  <si>
    <t>BARBARA HERRERA GUTIERREZ</t>
  </si>
  <si>
    <t>PAC-01304</t>
  </si>
  <si>
    <t>ANDREA CASTILLO FUENTES</t>
  </si>
  <si>
    <t>PAC-01305</t>
  </si>
  <si>
    <t>CAROLINA MUÑOZ VASQUEZ</t>
  </si>
  <si>
    <t>PAC-01306</t>
  </si>
  <si>
    <t>ISABEL GOMEZ DIAZ</t>
  </si>
  <si>
    <t>PAC-01307</t>
  </si>
  <si>
    <t>JAVIERA SEPULVEDA RAMIREZ</t>
  </si>
  <si>
    <t>PAC-01308</t>
  </si>
  <si>
    <t>CLAUDIA GUTIERREZ GUTIERREZ</t>
  </si>
  <si>
    <t>PAC-01309</t>
  </si>
  <si>
    <t>VALENTINA CORTES CONTRERAS</t>
  </si>
  <si>
    <t>PAC-01310</t>
  </si>
  <si>
    <t>ROXANA RAMIREZ VALENZUELA</t>
  </si>
  <si>
    <t>PAC-01311</t>
  </si>
  <si>
    <t>MONICA PIZARRO RIVERA</t>
  </si>
  <si>
    <t>PAC-01312</t>
  </si>
  <si>
    <t>XIMENA HERRERA ARAYA</t>
  </si>
  <si>
    <t>PAC-01313</t>
  </si>
  <si>
    <t>DANIELA FERNANDEZ CONTRERAS</t>
  </si>
  <si>
    <t>PAC-01314</t>
  </si>
  <si>
    <t>CAMILA CASTILLO FUENTES</t>
  </si>
  <si>
    <t>PAC-01315</t>
  </si>
  <si>
    <t>VERONICA JARA ARAYA</t>
  </si>
  <si>
    <t>PAC-01316</t>
  </si>
  <si>
    <t>ANA SILVA CARRASCO</t>
  </si>
  <si>
    <t>PAC-01317</t>
  </si>
  <si>
    <t>CLAUDIA CARRASCO MARTINEZ</t>
  </si>
  <si>
    <t>PAC-01318</t>
  </si>
  <si>
    <t>ROXANA TORRES ESPINOZA</t>
  </si>
  <si>
    <t>PAC-01319</t>
  </si>
  <si>
    <t>ANA CASTILLO CASTRO</t>
  </si>
  <si>
    <t>PAC-01320</t>
  </si>
  <si>
    <t>ANDREA CONTRERAS FUENTES</t>
  </si>
  <si>
    <t>PAC-01321</t>
  </si>
  <si>
    <t>NICOLE RIVERA SEPULVEDA</t>
  </si>
  <si>
    <t>PAC-01322</t>
  </si>
  <si>
    <t>JAVIERA LOPEZ DIAZ</t>
  </si>
  <si>
    <t>PAC-01323</t>
  </si>
  <si>
    <t>XIMENA CARRASCO FERNANDEZ</t>
  </si>
  <si>
    <t>PAC-01324</t>
  </si>
  <si>
    <t>NATALIA FUENTES MUÑOZ</t>
  </si>
  <si>
    <t>PAC-01325</t>
  </si>
  <si>
    <t>LORENA NUÑEZ HERRERA</t>
  </si>
  <si>
    <t>PAC-01326</t>
  </si>
  <si>
    <t>VERONICA HERNANDEZ JARA</t>
  </si>
  <si>
    <t>PAC-01327</t>
  </si>
  <si>
    <t>CATALINA VALENZUELA SANCHEZ</t>
  </si>
  <si>
    <t>PAC-01328</t>
  </si>
  <si>
    <t>ANA MORALES REYES</t>
  </si>
  <si>
    <t>PAC-01329</t>
  </si>
  <si>
    <t>VALENTINA MUÑOZ GOMEZ</t>
  </si>
  <si>
    <t>PAC-01330</t>
  </si>
  <si>
    <t>SOLEDAD ALVAREZ VALENZUELA</t>
  </si>
  <si>
    <t>PAC-01331</t>
  </si>
  <si>
    <t>JUANA DIAZ TAPIA</t>
  </si>
  <si>
    <t>PAC-01332</t>
  </si>
  <si>
    <t>TAMARA ARAYA VERGARA</t>
  </si>
  <si>
    <t>PAC-01333</t>
  </si>
  <si>
    <t>NATALIA MARTINEZ CONTRERAS</t>
  </si>
  <si>
    <t>PAC-01334</t>
  </si>
  <si>
    <t>GLORIA RAMIREZ GOMEZ</t>
  </si>
  <si>
    <t>PAC-01335</t>
  </si>
  <si>
    <t>JAVIERA TAPIA MORALES</t>
  </si>
  <si>
    <t>PAC-01336</t>
  </si>
  <si>
    <t>DANIELA JARA VASQUEZ</t>
  </si>
  <si>
    <t>PAC-01337</t>
  </si>
  <si>
    <t>SILVIA CASTILLO GONZALEZ</t>
  </si>
  <si>
    <t>PAC-01338</t>
  </si>
  <si>
    <t>GLORIA CORTES HERNANDEZ</t>
  </si>
  <si>
    <t>PAC-01339</t>
  </si>
  <si>
    <t>KARINA SEPULVEDA GOMEZ</t>
  </si>
  <si>
    <t>PAC-01340</t>
  </si>
  <si>
    <t>YESENIA ROJAS DIAZ</t>
  </si>
  <si>
    <t>PAC-01341</t>
  </si>
  <si>
    <t>CLAUDIA VERGARA CASTRO</t>
  </si>
  <si>
    <t>PAC-01342</t>
  </si>
  <si>
    <t>CONSTANZA VASQUEZ ARAYA</t>
  </si>
  <si>
    <t>PAC-01343</t>
  </si>
  <si>
    <t>PATRICIA SOTO MARTINEZ</t>
  </si>
  <si>
    <t>PAC-01344</t>
  </si>
  <si>
    <t>JAVIERA REYES TAPIA</t>
  </si>
  <si>
    <t>PAC-01345</t>
  </si>
  <si>
    <t>DANIELA GONZALEZ GONZALEZ</t>
  </si>
  <si>
    <t>PAC-01346</t>
  </si>
  <si>
    <t>NATALIA GOMEZ VALENZUELA</t>
  </si>
  <si>
    <t>PAC-01347</t>
  </si>
  <si>
    <t>DANIELA SEPULVEDA ROJAS</t>
  </si>
  <si>
    <t>PAC-01348</t>
  </si>
  <si>
    <t>I</t>
  </si>
  <si>
    <t>ROXANA LOPEZ MORALES</t>
  </si>
  <si>
    <t>PAC-01349</t>
  </si>
  <si>
    <t>XIMENA FUENTES CORTES</t>
  </si>
  <si>
    <t>PAC-01350</t>
  </si>
  <si>
    <t>VERONICA ROJAS SILVA</t>
  </si>
  <si>
    <t>PAC-01351</t>
  </si>
  <si>
    <t>GLORIA ESPINOZA FERNANDEZ</t>
  </si>
  <si>
    <t>PAC-01352</t>
  </si>
  <si>
    <t>GLORIA TAPIA REYES</t>
  </si>
  <si>
    <t>PAC-01353</t>
  </si>
  <si>
    <t>CONSTANZA SOTO VALENZUELA</t>
  </si>
  <si>
    <t>PAC-01354</t>
  </si>
  <si>
    <t>JAVIERA FERNANDEZ PEREZ</t>
  </si>
  <si>
    <t>PAC-01355</t>
  </si>
  <si>
    <t>TAMARA ROJAS REYES</t>
  </si>
  <si>
    <t>PAC-01356</t>
  </si>
  <si>
    <t>CAROLINA GOMEZ ALVAREZ</t>
  </si>
  <si>
    <t>PAC-01357</t>
  </si>
  <si>
    <t>PATRICIA GOMEZ ARAYA</t>
  </si>
  <si>
    <t>PAC-01358</t>
  </si>
  <si>
    <t>GLORIA ALVAREZ FLORES</t>
  </si>
  <si>
    <t>PAC-01359</t>
  </si>
  <si>
    <t>PATRICIA MUÑOZ VALENZUELA</t>
  </si>
  <si>
    <t>PAC-01360</t>
  </si>
  <si>
    <t>VERONICA NUÑEZ CARRASCO</t>
  </si>
  <si>
    <t>PAC-01361</t>
  </si>
  <si>
    <t>PATRICIA DIAZ GONZALEZ</t>
  </si>
  <si>
    <t>PAC-01362</t>
  </si>
  <si>
    <t>CLAUDIA SANCHEZ VALENZUELA</t>
  </si>
  <si>
    <t>PAC-01363</t>
  </si>
  <si>
    <t>FRANCISCA SOTO JARA</t>
  </si>
  <si>
    <t>PAC-01364</t>
  </si>
  <si>
    <t>DANIELA RIVERA RIVERA</t>
  </si>
  <si>
    <t>PAC-01365</t>
  </si>
  <si>
    <t>ELENA CORTES TAPIA</t>
  </si>
  <si>
    <t>PAC-01366</t>
  </si>
  <si>
    <t>ANA JARA REYES</t>
  </si>
  <si>
    <t>PAC-01367</t>
  </si>
  <si>
    <t>SOLEDAD CASTILLO FIGUEROA</t>
  </si>
  <si>
    <t>PAC-01368</t>
  </si>
  <si>
    <t>ALEJANDRA CASTRO VALENZUELA</t>
  </si>
  <si>
    <t>PAC-01369</t>
  </si>
  <si>
    <t>CATALINA MARTINEZ PEREZ</t>
  </si>
  <si>
    <t>PAC-01370</t>
  </si>
  <si>
    <t>VERONICA RAMIREZ FIGUEROA</t>
  </si>
  <si>
    <t>PAC-01371</t>
  </si>
  <si>
    <t>CECILIA LOPEZ FERNANDEZ</t>
  </si>
  <si>
    <t>PAC-01372</t>
  </si>
  <si>
    <t>JUANA ARAYA FERNANDEZ</t>
  </si>
  <si>
    <t>PAC-01373</t>
  </si>
  <si>
    <t>SILVIA FLORES SEPULVEDA</t>
  </si>
  <si>
    <t>PAC-01374</t>
  </si>
  <si>
    <t>ELENA TORRES GONZALEZ</t>
  </si>
  <si>
    <t>PAC-01375</t>
  </si>
  <si>
    <t>ANDREA HERNANDEZ MORALES</t>
  </si>
  <si>
    <t>PAC-01376</t>
  </si>
  <si>
    <t>ALEJANDRA GOMEZ ESPINOZA</t>
  </si>
  <si>
    <t>PAC-01377</t>
  </si>
  <si>
    <t>ELENA PIZARRO CASTRO</t>
  </si>
  <si>
    <t>PAC-01378</t>
  </si>
  <si>
    <t>YESENIA ESPINOZA MUÑOZ</t>
  </si>
  <si>
    <t>PAC-01379</t>
  </si>
  <si>
    <t>CAROLINA DIAZ GOMEZ</t>
  </si>
  <si>
    <t>PAC-01380</t>
  </si>
  <si>
    <t>IG7J1</t>
  </si>
  <si>
    <t>MARCELA REYES JARA</t>
  </si>
  <si>
    <t>PAC-01381</t>
  </si>
  <si>
    <t>SOLEDAD MORALES RIVERA</t>
  </si>
  <si>
    <t>PAC-01382</t>
  </si>
  <si>
    <t>ISABEL ROJAS ARAYA</t>
  </si>
  <si>
    <t>PAC-01383</t>
  </si>
  <si>
    <t>CATALINA RAMIREZ REYES</t>
  </si>
  <si>
    <t>PAC-01384</t>
  </si>
  <si>
    <t>MARCELA PEREZ GUTIERREZ</t>
  </si>
  <si>
    <t>PAC-01385</t>
  </si>
  <si>
    <t>CLAUDIA ARAYA JARA</t>
  </si>
  <si>
    <t>PAC-01386</t>
  </si>
  <si>
    <t>TERESA CASTRO JARA</t>
  </si>
  <si>
    <t>PAC-01387</t>
  </si>
  <si>
    <t>CATALINA SILVA CARRASCO</t>
  </si>
  <si>
    <t>PAC-01388</t>
  </si>
  <si>
    <t>ELENA FLORES GOMEZ</t>
  </si>
  <si>
    <t>PAC-01389</t>
  </si>
  <si>
    <t>JAVIERA RAMIREZ FUENTES</t>
  </si>
  <si>
    <t>PAC-01390</t>
  </si>
  <si>
    <t>DANIELA VERGARA GONZALEZ</t>
  </si>
  <si>
    <t>PAC-01391</t>
  </si>
  <si>
    <t>MACARENA ROJAS CASTILLO</t>
  </si>
  <si>
    <t>PAC-01392</t>
  </si>
  <si>
    <t>JAVIERA LOPEZ TORRES</t>
  </si>
  <si>
    <t>PAC-01393</t>
  </si>
  <si>
    <t>CONSTANZA REYES JARA</t>
  </si>
  <si>
    <t>PAC-01394</t>
  </si>
  <si>
    <t>ROSA FERNANDEZ ARAYA</t>
  </si>
  <si>
    <t>PAC-01395</t>
  </si>
  <si>
    <t>YESENIA RIVERA RAMIREZ</t>
  </si>
  <si>
    <t>PAC-01396</t>
  </si>
  <si>
    <t>CONSTANZA SANCHEZ FIGUEROA</t>
  </si>
  <si>
    <t>PAC-01397</t>
  </si>
  <si>
    <t>CAMILA VALENZUELA HERNANDEZ</t>
  </si>
  <si>
    <t>PAC-01398</t>
  </si>
  <si>
    <t>VERONICA FUENTES ESPINOZA</t>
  </si>
  <si>
    <t>PAC-01399</t>
  </si>
  <si>
    <t>CECILIA CARRASCO ROJAS</t>
  </si>
  <si>
    <t>PAC-01400</t>
  </si>
  <si>
    <t>MONICA LOPEZ PEREZ</t>
  </si>
  <si>
    <t>PAC-01401</t>
  </si>
  <si>
    <t>VALENTINA VERGARA RIVERA</t>
  </si>
  <si>
    <t>PAC-01402</t>
  </si>
  <si>
    <t>XIMENA NUÑEZ ESPINOZA</t>
  </si>
  <si>
    <t>PAC-01403</t>
  </si>
  <si>
    <t>VERONICA NUÑEZ ARAYA</t>
  </si>
  <si>
    <t>PAC-01404</t>
  </si>
  <si>
    <t>CLAUDIA NUÑEZ TORRES</t>
  </si>
  <si>
    <t>PAC-01405</t>
  </si>
  <si>
    <t>MONICA REYES SOTO</t>
  </si>
  <si>
    <t>PAC-01406</t>
  </si>
  <si>
    <t>DANIELA RODRIGUEZ ALVAREZ</t>
  </si>
  <si>
    <t>PAC-01407</t>
  </si>
  <si>
    <t>ALEJANDRA REYES FIGUEROA</t>
  </si>
  <si>
    <t>PAC-01408</t>
  </si>
  <si>
    <t>DANIELA TORRES ALVAREZ</t>
  </si>
  <si>
    <t>PAC-01409</t>
  </si>
  <si>
    <t>JUANA SEPULVEDA SILVA</t>
  </si>
  <si>
    <t>PAC-01410</t>
  </si>
  <si>
    <t>VERONICA DIAZ HERNANDEZ</t>
  </si>
  <si>
    <t>PAC-01411</t>
  </si>
  <si>
    <t>MONICA MUÑOZ VERGARA</t>
  </si>
  <si>
    <t>PAC-01412</t>
  </si>
  <si>
    <t>MARCELA ALVAREZ VERGARA</t>
  </si>
  <si>
    <t>PAC-01413</t>
  </si>
  <si>
    <t>MONICA TORRES ESPINOZA</t>
  </si>
  <si>
    <t>PAC-01414</t>
  </si>
  <si>
    <t>VALENTINA DIAZ SANCHEZ</t>
  </si>
  <si>
    <t>PAC-01415</t>
  </si>
  <si>
    <t>ISABEL MARTINEZ VASQUEZ</t>
  </si>
  <si>
    <t>PAC-01416</t>
  </si>
  <si>
    <t>PAMELA RODRIGUEZ FERNANDEZ</t>
  </si>
  <si>
    <t>PAC-01417</t>
  </si>
  <si>
    <t>VERONICA ROJAS VALENZUELA</t>
  </si>
  <si>
    <t>PAC-01418</t>
  </si>
  <si>
    <t>TERESA HERNANDEZ JARA</t>
  </si>
  <si>
    <t>PAC-01419</t>
  </si>
  <si>
    <t>PAULA FIGUEROA RODRIGUEZ</t>
  </si>
  <si>
    <t>PAC-01420</t>
  </si>
  <si>
    <t>ROSA CORTES TAPIA</t>
  </si>
  <si>
    <t>PAC-01421</t>
  </si>
  <si>
    <t>VALENTINA CORTES FIGUEROA</t>
  </si>
  <si>
    <t>PAC-01422</t>
  </si>
  <si>
    <t>CONSTANZA MARTINEZ SEPULVEDA</t>
  </si>
  <si>
    <t>PAC-01423</t>
  </si>
  <si>
    <t>PATRICIA CASTRO RIVERA</t>
  </si>
  <si>
    <t>PAC-01424</t>
  </si>
  <si>
    <t>MACARENA HERNANDEZ DIAZ</t>
  </si>
  <si>
    <t>PAC-01425</t>
  </si>
  <si>
    <t>NATALIA LOPEZ TAPIA</t>
  </si>
  <si>
    <t>PAC-01426</t>
  </si>
  <si>
    <t>YESENIA TORRES TAPIA</t>
  </si>
  <si>
    <t>PAC-01427</t>
  </si>
  <si>
    <t>NICOLE ROJAS CONTRERAS</t>
  </si>
  <si>
    <t>PAC-01428</t>
  </si>
  <si>
    <t>ANDREA GONZALEZ CONTRERAS</t>
  </si>
  <si>
    <t>PAC-01429</t>
  </si>
  <si>
    <t>MACARENA RIVERA ALVAREZ</t>
  </si>
  <si>
    <t>PAC-01430</t>
  </si>
  <si>
    <t>DANIELA NUÑEZ VASQUEZ</t>
  </si>
  <si>
    <t>PAC-01431</t>
  </si>
  <si>
    <t>ANDREA GOMEZ MUÑOZ</t>
  </si>
  <si>
    <t>PAC-01432</t>
  </si>
  <si>
    <t>JUANA JARA HERRERA</t>
  </si>
  <si>
    <t>PAC-01433</t>
  </si>
  <si>
    <t>VALENTINA NUÑEZ LOPEZ</t>
  </si>
  <si>
    <t>PAC-01434</t>
  </si>
  <si>
    <t>MONICA HERNANDEZ SOTO</t>
  </si>
  <si>
    <t>PAC-01435</t>
  </si>
  <si>
    <t>GLORIA RAMIREZ SILVA</t>
  </si>
  <si>
    <t>PAC-01436</t>
  </si>
  <si>
    <t>ANA DIAZ FUENTES</t>
  </si>
  <si>
    <t>PAC-01437</t>
  </si>
  <si>
    <t>CECILIA SOTO RODRIGUEZ</t>
  </si>
  <si>
    <t>PAC-01438</t>
  </si>
  <si>
    <t>LORENA GOMEZ TAPIA</t>
  </si>
  <si>
    <t>PAC-01439</t>
  </si>
  <si>
    <t>PAMELA REYES PEREZ</t>
  </si>
  <si>
    <t>PAC-01440</t>
  </si>
  <si>
    <t>MARIA VASQUEZ RIVERA</t>
  </si>
  <si>
    <t>PAC-01441</t>
  </si>
  <si>
    <t>XIMENA CARRASCO VALENZUELA</t>
  </si>
  <si>
    <t>PAC-01442</t>
  </si>
  <si>
    <t>NATALIA SOTO DIAZ</t>
  </si>
  <si>
    <t>PAC-01443</t>
  </si>
  <si>
    <t>CAMILA ESPINOZA REYES</t>
  </si>
  <si>
    <t>PAC-01444</t>
  </si>
  <si>
    <t>TAMARA GOMEZ VERGARA</t>
  </si>
  <si>
    <t>PAC-01445</t>
  </si>
  <si>
    <t>NICOLE VASQUEZ GONZALEZ</t>
  </si>
  <si>
    <t>PAC-01446</t>
  </si>
  <si>
    <t>ALEJANDRA CORTES CONTRERAS</t>
  </si>
  <si>
    <t>PAC-01447</t>
  </si>
  <si>
    <t>ALEJANDRA PIZARRO CONTRERAS</t>
  </si>
  <si>
    <t>PAC-01448</t>
  </si>
  <si>
    <t>FRANCISCA CASTILLO RAMIREZ</t>
  </si>
  <si>
    <t>PAC-01449</t>
  </si>
  <si>
    <t>LORENA MORALES VASQUEZ</t>
  </si>
  <si>
    <t>PAC-01450</t>
  </si>
  <si>
    <t>ROXANA CASTILLO ROJAS</t>
  </si>
  <si>
    <t>PAC-01451</t>
  </si>
  <si>
    <t>FERNANDA FERNANDEZ RIVERA</t>
  </si>
  <si>
    <t>PAC-01452</t>
  </si>
  <si>
    <t>TAMARA FUENTES CORTES</t>
  </si>
  <si>
    <t>PAC-01453</t>
  </si>
  <si>
    <t>CATALINA REYES MORALES</t>
  </si>
  <si>
    <t>PAC-01454</t>
  </si>
  <si>
    <t>FERNANDA SEPULVEDA RAMIREZ</t>
  </si>
  <si>
    <t>PAC-01455</t>
  </si>
  <si>
    <t>PAULA VASQUEZ CORTES</t>
  </si>
  <si>
    <t>PAC-01456</t>
  </si>
  <si>
    <t>BARBARA ARAYA SANCHEZ</t>
  </si>
  <si>
    <t>PAC-01457</t>
  </si>
  <si>
    <t>ANDREA CORTES FERNANDEZ</t>
  </si>
  <si>
    <t>PAC-01458</t>
  </si>
  <si>
    <t>ROXANA REYES FIGUEROA</t>
  </si>
  <si>
    <t>PAC-01459</t>
  </si>
  <si>
    <t>ALEJANDRA SOTO PIZARRO</t>
  </si>
  <si>
    <t>PAC-01460</t>
  </si>
  <si>
    <t>CLAUDIA MORALES GONZALEZ</t>
  </si>
  <si>
    <t>PAC-01461</t>
  </si>
  <si>
    <t>BARBARA NUÑEZ LOPEZ</t>
  </si>
  <si>
    <t>PAC-01462</t>
  </si>
  <si>
    <t>SOLEDAD TAPIA PEREZ</t>
  </si>
  <si>
    <t>PAC-01463</t>
  </si>
  <si>
    <t>PATRICIA RAMIREZ SEPULVEDA</t>
  </si>
  <si>
    <t>PAC-01464</t>
  </si>
  <si>
    <t>DANIELA FUENTES RODRIGUEZ</t>
  </si>
  <si>
    <t>PAC-01465</t>
  </si>
  <si>
    <t>ALEJANDRA RIVERA SOTO</t>
  </si>
  <si>
    <t>PAC-01466</t>
  </si>
  <si>
    <t>ELENA VASQUEZ CASTRO</t>
  </si>
  <si>
    <t>PAC-01467</t>
  </si>
  <si>
    <t>ROXANA SILVA ARAYA</t>
  </si>
  <si>
    <t>PAC-01468</t>
  </si>
  <si>
    <t>MARIA TORRES PIZARRO</t>
  </si>
  <si>
    <t>PAC-01469</t>
  </si>
  <si>
    <t>CATALINA CONTRERAS CORTES</t>
  </si>
  <si>
    <t>PAC-01470</t>
  </si>
  <si>
    <t>PAULA GOMEZ TAPIA</t>
  </si>
  <si>
    <t>PAC-01471</t>
  </si>
  <si>
    <t>SANDRA FUENTES JARA</t>
  </si>
  <si>
    <t>PAC-01472</t>
  </si>
  <si>
    <t>SILVIA SANCHEZ SANCHEZ</t>
  </si>
  <si>
    <t>PAC-01473</t>
  </si>
  <si>
    <t>MARIA ROJAS GUTIERREZ</t>
  </si>
  <si>
    <t>PAC-01474</t>
  </si>
  <si>
    <t>TERESA MUÑOZ FIGUEROA</t>
  </si>
  <si>
    <t>PAC-01475</t>
  </si>
  <si>
    <t>VERONICA HERNANDEZ RODRIGUEZ</t>
  </si>
  <si>
    <t>PAC-01476</t>
  </si>
  <si>
    <t>GLORIA TORRES GOMEZ</t>
  </si>
  <si>
    <t>PAC-01477</t>
  </si>
  <si>
    <t>CATALINA PEREZ FLORES</t>
  </si>
  <si>
    <t>PAC-01478</t>
  </si>
  <si>
    <t>SILVIA HERNANDEZ GOMEZ</t>
  </si>
  <si>
    <t>PAC-01479</t>
  </si>
  <si>
    <t>CATALINA TORRES HERNANDEZ</t>
  </si>
  <si>
    <t>PAC-01480</t>
  </si>
  <si>
    <t>ELENA VERGARA GUTIERREZ</t>
  </si>
  <si>
    <t>PAC-01481</t>
  </si>
  <si>
    <t>CONSTANZA VERGARA VASQUEZ</t>
  </si>
  <si>
    <t>PAC-01482</t>
  </si>
  <si>
    <t>ISABEL FIGUEROA HERNANDEZ</t>
  </si>
  <si>
    <t>PAC-01483</t>
  </si>
  <si>
    <t>DANIELA MORALES MARTINEZ</t>
  </si>
  <si>
    <t>PAC-01484</t>
  </si>
  <si>
    <t>TAMARA DIAZ FUENTES</t>
  </si>
  <si>
    <t>PAC-01485</t>
  </si>
  <si>
    <t>VALENTINA GONZALEZ CARRASCO</t>
  </si>
  <si>
    <t>PAC-01486</t>
  </si>
  <si>
    <t>VALENTINA HERRERA VERGARA</t>
  </si>
  <si>
    <t>PAC-01487</t>
  </si>
  <si>
    <t>ANDREA SILVA</t>
  </si>
  <si>
    <t>PAULA ROJAS RAMIREZ</t>
  </si>
  <si>
    <t>PAC-01488</t>
  </si>
  <si>
    <t>TERESA DIAZ SANCHEZ</t>
  </si>
  <si>
    <t>PAC-01489</t>
  </si>
  <si>
    <t>NATALIA ALVAREZ LOPEZ</t>
  </si>
  <si>
    <t>PAC-01490</t>
  </si>
  <si>
    <t>FRANCISCA PIZARRO LOPEZ</t>
  </si>
  <si>
    <t>PAC-01491</t>
  </si>
  <si>
    <t>TAMARA GOMEZ MORALES</t>
  </si>
  <si>
    <t>PAC-01492</t>
  </si>
  <si>
    <t>DANIELA CASTILLO GONZALEZ</t>
  </si>
  <si>
    <t>PAC-01493</t>
  </si>
  <si>
    <t>ELENA SOTO CONTRERAS</t>
  </si>
  <si>
    <t>PAC-01494</t>
  </si>
  <si>
    <t>VALENTINA MUÑOZ TORRES</t>
  </si>
  <si>
    <t>PAC-01495</t>
  </si>
  <si>
    <t>BARBARA LOPEZ CASTILLO</t>
  </si>
  <si>
    <t>PAC-01496</t>
  </si>
  <si>
    <t>CONSTANZA LOPEZ RIVERA</t>
  </si>
  <si>
    <t>PAC-01497</t>
  </si>
  <si>
    <t>FERNANDA PEREZ HERNANDEZ</t>
  </si>
  <si>
    <t>PAC-01498</t>
  </si>
  <si>
    <t>VALENTINA VALENZUELA SILVA</t>
  </si>
  <si>
    <t>PAC-01499</t>
  </si>
  <si>
    <t>DANIELA DIAZ HERNANDEZ</t>
  </si>
  <si>
    <t>PAC-01500</t>
  </si>
  <si>
    <t>TAMARA HERRERA PIZARRO</t>
  </si>
  <si>
    <t>PAC-01501</t>
  </si>
  <si>
    <t>KARINA GOMEZ GONZALEZ</t>
  </si>
  <si>
    <t>PAC-01502</t>
  </si>
  <si>
    <t>FERNANDA HERRERA PEREZ</t>
  </si>
  <si>
    <t>PAC-01503</t>
  </si>
  <si>
    <t>DANIELA TORRES GUTIERREZ</t>
  </si>
  <si>
    <t>PAC-01504</t>
  </si>
  <si>
    <t>FRANCISCA CONTRERAS NUÑEZ</t>
  </si>
  <si>
    <t>PAC-01505</t>
  </si>
  <si>
    <t>NATALIA DIAZ NUÑEZ</t>
  </si>
  <si>
    <t>PAC-01506</t>
  </si>
  <si>
    <t>MARIA RIVERA ESPINOZA</t>
  </si>
  <si>
    <t>PAC-01507</t>
  </si>
  <si>
    <t>VERONICA PIZARRO GUTIERREZ</t>
  </si>
  <si>
    <t>PAC-01508</t>
  </si>
  <si>
    <t>CAMILA GUTIERREZ VERGARA</t>
  </si>
  <si>
    <t>PAC-01509</t>
  </si>
  <si>
    <t>JUANA CORTES CONTRERAS</t>
  </si>
  <si>
    <t>PAC-01510</t>
  </si>
  <si>
    <t>LORENA GOMEZ PEREZ</t>
  </si>
  <si>
    <t>PAC-01511</t>
  </si>
  <si>
    <t>ELENA VASQUEZ FUENTES</t>
  </si>
  <si>
    <t>PAC-01512</t>
  </si>
  <si>
    <t>YESENIA TAPIA MUÑOZ</t>
  </si>
  <si>
    <t>PAC-01513</t>
  </si>
  <si>
    <t>MARIA RAMIREZ CORTES</t>
  </si>
  <si>
    <t>PAC-01514</t>
  </si>
  <si>
    <t>SANDRA RODRIGUEZ ESPINOZA</t>
  </si>
  <si>
    <t>PAC-01515</t>
  </si>
  <si>
    <t>PAULA FLORES LOPEZ</t>
  </si>
  <si>
    <t>PAC-01516</t>
  </si>
  <si>
    <t>LORENA PEREZ GONZALEZ</t>
  </si>
  <si>
    <t>PAC-01517</t>
  </si>
  <si>
    <t>PAMELA SANCHEZ CASTILLO</t>
  </si>
  <si>
    <t>PAC-01518</t>
  </si>
  <si>
    <t>PAMELA FLORES PIZARRO</t>
  </si>
  <si>
    <t>PAC-01519</t>
  </si>
  <si>
    <t>FRANCISCA SOTO TAPIA</t>
  </si>
  <si>
    <t>PAC-01520</t>
  </si>
  <si>
    <t>SILVIA CARRASCO NUÑEZ</t>
  </si>
  <si>
    <t>PAC-01521</t>
  </si>
  <si>
    <t>VALENTINA GUTIERREZ FUENTES</t>
  </si>
  <si>
    <t>PAC-01522</t>
  </si>
  <si>
    <t>MARIA RIVERA GONZALEZ</t>
  </si>
  <si>
    <t>PAC-01523</t>
  </si>
  <si>
    <t>ISABEL HERRERA FUENTES</t>
  </si>
  <si>
    <t>PAC-01524</t>
  </si>
  <si>
    <t>TAMARA PIZARRO ROJAS</t>
  </si>
  <si>
    <t>PAC-01525</t>
  </si>
  <si>
    <t>KARINA RODRIGUEZ FUENTES</t>
  </si>
  <si>
    <t>PAC-01526</t>
  </si>
  <si>
    <t>CAMILA NUÑEZ ARAYA</t>
  </si>
  <si>
    <t>PAC-01527</t>
  </si>
  <si>
    <t>MACARENA RODRIGUEZ RIVERA</t>
  </si>
  <si>
    <t>PAC-01528</t>
  </si>
  <si>
    <t>MARIA VERGARA VALENZUELA</t>
  </si>
  <si>
    <t>PAC-01529</t>
  </si>
  <si>
    <t>JUANA REYES PIZARRO</t>
  </si>
  <si>
    <t>PAC-01530</t>
  </si>
  <si>
    <t>GLORIA NUÑEZ NUÑEZ</t>
  </si>
  <si>
    <t>PAC-01531</t>
  </si>
  <si>
    <t>JUANA PEREZ LOPEZ</t>
  </si>
  <si>
    <t>PAC-01532</t>
  </si>
  <si>
    <t>CECILIA FLORES NUÑEZ</t>
  </si>
  <si>
    <t>PAC-01533</t>
  </si>
  <si>
    <t>KARINA PEREZ PEREZ</t>
  </si>
  <si>
    <t>PAC-01534</t>
  </si>
  <si>
    <t>XIMENA FERNANDEZ SILVA</t>
  </si>
  <si>
    <t>PAC-01535</t>
  </si>
  <si>
    <t>MONICA TORRES FUENTES</t>
  </si>
  <si>
    <t>PAC-01536</t>
  </si>
  <si>
    <t>ANA PEREZ SILVA</t>
  </si>
  <si>
    <t>PAC-01537</t>
  </si>
  <si>
    <t>KARINA MUÑOZ GONZALEZ</t>
  </si>
  <si>
    <t>PAC-01538</t>
  </si>
  <si>
    <t>CLAUDIA PIZARRO RIVERA</t>
  </si>
  <si>
    <t>PAC-01539</t>
  </si>
  <si>
    <t>KARINA MARTINEZ PEREZ</t>
  </si>
  <si>
    <t>PAC-01540</t>
  </si>
  <si>
    <t>ELENA NUÑEZ DIAZ</t>
  </si>
  <si>
    <t>PAC-01541</t>
  </si>
  <si>
    <t>LORENA RIVERA CARRASCO</t>
  </si>
  <si>
    <t>PAC-01542</t>
  </si>
  <si>
    <t>GLORIA CASTRO CORTES</t>
  </si>
  <si>
    <t>PAC-01543</t>
  </si>
  <si>
    <t>TAMARA GUTIERREZ FIGUEROA</t>
  </si>
  <si>
    <t>PAC-01544</t>
  </si>
  <si>
    <t>MARCELA MORALES ROJAS</t>
  </si>
  <si>
    <t>PAC-01545</t>
  </si>
  <si>
    <t>MONICA DIAZ SANCHEZ</t>
  </si>
  <si>
    <t>PAC-01546</t>
  </si>
  <si>
    <t>YESENIA FUENTES PIZARRO</t>
  </si>
  <si>
    <t>PAC-01547</t>
  </si>
  <si>
    <t>YESENIA CASTILLO PIZARRO</t>
  </si>
  <si>
    <t>PAC-01548</t>
  </si>
  <si>
    <t>MARIA GOMEZ MORALES</t>
  </si>
  <si>
    <t>PAC-01549</t>
  </si>
  <si>
    <t>ANA GUTIERREZ RIVERA</t>
  </si>
  <si>
    <t>PAC-01550</t>
  </si>
  <si>
    <t>CAROLINA FLORES RODRIGUEZ</t>
  </si>
  <si>
    <t>PAC-01551</t>
  </si>
  <si>
    <t>ELENA SEPULVEDA GOMEZ</t>
  </si>
  <si>
    <t>PAC-01552</t>
  </si>
  <si>
    <t>VERONICA VERGARA NUÑEZ</t>
  </si>
  <si>
    <t>PAC-01553</t>
  </si>
  <si>
    <t>PAULA CARRASCO REYES</t>
  </si>
  <si>
    <t>PAC-01554</t>
  </si>
  <si>
    <t>ISABEL RIVERA VERGARA</t>
  </si>
  <si>
    <t>PAC-01555</t>
  </si>
  <si>
    <t>ANDREA CONTRERAS LOPEZ</t>
  </si>
  <si>
    <t>PAC-01556</t>
  </si>
  <si>
    <t>ANDREA MARTINEZ HERRERA</t>
  </si>
  <si>
    <t>PAC-01557</t>
  </si>
  <si>
    <t>ROSA RIVERA PIZARRO</t>
  </si>
  <si>
    <t>PAC-01558</t>
  </si>
  <si>
    <t>TERESA ARAYA ALVAREZ</t>
  </si>
  <si>
    <t>PAC-01559</t>
  </si>
  <si>
    <t>SILVIA RAMIREZ TORRES</t>
  </si>
  <si>
    <t>PAC-01560</t>
  </si>
  <si>
    <t>BARBARA CASTRO VERGARA</t>
  </si>
  <si>
    <t>PAC-01561</t>
  </si>
  <si>
    <t>ANA CONTRERAS GOMEZ</t>
  </si>
  <si>
    <t>PAC-01562</t>
  </si>
  <si>
    <t>YESENIA MARTINEZ GOMEZ</t>
  </si>
  <si>
    <t>PAC-01563</t>
  </si>
  <si>
    <t>PAULA PEREZ PEREZ</t>
  </si>
  <si>
    <t>PAC-01564</t>
  </si>
  <si>
    <t>FRANCISCA REYES VASQUEZ</t>
  </si>
  <si>
    <t>PAC-01565</t>
  </si>
  <si>
    <t>MACARENA VERGARA RAMIREZ</t>
  </si>
  <si>
    <t>PAC-01566</t>
  </si>
  <si>
    <t>JUANA VASQUEZ RAMIREZ</t>
  </si>
  <si>
    <t>PAC-01567</t>
  </si>
  <si>
    <t>GLORIA JARA GOMEZ</t>
  </si>
  <si>
    <t>PAC-01568</t>
  </si>
  <si>
    <t>CONSTANZA MORALES MORALES</t>
  </si>
  <si>
    <t>PAC-01569</t>
  </si>
  <si>
    <t>DANIELA VERGARA CORTES</t>
  </si>
  <si>
    <t>PAC-01570</t>
  </si>
  <si>
    <t>TERESA FERNANDEZ ALVAREZ</t>
  </si>
  <si>
    <t>PAC-01571</t>
  </si>
  <si>
    <t>CONSTANZA TAPIA MORALES</t>
  </si>
  <si>
    <t>PAC-01572</t>
  </si>
  <si>
    <t>GLORIA ARAYA SILVA</t>
  </si>
  <si>
    <t>PAC-01573</t>
  </si>
  <si>
    <t>LORENA SILVA NUÑEZ</t>
  </si>
  <si>
    <t>PAC-01574</t>
  </si>
  <si>
    <t>FRANCISCA VERGARA TAPIA</t>
  </si>
  <si>
    <t>PAC-01575</t>
  </si>
  <si>
    <t>NICOLE FUENTES MARTINEZ</t>
  </si>
  <si>
    <t>PAC-01576</t>
  </si>
  <si>
    <t>PATRICIA SILVA VERGARA</t>
  </si>
  <si>
    <t>PAC-01577</t>
  </si>
  <si>
    <t>VERONICA HERRERA TAPIA</t>
  </si>
  <si>
    <t>PAC-01578</t>
  </si>
  <si>
    <t>ROXANA HERNANDEZ JARA</t>
  </si>
  <si>
    <t>PAC-01579</t>
  </si>
  <si>
    <t>MONICA FIGUEROA ESPINOZA</t>
  </si>
  <si>
    <t>PAC-01580</t>
  </si>
  <si>
    <t>ANA SILVA FUENTES</t>
  </si>
  <si>
    <t>PAC-01581</t>
  </si>
  <si>
    <t>TERESA GUTIERREZ ALVAREZ</t>
  </si>
  <si>
    <t>PAC-01582</t>
  </si>
  <si>
    <t>ANA VALENZUELA PIZARRO</t>
  </si>
  <si>
    <t>PAC-01583</t>
  </si>
  <si>
    <t>XIMENA GUTIERREZ ARAYA</t>
  </si>
  <si>
    <t>PAC-01584</t>
  </si>
  <si>
    <t>JUANA HERRERA FERNANDEZ</t>
  </si>
  <si>
    <t>PAC-01585</t>
  </si>
  <si>
    <t>SANDRA MUÑOZ DIAZ</t>
  </si>
  <si>
    <t>PAC-01586</t>
  </si>
  <si>
    <t>MARCELA RAMIREZ VASQUEZ</t>
  </si>
  <si>
    <t>PAC-01587</t>
  </si>
  <si>
    <t>CAMILA ALVAREZ GUTIERREZ</t>
  </si>
  <si>
    <t>PAC-01588</t>
  </si>
  <si>
    <t>VALENTINA ROJAS GUTIERREZ</t>
  </si>
  <si>
    <t>PAC-01589</t>
  </si>
  <si>
    <t>MARCELA CASTILLO GONZALEZ</t>
  </si>
  <si>
    <t>PAC-01590</t>
  </si>
  <si>
    <t>XIMENA TAPIA GUTIERREZ</t>
  </si>
  <si>
    <t>PAC-01591</t>
  </si>
  <si>
    <t>MONICA JARA DIAZ</t>
  </si>
  <si>
    <t>PAC-01592</t>
  </si>
  <si>
    <t>CLAUDIA DIAZ VALENZUELA</t>
  </si>
  <si>
    <t>PAC-01593</t>
  </si>
  <si>
    <t>SOLEDAD PIZARRO TAPIA</t>
  </si>
  <si>
    <t>PAC-01594</t>
  </si>
  <si>
    <t>BARBARA GOMEZ RIVERA</t>
  </si>
  <si>
    <t>PAC-01595</t>
  </si>
  <si>
    <t>PATRICIA JARA ALVAREZ</t>
  </si>
  <si>
    <t>PAC-01596</t>
  </si>
  <si>
    <t>ALEJANDRA TAPIA RODRIGUEZ</t>
  </si>
  <si>
    <t>PAC-01597</t>
  </si>
  <si>
    <t>ISABEL TORRES RIVERA</t>
  </si>
  <si>
    <t>PAC-01598</t>
  </si>
  <si>
    <t>CECILIA FLORES CASTRO</t>
  </si>
  <si>
    <t>PAC-01599</t>
  </si>
  <si>
    <t>SOLEDAD CONTRERAS SEPULVEDA</t>
  </si>
  <si>
    <t>PAC-01600</t>
  </si>
  <si>
    <t>TAMARA VERGARA RIVERA</t>
  </si>
  <si>
    <t>PAC-01601</t>
  </si>
  <si>
    <t>TAMARA GUTIERREZ ROJAS</t>
  </si>
  <si>
    <t>PAC-01602</t>
  </si>
  <si>
    <t>ROSA HERRERA REYES</t>
  </si>
  <si>
    <t>PAC-01603</t>
  </si>
  <si>
    <t>SOLEDAD LOPEZ CORTES</t>
  </si>
  <si>
    <t>PAC-01604</t>
  </si>
  <si>
    <t>MACARENA VASQUEZ LOPEZ</t>
  </si>
  <si>
    <t>PAC-01605</t>
  </si>
  <si>
    <t>SILVIA FLORES ALVAREZ</t>
  </si>
  <si>
    <t>PAC-01606</t>
  </si>
  <si>
    <t>LORENA SILVA CONTRERAS</t>
  </si>
  <si>
    <t>PAC-01607</t>
  </si>
  <si>
    <t>MARCELA HERRERA CARRASCO</t>
  </si>
  <si>
    <t>PAC-01608</t>
  </si>
  <si>
    <t>KARINA FUENTES GOMEZ</t>
  </si>
  <si>
    <t>PAC-01609</t>
  </si>
  <si>
    <t>TAMARA ESPINOZA LOPEZ</t>
  </si>
  <si>
    <t>PAC-01610</t>
  </si>
  <si>
    <t>YESENIA ESPINOZA PIZARRO</t>
  </si>
  <si>
    <t>PAC-01611</t>
  </si>
  <si>
    <t>ROSA VERGARA ALVAREZ</t>
  </si>
  <si>
    <t>PAC-01612</t>
  </si>
  <si>
    <t>GLORIA MORALES VALENZUELA</t>
  </si>
  <si>
    <t>PAC-01613</t>
  </si>
  <si>
    <t>MONICA TORRES MUÑOZ</t>
  </si>
  <si>
    <t>PAC-01614</t>
  </si>
  <si>
    <t>XIMENA LOPEZ CONTRERAS</t>
  </si>
  <si>
    <t>PAC-01615</t>
  </si>
  <si>
    <t>CATALINA MARTINEZ NUÑEZ</t>
  </si>
  <si>
    <t>PAC-01616</t>
  </si>
  <si>
    <t>CECILIA RIVERA ROJAS</t>
  </si>
  <si>
    <t>PAC-01617</t>
  </si>
  <si>
    <t>ROSA FUENTES CONTRERAS</t>
  </si>
  <si>
    <t>PAC-01618</t>
  </si>
  <si>
    <t>MONICA GONZALEZ MUÑOZ</t>
  </si>
  <si>
    <t>PAC-01619</t>
  </si>
  <si>
    <t>DANIELA CONTRERAS CORTES</t>
  </si>
  <si>
    <t>PAC-01620</t>
  </si>
  <si>
    <t>PAMELA PIZARRO SOTO</t>
  </si>
  <si>
    <t>PAC-01621</t>
  </si>
  <si>
    <t>CAROLINA SEPULVEDA CORTES</t>
  </si>
  <si>
    <t>PAC-01622</t>
  </si>
  <si>
    <t>BARBARA SILVA GOMEZ</t>
  </si>
  <si>
    <t>PAC-01623</t>
  </si>
  <si>
    <t>MARIA GONZALEZ JARA</t>
  </si>
  <si>
    <t>PAC-01624</t>
  </si>
  <si>
    <t>ROSA GOMEZ SANCHEZ</t>
  </si>
  <si>
    <t>PAC-01625</t>
  </si>
  <si>
    <t>TAMARA MORALES CORTES</t>
  </si>
  <si>
    <t>PAC-01626</t>
  </si>
  <si>
    <t>MARCELA FIGUEROA NUÑEZ</t>
  </si>
  <si>
    <t>PAC-01627</t>
  </si>
  <si>
    <t>ALEJANDRA TAPIA VASQUEZ</t>
  </si>
  <si>
    <t>PAC-01628</t>
  </si>
  <si>
    <t>YESENIA FUENTES LOPEZ</t>
  </si>
  <si>
    <t>PAC-01629</t>
  </si>
  <si>
    <t>FRANCISCA TORRES SEPULVEDA</t>
  </si>
  <si>
    <t>PAC-01630</t>
  </si>
  <si>
    <t>G2G3O5</t>
  </si>
  <si>
    <t>CATALINA ALVAREZ TORRES</t>
  </si>
  <si>
    <t>PAC-01631</t>
  </si>
  <si>
    <t>CONSTANZA TORRES PEREZ</t>
  </si>
  <si>
    <t>PAC-01632</t>
  </si>
  <si>
    <t>CLAUDIA SILVA PIZARRO</t>
  </si>
  <si>
    <t>PAC-01633</t>
  </si>
  <si>
    <t>FERNANDA VALENZUELA FLORES</t>
  </si>
  <si>
    <t>PAC-01634</t>
  </si>
  <si>
    <t>PAMELA TAPIA FLORES</t>
  </si>
  <si>
    <t>PAC-01635</t>
  </si>
  <si>
    <t>MACARENA PIZARRO ALVAREZ</t>
  </si>
  <si>
    <t>PAC-01636</t>
  </si>
  <si>
    <t>CATALINA FLORES FERNANDEZ</t>
  </si>
  <si>
    <t>PAC-01637</t>
  </si>
  <si>
    <t>ROXANA HERNANDEZ SOTO</t>
  </si>
  <si>
    <t>PAC-01638</t>
  </si>
  <si>
    <t>CAROLINA MARTINEZ CONTRERAS</t>
  </si>
  <si>
    <t>PAC-01639</t>
  </si>
  <si>
    <t>KARINA RODRIGUEZ PIZARRO</t>
  </si>
  <si>
    <t>PAC-01640</t>
  </si>
  <si>
    <t>MARCELA CORTES CASTRO</t>
  </si>
  <si>
    <t>PAC-01641</t>
  </si>
  <si>
    <t>ALEJANDRA LOPEZ FIGUEROA</t>
  </si>
  <si>
    <t>PAC-01642</t>
  </si>
  <si>
    <t>VALENTINA CASTILLO MORALES</t>
  </si>
  <si>
    <t>PAC-01643</t>
  </si>
  <si>
    <t>ROXANA ARAYA CORTES</t>
  </si>
  <si>
    <t>PAC-01644</t>
  </si>
  <si>
    <t>NICOLE ROJAS CASTRO</t>
  </si>
  <si>
    <t>PAC-01645</t>
  </si>
  <si>
    <t>MARCELA ALVAREZ MORALES</t>
  </si>
  <si>
    <t>PAC-01646</t>
  </si>
  <si>
    <t>GLORIA REYES FIGUEROA</t>
  </si>
  <si>
    <t>PAC-01647</t>
  </si>
  <si>
    <t>YESENIA RAMIREZ FERNANDEZ</t>
  </si>
  <si>
    <t>PAC-01648</t>
  </si>
  <si>
    <t>ROXANA REYES VASQUEZ</t>
  </si>
  <si>
    <t>PAC-01649</t>
  </si>
  <si>
    <t>PATRICIA REYES PEREZ</t>
  </si>
  <si>
    <t>PAC-01650</t>
  </si>
  <si>
    <t>VERONICA SILVA REYES</t>
  </si>
  <si>
    <t>PAC-01651</t>
  </si>
  <si>
    <t>TERESA CASTILLO TORRES</t>
  </si>
  <si>
    <t>PAC-01652</t>
  </si>
  <si>
    <t>CONSTANZA CASTRO SANCHEZ</t>
  </si>
  <si>
    <t>PAC-01653</t>
  </si>
  <si>
    <t>CAMILA CORTES GOMEZ</t>
  </si>
  <si>
    <t>PAC-01654</t>
  </si>
  <si>
    <t>PAULA ARAYA VASQUEZ</t>
  </si>
  <si>
    <t>PAC-01655</t>
  </si>
  <si>
    <t>ISABEL GONZALEZ TORRES</t>
  </si>
  <si>
    <t>PAC-01656</t>
  </si>
  <si>
    <t>ISABEL TAPIA CASTILLO</t>
  </si>
  <si>
    <t>PAC-01657</t>
  </si>
  <si>
    <t>LORENA FERNANDEZ VASQUEZ</t>
  </si>
  <si>
    <t>PAC-01658</t>
  </si>
  <si>
    <t>GLORIA ROJAS RIVERA</t>
  </si>
  <si>
    <t>PAC-01659</t>
  </si>
  <si>
    <t>CAROLINA ALVAREZ FUENTES</t>
  </si>
  <si>
    <t>PAC-01660</t>
  </si>
  <si>
    <t>CONSTANZA VALENZUELA REYES</t>
  </si>
  <si>
    <t>PAC-01661</t>
  </si>
  <si>
    <t>IG8J6S</t>
  </si>
  <si>
    <t>TERESA CASTRO GOMEZ</t>
  </si>
  <si>
    <t>PAC-01662</t>
  </si>
  <si>
    <t>SOLEDAD GUTIERREZ CONTRERAS</t>
  </si>
  <si>
    <t>PAC-01663</t>
  </si>
  <si>
    <t>YESENIA SOTO GUTIERREZ</t>
  </si>
  <si>
    <t>PAC-01664</t>
  </si>
  <si>
    <t>JAVIERA FLORES VERGARA</t>
  </si>
  <si>
    <t>PAC-01665</t>
  </si>
  <si>
    <t>GLORIA ESPINOZA CONTRERAS</t>
  </si>
  <si>
    <t>PAC-01666</t>
  </si>
  <si>
    <t>ROSA MUÑOZ REYES</t>
  </si>
  <si>
    <t>PAC-01667</t>
  </si>
  <si>
    <t>ELENA TAPIA VASQUEZ</t>
  </si>
  <si>
    <t>PAC-01668</t>
  </si>
  <si>
    <t>ANA SOTO ESPINOZA</t>
  </si>
  <si>
    <t>PAC-01669</t>
  </si>
  <si>
    <t>KARINA NUÑEZ MARTINEZ</t>
  </si>
  <si>
    <t>PAC-01670</t>
  </si>
  <si>
    <t>ANDREA FERNANDEZ MORALES</t>
  </si>
  <si>
    <t>PAC-01671</t>
  </si>
  <si>
    <t>ISABEL FUENTES SOTO</t>
  </si>
  <si>
    <t>PAC-01672</t>
  </si>
  <si>
    <t>CECILIA HERNANDEZ GUTIERREZ</t>
  </si>
  <si>
    <t>PAC-01673</t>
  </si>
  <si>
    <t>NICOLE HERRERA SEPULVEDA</t>
  </si>
  <si>
    <t>PAC-01674</t>
  </si>
  <si>
    <t>PAULA HERNANDEZ VALENZUELA</t>
  </si>
  <si>
    <t>PAC-01675</t>
  </si>
  <si>
    <t>ANDREA FERNANDEZ FLORES</t>
  </si>
  <si>
    <t>PAC-01676</t>
  </si>
  <si>
    <t>PAMELA MARTINEZ VERGARA</t>
  </si>
  <si>
    <t>PAC-01677</t>
  </si>
  <si>
    <t>NICOLE FLORES VERGARA</t>
  </si>
  <si>
    <t>PAC-01678</t>
  </si>
  <si>
    <t>PATRICIA FUENTES VASQUEZ</t>
  </si>
  <si>
    <t>PAC-01679</t>
  </si>
  <si>
    <t>FERNANDA HERRERA PIZARRO</t>
  </si>
  <si>
    <t>PAC-01680</t>
  </si>
  <si>
    <t>ROSA VERGARA CASTRO</t>
  </si>
  <si>
    <t>PAC-01681</t>
  </si>
  <si>
    <t>TAMARA JARA CONTRERAS</t>
  </si>
  <si>
    <t>PAC-01682</t>
  </si>
  <si>
    <t>MARCELA NUÑEZ NUÑEZ</t>
  </si>
  <si>
    <t>PAC-01683</t>
  </si>
  <si>
    <t>CECILIA FLORES ESPINOZA</t>
  </si>
  <si>
    <t>PAC-01684</t>
  </si>
  <si>
    <t>CONSTANZA JARA RAMIREZ</t>
  </si>
  <si>
    <t>PAC-01685</t>
  </si>
  <si>
    <t>KARINA HERNANDEZ DIAZ</t>
  </si>
  <si>
    <t>PAC-01686</t>
  </si>
  <si>
    <t>XIMENA RODRIGUEZ NUÑEZ</t>
  </si>
  <si>
    <t>PAC-01687</t>
  </si>
  <si>
    <t>DANIELA CASTILLO TAPIA</t>
  </si>
  <si>
    <t>PAC-01688</t>
  </si>
  <si>
    <t>PATRICIA VERGARA FERNANDEZ</t>
  </si>
  <si>
    <t>PAC-01689</t>
  </si>
  <si>
    <t>NATALIA ALVAREZ RIVERA</t>
  </si>
  <si>
    <t>PAC-01690</t>
  </si>
  <si>
    <t>VERONICA DIAZ ARAYA</t>
  </si>
  <si>
    <t>PAC-01691</t>
  </si>
  <si>
    <t>ANDREA LOPEZ CORTES</t>
  </si>
  <si>
    <t>PAC-01692</t>
  </si>
  <si>
    <t>ELENA PEREZ ESPINOZA</t>
  </si>
  <si>
    <t>PAC-01693</t>
  </si>
  <si>
    <t>CATALINA SOTO MUÑOZ</t>
  </si>
  <si>
    <t>PAC-01694</t>
  </si>
  <si>
    <t>ANA CARRASCO MARTINEZ</t>
  </si>
  <si>
    <t>PAC-01695</t>
  </si>
  <si>
    <t>FRANCISCA HERRERA HERNANDEZ</t>
  </si>
  <si>
    <t>PAC-01696</t>
  </si>
  <si>
    <t>SANDRA CORTES CASTRO</t>
  </si>
  <si>
    <t>PAC-01697</t>
  </si>
  <si>
    <t>BARBARA RODRIGUEZ CASTILLO</t>
  </si>
  <si>
    <t>PAC-01698</t>
  </si>
  <si>
    <t>CONSTANZA ESPINOZA REYES</t>
  </si>
  <si>
    <t>PAC-01699</t>
  </si>
  <si>
    <t>GLORIA VERGARA VASQUEZ</t>
  </si>
  <si>
    <t>PAC-01700</t>
  </si>
  <si>
    <t>CECILIA ALVAREZ ESPINOZA</t>
  </si>
  <si>
    <t>PAC-01701</t>
  </si>
  <si>
    <t>NATALIA ALVAREZ MUÑOZ</t>
  </si>
  <si>
    <t>PAC-01702</t>
  </si>
  <si>
    <t>CAMILA ESPINOZA DIAZ</t>
  </si>
  <si>
    <t>PAC-01703</t>
  </si>
  <si>
    <t>TAMARA PIZARRO SILVA</t>
  </si>
  <si>
    <t>PAC-01704</t>
  </si>
  <si>
    <t>MARCELA FUENTES FUENTES</t>
  </si>
  <si>
    <t>PAC-01705</t>
  </si>
  <si>
    <t>CONSTANZA VASQUEZ HERRERA</t>
  </si>
  <si>
    <t>PAC-01706</t>
  </si>
  <si>
    <t>VALENTINA ALVAREZ GONZALEZ</t>
  </si>
  <si>
    <t>PAC-01707</t>
  </si>
  <si>
    <t>MARCELA DIAZ MARTINEZ</t>
  </si>
  <si>
    <t>PAC-01708</t>
  </si>
  <si>
    <t>FERNANDA PIZARRO MARTINEZ</t>
  </si>
  <si>
    <t>PAC-01709</t>
  </si>
  <si>
    <t>ALEJANDRA FIGUEROA TAPIA</t>
  </si>
  <si>
    <t>PAC-01710</t>
  </si>
  <si>
    <t>JUANA ROJAS GUTIERREZ</t>
  </si>
  <si>
    <t>PAC-01711</t>
  </si>
  <si>
    <t>FERNANDA VALENZUELA CASTRO</t>
  </si>
  <si>
    <t>PAC-01712</t>
  </si>
  <si>
    <t>GLORIA CONTRERAS GUTIERREZ</t>
  </si>
  <si>
    <t>PAC-01713</t>
  </si>
  <si>
    <t>ANA ARAYA MUÑOZ</t>
  </si>
  <si>
    <t>PAC-01714</t>
  </si>
  <si>
    <t>ISABEL CASTILLO SOTO</t>
  </si>
  <si>
    <t>PAC-01715</t>
  </si>
  <si>
    <t>MARIA SILVA CARRASCO</t>
  </si>
  <si>
    <t>PAC-01716</t>
  </si>
  <si>
    <t>JAVIERA PIZARRO SILVA</t>
  </si>
  <si>
    <t>PAC-01717</t>
  </si>
  <si>
    <t>GLORIA PIZARRO RIVERA</t>
  </si>
  <si>
    <t>PAC-01718</t>
  </si>
  <si>
    <t>CLAUDIA VASQUEZ CASTILLO</t>
  </si>
  <si>
    <t>PAC-01719</t>
  </si>
  <si>
    <t>IG8J5S</t>
  </si>
  <si>
    <t>ELENA CONTRERAS VERGARA</t>
  </si>
  <si>
    <t>PAC-01720</t>
  </si>
  <si>
    <t>MONICA FIGUEROA LOPEZ</t>
  </si>
  <si>
    <t>PAC-01721</t>
  </si>
  <si>
    <t>CONSTANZA HERNANDEZ SEPULVEDA</t>
  </si>
  <si>
    <t>PAC-01722</t>
  </si>
  <si>
    <t>MONICA MORALES HERRERA</t>
  </si>
  <si>
    <t>PAC-01723</t>
  </si>
  <si>
    <t>FERNANDA FERNANDEZ RAMIREZ</t>
  </si>
  <si>
    <t>PAC-01724</t>
  </si>
  <si>
    <t>XIMENA HERRERA HERNANDEZ</t>
  </si>
  <si>
    <t>PAC-01725</t>
  </si>
  <si>
    <t>VERONICA ALVAREZ TAPIA</t>
  </si>
  <si>
    <t>PAC-01726</t>
  </si>
  <si>
    <t>KARINA RAMIREZ DIAZ</t>
  </si>
  <si>
    <t>PAC-01727</t>
  </si>
  <si>
    <t>CATALINA NUÑEZ SEPULVEDA</t>
  </si>
  <si>
    <t>PAC-01728</t>
  </si>
  <si>
    <t>SILVIA MUÑOZ TAPIA</t>
  </si>
  <si>
    <t>PAC-01729</t>
  </si>
  <si>
    <t>LORENA CONTRERAS FERNANDEZ</t>
  </si>
  <si>
    <t>PAC-01730</t>
  </si>
  <si>
    <t>TERESA LOPEZ RAMIREZ</t>
  </si>
  <si>
    <t>PAC-01731</t>
  </si>
  <si>
    <t>NICOLE FLORES SEPULVEDA</t>
  </si>
  <si>
    <t>PAC-01732</t>
  </si>
  <si>
    <t>GLORIA CARRASCO HERRERA</t>
  </si>
  <si>
    <t>PAC-01733</t>
  </si>
  <si>
    <t>CLAUDIA ROJAS SOTO</t>
  </si>
  <si>
    <t>PAC-01734</t>
  </si>
  <si>
    <t>JAVIERA TAPIA GOMEZ</t>
  </si>
  <si>
    <t>PAC-01735</t>
  </si>
  <si>
    <t>DANIELA VALENZUELA SOTO</t>
  </si>
  <si>
    <t>PAC-01736</t>
  </si>
  <si>
    <t>KARINA NUÑEZ ARAYA</t>
  </si>
  <si>
    <t>PAC-01737</t>
  </si>
  <si>
    <t>XIMENA DIAZ FIGUEROA</t>
  </si>
  <si>
    <t>PAC-01738</t>
  </si>
  <si>
    <t>CECILIA GUTIERREZ RAMIREZ</t>
  </si>
  <si>
    <t>PAC-01739</t>
  </si>
  <si>
    <t>GLORIA SEPULVEDA MUÑOZ</t>
  </si>
  <si>
    <t>PAC-01740</t>
  </si>
  <si>
    <t>GLORIA NUÑEZ GUTIERREZ</t>
  </si>
  <si>
    <t>PAC-01741</t>
  </si>
  <si>
    <t>LORENA CARRASCO PEREZ</t>
  </si>
  <si>
    <t>PAC-01742</t>
  </si>
  <si>
    <t>ROXANA SILVA GONZALEZ</t>
  </si>
  <si>
    <t>PAC-01743</t>
  </si>
  <si>
    <t>BARBARA SANCHEZ VERGARA</t>
  </si>
  <si>
    <t>PAC-01744</t>
  </si>
  <si>
    <t>YESENIA SOTO PEREZ</t>
  </si>
  <si>
    <t>PAC-01745</t>
  </si>
  <si>
    <t>FERNANDA MORALES CARRASCO</t>
  </si>
  <si>
    <t>PAC-01746</t>
  </si>
  <si>
    <t>SOLEDAD CORTES CARRASCO</t>
  </si>
  <si>
    <t>PAC-01747</t>
  </si>
  <si>
    <t>CLAUDIA FERNANDEZ DIAZ</t>
  </si>
  <si>
    <t>PAC-01748</t>
  </si>
  <si>
    <t>YESENIA FLORES FIGUEROA</t>
  </si>
  <si>
    <t>PAC-01749</t>
  </si>
  <si>
    <t>KARINA GOMEZ MUÑOZ</t>
  </si>
  <si>
    <t>PAC-01750</t>
  </si>
  <si>
    <t>VALENTINA PIZARRO FUENTES</t>
  </si>
  <si>
    <t>PAC-01751</t>
  </si>
  <si>
    <t>SILVIA DIAZ FERNANDEZ</t>
  </si>
  <si>
    <t>PAC-01752</t>
  </si>
  <si>
    <t>ANDREA VASQUEZ TAPIA</t>
  </si>
  <si>
    <t>PAC-01753</t>
  </si>
  <si>
    <t>XIMENA MORALES GUTIERREZ</t>
  </si>
  <si>
    <t>PAC-01754</t>
  </si>
  <si>
    <t>YESENIA PEREZ MARTINEZ</t>
  </si>
  <si>
    <t>PAC-01755</t>
  </si>
  <si>
    <t>ALEJANDRA RAMIREZ REYES</t>
  </si>
  <si>
    <t>PAC-01756</t>
  </si>
  <si>
    <t>ANA ESPINOZA VERGARA</t>
  </si>
  <si>
    <t>PAC-01757</t>
  </si>
  <si>
    <t>JAVIERA PEREZ VERGARA</t>
  </si>
  <si>
    <t>PAC-01758</t>
  </si>
  <si>
    <t>PAMELA PEREZ PEREZ</t>
  </si>
  <si>
    <t>PAC-01759</t>
  </si>
  <si>
    <t>PAULA TORRES SANCHEZ</t>
  </si>
  <si>
    <t>PAC-01760</t>
  </si>
  <si>
    <t>MARCELA MORALES DIAZ</t>
  </si>
  <si>
    <t>PAC-01761</t>
  </si>
  <si>
    <t>YESENIA VALENZUELA CASTRO</t>
  </si>
  <si>
    <t>PAC-01762</t>
  </si>
  <si>
    <t>ELENA VERGARA TAPIA</t>
  </si>
  <si>
    <t>PAC-01763</t>
  </si>
  <si>
    <t>PAULA HERNANDEZ SOTO</t>
  </si>
  <si>
    <t>PAC-01764</t>
  </si>
  <si>
    <t>JAVIERA TORRES CONTRERAS</t>
  </si>
  <si>
    <t>PAC-01765</t>
  </si>
  <si>
    <t>ELENA HERNANDEZ MARTINEZ</t>
  </si>
  <si>
    <t>PAC-01766</t>
  </si>
  <si>
    <t>MONICA RAMIREZ FUENTES</t>
  </si>
  <si>
    <t>PAC-01767</t>
  </si>
  <si>
    <t>PAMELA JARA DIAZ</t>
  </si>
  <si>
    <t>PAC-01768</t>
  </si>
  <si>
    <t>NATALIA GONZALEZ RODRIGUEZ</t>
  </si>
  <si>
    <t>PAC-01769</t>
  </si>
  <si>
    <t>CAROLINA ARAYA RIVERA</t>
  </si>
  <si>
    <t>PAC-01770</t>
  </si>
  <si>
    <t>KARINA JARA FUENTES</t>
  </si>
  <si>
    <t>PAC-01771</t>
  </si>
  <si>
    <t>CATALINA GOMEZ GUTIERREZ</t>
  </si>
  <si>
    <t>PAC-01772</t>
  </si>
  <si>
    <t>SILVIA SEPULVEDA VASQUEZ</t>
  </si>
  <si>
    <t>PAC-01773</t>
  </si>
  <si>
    <t>JAVIERA SEPULVEDA CASTILLO</t>
  </si>
  <si>
    <t>PAC-01774</t>
  </si>
  <si>
    <t>KARINA PIZARRO ROJAS</t>
  </si>
  <si>
    <t>PAC-01775</t>
  </si>
  <si>
    <t>ROXANA RAMIREZ ARAYA</t>
  </si>
  <si>
    <t>PAC-01776</t>
  </si>
  <si>
    <t>FRANCISCA PEREZ TORRES</t>
  </si>
  <si>
    <t>PAC-01777</t>
  </si>
  <si>
    <t>SILVIA CASTRO FERNANDEZ</t>
  </si>
  <si>
    <t>PAC-01778</t>
  </si>
  <si>
    <t>CATALINA ALVAREZ DIAZ</t>
  </si>
  <si>
    <t>PAC-01779</t>
  </si>
  <si>
    <t>MACARENA GUTIERREZ SEPULVEDA</t>
  </si>
  <si>
    <t>PAC-01780</t>
  </si>
  <si>
    <t>YESENIA TAPIA TORRES</t>
  </si>
  <si>
    <t>PAC-01781</t>
  </si>
  <si>
    <t>MACARENA FUENTES CARRASCO</t>
  </si>
  <si>
    <t>PAC-01782</t>
  </si>
  <si>
    <t>ANA ARAYA CASTILLO</t>
  </si>
  <si>
    <t>PAC-01783</t>
  </si>
  <si>
    <t>VERONICA RAMIREZ RAMIREZ</t>
  </si>
  <si>
    <t>PAC-01784</t>
  </si>
  <si>
    <t>BARBARA VERGARA SEPULVEDA</t>
  </si>
  <si>
    <t>PAC-01785</t>
  </si>
  <si>
    <t>ALEJANDRA MUÑOZ LOPEZ</t>
  </si>
  <si>
    <t>PAC-01786</t>
  </si>
  <si>
    <t>CLAUDIA TORRES NUÑEZ</t>
  </si>
  <si>
    <t>PAC-01787</t>
  </si>
  <si>
    <t>ELENA RIVERA SEPULVEDA</t>
  </si>
  <si>
    <t>PAC-01788</t>
  </si>
  <si>
    <t>FERNANDA SOTO SEPULVEDA</t>
  </si>
  <si>
    <t>PAC-01789</t>
  </si>
  <si>
    <t>JAVIERA CONTRERAS RIVERA</t>
  </si>
  <si>
    <t>PAC-01790</t>
  </si>
  <si>
    <t>VALENTINA PIZARRO FIGUEROA</t>
  </si>
  <si>
    <t>PAC-01791</t>
  </si>
  <si>
    <t>CAMILA HERRERA VERGARA</t>
  </si>
  <si>
    <t>PAC-01792</t>
  </si>
  <si>
    <t>SANDRA CASTILLO TAPIA</t>
  </si>
  <si>
    <t>PAC-01793</t>
  </si>
  <si>
    <t>MARIA RIVERA FERNANDEZ</t>
  </si>
  <si>
    <t>PAC-01794</t>
  </si>
  <si>
    <t>MARCELA HERRERA GONZALEZ</t>
  </si>
  <si>
    <t>PAC-01795</t>
  </si>
  <si>
    <t>ELENA LOPEZ FERNANDEZ</t>
  </si>
  <si>
    <t>PAC-01796</t>
  </si>
  <si>
    <t>FRANCISCA CORTES HERRERA</t>
  </si>
  <si>
    <t>PAC-01797</t>
  </si>
  <si>
    <t>MACARENA PIZARRO HERRERA</t>
  </si>
  <si>
    <t>PAC-01798</t>
  </si>
  <si>
    <t>XIMENA ESPINOZA SOTO</t>
  </si>
  <si>
    <t>PAC-01799</t>
  </si>
  <si>
    <t>NICOLE MORALES SOTO</t>
  </si>
  <si>
    <t>PAC-01800</t>
  </si>
  <si>
    <t>FRANCISCA FLORES RODRIGUEZ</t>
  </si>
  <si>
    <t>PAC-01801</t>
  </si>
  <si>
    <t>DANIELA CASTRO FERNANDEZ</t>
  </si>
  <si>
    <t>PAC-01802</t>
  </si>
  <si>
    <t>CECILIA ARAYA FIGUEROA</t>
  </si>
  <si>
    <t>PAC-01803</t>
  </si>
  <si>
    <t>DANIELA VASQUEZ REYES</t>
  </si>
  <si>
    <t>PAC-01804</t>
  </si>
  <si>
    <t>KARINA FERNANDEZ GONZALEZ</t>
  </si>
  <si>
    <t>PAC-01805</t>
  </si>
  <si>
    <t>SANDRA CASTRO JARA</t>
  </si>
  <si>
    <t>PAC-01806</t>
  </si>
  <si>
    <t>CECILIA NUÑEZ MUÑOZ</t>
  </si>
  <si>
    <t>PAC-01807</t>
  </si>
  <si>
    <t>CATALINA CONTRERAS DIAZ</t>
  </si>
  <si>
    <t>PAC-01808</t>
  </si>
  <si>
    <t>MACARENA CASTRO SILVA</t>
  </si>
  <si>
    <t>PAC-01809</t>
  </si>
  <si>
    <t>ALEJANDRA PIZARRO DIAZ</t>
  </si>
  <si>
    <t>PAC-01810</t>
  </si>
  <si>
    <t>SILVIA ALVAREZ TAPIA</t>
  </si>
  <si>
    <t>PAC-01811</t>
  </si>
  <si>
    <t>ROXANA ROJAS CORTES</t>
  </si>
  <si>
    <t>PAC-01812</t>
  </si>
  <si>
    <t>MARIA CASTILLO LOPEZ</t>
  </si>
  <si>
    <t>PAC-01813</t>
  </si>
  <si>
    <t>ANDREA ESPINOZA FERNANDEZ</t>
  </si>
  <si>
    <t>PAC-01814</t>
  </si>
  <si>
    <t>PATRICIA HERRERA CASTRO</t>
  </si>
  <si>
    <t>PAC-01815</t>
  </si>
  <si>
    <t>FRANCISCA FIGUEROA CARRASCO</t>
  </si>
  <si>
    <t>PAC-01816</t>
  </si>
  <si>
    <t>NICOLE RIVERA HERNANDEZ</t>
  </si>
  <si>
    <t>PAC-01817</t>
  </si>
  <si>
    <t>ISABEL CARRASCO VERGARA</t>
  </si>
  <si>
    <t>PAC-01818</t>
  </si>
  <si>
    <t>LORENA ESPINOZA TAPIA</t>
  </si>
  <si>
    <t>PAC-01819</t>
  </si>
  <si>
    <t>ALEJANDRA LOPEZ TAPIA</t>
  </si>
  <si>
    <t>PAC-01820</t>
  </si>
  <si>
    <t>DANIELA LOPEZ FUENTES</t>
  </si>
  <si>
    <t>PAC-01821</t>
  </si>
  <si>
    <t>XIMENA NUÑEZ LOPEZ</t>
  </si>
  <si>
    <t>PAC-01822</t>
  </si>
  <si>
    <t>CONSTANZA FERNANDEZ HERNANDEZ</t>
  </si>
  <si>
    <t>PAC-01823</t>
  </si>
  <si>
    <t>PAULA GUTIERREZ SOTO</t>
  </si>
  <si>
    <t>PAC-01824</t>
  </si>
  <si>
    <t>XIMENA ALVAREZ VASQUEZ</t>
  </si>
  <si>
    <t>PAC-01825</t>
  </si>
  <si>
    <t>TERESA ESPINOZA VALENZUELA</t>
  </si>
  <si>
    <t>PAC-01826</t>
  </si>
  <si>
    <t>PAULA HERNANDEZ DIAZ</t>
  </si>
  <si>
    <t>PAC-01827</t>
  </si>
  <si>
    <t>BARBARA ROJAS ARAYA</t>
  </si>
  <si>
    <t>PAC-01828</t>
  </si>
  <si>
    <t>GLORIA FLORES RIVERA</t>
  </si>
  <si>
    <t>PAC-01829</t>
  </si>
  <si>
    <t>PAMELA SEPULVEDA SILVA</t>
  </si>
  <si>
    <t>PAC-01830</t>
  </si>
  <si>
    <t>NATALIA NUÑEZ FIGUEROA</t>
  </si>
  <si>
    <t>PAC-01831</t>
  </si>
  <si>
    <t>ANDREA CARRASCO RIVERA</t>
  </si>
  <si>
    <t>PAC-01832</t>
  </si>
  <si>
    <t>PATRICIA NUÑEZ DIAZ</t>
  </si>
  <si>
    <t>PAC-01833</t>
  </si>
  <si>
    <t>LORENA LOPEZ CARRASCO</t>
  </si>
  <si>
    <t>PAC-01834</t>
  </si>
  <si>
    <t>CLAUDIA FIGUEROA PEREZ</t>
  </si>
  <si>
    <t>PAC-01835</t>
  </si>
  <si>
    <t>VALENTINA GONZALEZ GOMEZ</t>
  </si>
  <si>
    <t>PAC-01836</t>
  </si>
  <si>
    <t>GLORIA HERRERA NUÑEZ</t>
  </si>
  <si>
    <t>PAC-01837</t>
  </si>
  <si>
    <t>CAMILA ALVAREZ FIGUEROA</t>
  </si>
  <si>
    <t>PAC-01838</t>
  </si>
  <si>
    <t>ALEJANDRA VALENZUELA PIZARRO</t>
  </si>
  <si>
    <t>PAC-01839</t>
  </si>
  <si>
    <t>MARIA JARA ALVAREZ</t>
  </si>
  <si>
    <t>PAC-01840</t>
  </si>
  <si>
    <t>MARCELA GOMEZ RAMIREZ</t>
  </si>
  <si>
    <t>PAC-01841</t>
  </si>
  <si>
    <t>PAULA ESPINOZA GOMEZ</t>
  </si>
  <si>
    <t>PAC-01842</t>
  </si>
  <si>
    <t>JUANA TORRES JARA</t>
  </si>
  <si>
    <t>PAC-01843</t>
  </si>
  <si>
    <t>VALENTINA VASQUEZ VASQUEZ</t>
  </si>
  <si>
    <t>PAC-01844</t>
  </si>
  <si>
    <t>ELENA CASTILLO GONZALEZ</t>
  </si>
  <si>
    <t>PAC-01845</t>
  </si>
  <si>
    <t>FERNANDA GONZALEZ CARRASCO</t>
  </si>
  <si>
    <t>PAC-01846</t>
  </si>
  <si>
    <t>NICOLE MARTINEZ TORRES</t>
  </si>
  <si>
    <t>PAC-01847</t>
  </si>
  <si>
    <t>VALENTINA VASQUEZ CORTES</t>
  </si>
  <si>
    <t>PAC-01848</t>
  </si>
  <si>
    <t>MONICA PIZARRO VASQUEZ</t>
  </si>
  <si>
    <t>PAC-01849</t>
  </si>
  <si>
    <t>NICOLE CORTES FLORES</t>
  </si>
  <si>
    <t>PAC-01850</t>
  </si>
  <si>
    <t>ELENA RAMIREZ SILVA</t>
  </si>
  <si>
    <t>PAC-01851</t>
  </si>
  <si>
    <t>SILVIA MUÑOZ FLORES</t>
  </si>
  <si>
    <t>PAC-01852</t>
  </si>
  <si>
    <t>MARIA SEPULVEDA REYES</t>
  </si>
  <si>
    <t>PAC-01853</t>
  </si>
  <si>
    <t>CATALINA ESPINOZA PEREZ</t>
  </si>
  <si>
    <t>PAC-01854</t>
  </si>
  <si>
    <t>NICOLE ALVAREZ SEPULVEDA</t>
  </si>
  <si>
    <t>PAC-01855</t>
  </si>
  <si>
    <t>XIMENA CARRASCO FUENTES</t>
  </si>
  <si>
    <t>PAC-01856</t>
  </si>
  <si>
    <t>ELENA CASTRO FLORES</t>
  </si>
  <si>
    <t>PAC-01857</t>
  </si>
  <si>
    <t>XIMENA SANCHEZ FIGUEROA</t>
  </si>
  <si>
    <t>PAC-01858</t>
  </si>
  <si>
    <t>CLAUDIA ALVAREZ PIZARRO</t>
  </si>
  <si>
    <t>PAC-01859</t>
  </si>
  <si>
    <t>NATALIA ESPINOZA REYES</t>
  </si>
  <si>
    <t>PAC-01860</t>
  </si>
  <si>
    <t>SANDRA MARTINEZ RAMIREZ</t>
  </si>
  <si>
    <t>PAC-01861</t>
  </si>
  <si>
    <t>CECILIA GOMEZ REYES</t>
  </si>
  <si>
    <t>PAC-01862</t>
  </si>
  <si>
    <t>SILVIA GOMEZ FIGUEROA</t>
  </si>
  <si>
    <t>PAC-01863</t>
  </si>
  <si>
    <t>ISABEL CARRASCO ESPINOZA</t>
  </si>
  <si>
    <t>PAC-01864</t>
  </si>
  <si>
    <t>VERONICA GUTIERREZ PIZARRO</t>
  </si>
  <si>
    <t>PAC-01865</t>
  </si>
  <si>
    <t>JAVIERA FERNANDEZ SOTO</t>
  </si>
  <si>
    <t>PAC-01866</t>
  </si>
  <si>
    <t>PAULA SEPULVEDA RIVERA</t>
  </si>
  <si>
    <t>PAC-01867</t>
  </si>
  <si>
    <t>CONSTANZA SOTO ROJAS</t>
  </si>
  <si>
    <t>PAC-01868</t>
  </si>
  <si>
    <t>SANDRA GONZALEZ ARAYA</t>
  </si>
  <si>
    <t>PAC-01869</t>
  </si>
  <si>
    <t>ELENA RAMIREZ FLORES</t>
  </si>
  <si>
    <t>PAC-01870</t>
  </si>
  <si>
    <t>CAROLINA PIZARRO ROJAS</t>
  </si>
  <si>
    <t>PAC-01871</t>
  </si>
  <si>
    <t>TERESA CASTRO REYES</t>
  </si>
  <si>
    <t>PAC-01872</t>
  </si>
  <si>
    <t>CAROLINA CORTES SANCHEZ</t>
  </si>
  <si>
    <t>PAC-01873</t>
  </si>
  <si>
    <t>MARCELA HERRERA PIZARRO</t>
  </si>
  <si>
    <t>PAC-01874</t>
  </si>
  <si>
    <t>CAMILA ESPINOZA MARTINEZ</t>
  </si>
  <si>
    <t>PAC-01875</t>
  </si>
  <si>
    <t>NICOLE GOMEZ SEPULVEDA</t>
  </si>
  <si>
    <t>PAC-01876</t>
  </si>
  <si>
    <t>ROSA RIVERA NUÑEZ</t>
  </si>
  <si>
    <t>PAC-01877</t>
  </si>
  <si>
    <t>CAMILA VERGARA CORTES</t>
  </si>
  <si>
    <t>PAC-01878</t>
  </si>
  <si>
    <t>ROXANA MORALES FUENTES</t>
  </si>
  <si>
    <t>PAC-01879</t>
  </si>
  <si>
    <t>JUANA SEPULVEDA GUTIERREZ</t>
  </si>
  <si>
    <t>PAC-01880</t>
  </si>
  <si>
    <t>MARIA FUENTES SOTO</t>
  </si>
  <si>
    <t>PAC-01881</t>
  </si>
  <si>
    <t>PAULA FUENTES PIZARRO</t>
  </si>
  <si>
    <t>PAC-01882</t>
  </si>
  <si>
    <t>BARBARA LOPEZ FUENTES</t>
  </si>
  <si>
    <t>PAC-01883</t>
  </si>
  <si>
    <t>MONICA TAPIA CONTRERAS</t>
  </si>
  <si>
    <t>PAC-01884</t>
  </si>
  <si>
    <t>ROSA FERNANDEZ LOPEZ</t>
  </si>
  <si>
    <t>PAC-01885</t>
  </si>
  <si>
    <t>ROXANA TORRES CARRASCO</t>
  </si>
  <si>
    <t>PAC-01886</t>
  </si>
  <si>
    <t>ANDREA GUTIERREZ SANCHEZ</t>
  </si>
  <si>
    <t>PAC-01887</t>
  </si>
  <si>
    <t>MONICA VASQUEZ SANCHEZ</t>
  </si>
  <si>
    <t>PAC-01888</t>
  </si>
  <si>
    <t>ELENA RAMIREZ PEREZ</t>
  </si>
  <si>
    <t>PAC-01889</t>
  </si>
  <si>
    <t>NATALIA ESPINOZA ESPINOZA</t>
  </si>
  <si>
    <t>PAC-01890</t>
  </si>
  <si>
    <t>CAMILA VALENZUELA CONTRERAS</t>
  </si>
  <si>
    <t>PAC-01891</t>
  </si>
  <si>
    <t>PAMELA TORRES TORRES</t>
  </si>
  <si>
    <t>PAC-01892</t>
  </si>
  <si>
    <t>ANA GONZALEZ CASTILLO</t>
  </si>
  <si>
    <t>PAC-01893</t>
  </si>
  <si>
    <t>CECILIA VALENZUELA ARAYA</t>
  </si>
  <si>
    <t>PAC-01894</t>
  </si>
  <si>
    <t>KARINA GUTIERREZ TORRES</t>
  </si>
  <si>
    <t>PAC-01895</t>
  </si>
  <si>
    <t>YESENIA FIGUEROA RAMIREZ</t>
  </si>
  <si>
    <t>PAC-01896</t>
  </si>
  <si>
    <t>LORENA RIVERA RAMIREZ</t>
  </si>
  <si>
    <t>PAC-01897</t>
  </si>
  <si>
    <t>CONSTANZA CASTILLO DIAZ</t>
  </si>
  <si>
    <t>PAC-01898</t>
  </si>
  <si>
    <t>CLAUDIA CORTES TORRES</t>
  </si>
  <si>
    <t>PAC-01899</t>
  </si>
  <si>
    <t>VALENTINA FIGUEROA TAPIA</t>
  </si>
  <si>
    <t>PAC-01900</t>
  </si>
  <si>
    <t>JUANA REYES ALVAREZ</t>
  </si>
  <si>
    <t>PAC-01901</t>
  </si>
  <si>
    <t>MONICA GUTIERREZ VERGARA</t>
  </si>
  <si>
    <t>PAC-01902</t>
  </si>
  <si>
    <t>VERONICA PEREZ SANCHEZ</t>
  </si>
  <si>
    <t>PAC-01903</t>
  </si>
  <si>
    <t>SILVIA PEREZ MUÑOZ</t>
  </si>
  <si>
    <t>PAC-01904</t>
  </si>
  <si>
    <t>ELENA GONZALEZ SOTO</t>
  </si>
  <si>
    <t>PAC-01905</t>
  </si>
  <si>
    <t>NATALIA MORALES VASQUEZ</t>
  </si>
  <si>
    <t>PAC-01906</t>
  </si>
  <si>
    <t>MARIA TAPIA HERRERA</t>
  </si>
  <si>
    <t>PAC-01907</t>
  </si>
  <si>
    <t>ROXANA VERGARA TAPIA</t>
  </si>
  <si>
    <t>PAC-01908</t>
  </si>
  <si>
    <t>CAROLINA SEPULVEDA REYES</t>
  </si>
  <si>
    <t>PAC-01909</t>
  </si>
  <si>
    <t>GLORIA CASTRO MUÑOZ</t>
  </si>
  <si>
    <t>PAC-01910</t>
  </si>
  <si>
    <t>ROXANA TAPIA JARA</t>
  </si>
  <si>
    <t>PAC-01911</t>
  </si>
  <si>
    <t>MARIA FERNANDEZ NUÑEZ</t>
  </si>
  <si>
    <t>PAC-01912</t>
  </si>
  <si>
    <t>SOLEDAD FLORES CASTRO</t>
  </si>
  <si>
    <t>PAC-01913</t>
  </si>
  <si>
    <t>MARCELA SANCHEZ FLORES</t>
  </si>
  <si>
    <t>PAC-01914</t>
  </si>
  <si>
    <t>PAULA CARRASCO CARRASCO</t>
  </si>
  <si>
    <t>PAC-01915</t>
  </si>
  <si>
    <t>PATRICIA ARAYA SEPULVEDA</t>
  </si>
  <si>
    <t>PAC-01916</t>
  </si>
  <si>
    <t>SILVIA NUÑEZ RIVERA</t>
  </si>
  <si>
    <t>PAC-01917</t>
  </si>
  <si>
    <t>TAMARA FIGUEROA CONTRERAS</t>
  </si>
  <si>
    <t>PAC-01918</t>
  </si>
  <si>
    <t>ALEJANDRA DIAZ ROJAS</t>
  </si>
  <si>
    <t>PAC-01919</t>
  </si>
  <si>
    <t>LORENA ESPINOZA JARA</t>
  </si>
  <si>
    <t>PAC-01920</t>
  </si>
  <si>
    <t>ALEJANDRA CASTILLO SILVA</t>
  </si>
  <si>
    <t>PAC-01921</t>
  </si>
  <si>
    <t>LORENA GONZALEZ FLORES</t>
  </si>
  <si>
    <t>PAC-01922</t>
  </si>
  <si>
    <t>ELENA FUENTES SOTO</t>
  </si>
  <si>
    <t>PAC-01923</t>
  </si>
  <si>
    <t>CAMILA PEREZ CARRASCO</t>
  </si>
  <si>
    <t>PAC-01924</t>
  </si>
  <si>
    <t>SILVIA GOMEZ LOPEZ</t>
  </si>
  <si>
    <t>PAC-01925</t>
  </si>
  <si>
    <t>XIMENA ALVAREZ GUTIERREZ</t>
  </si>
  <si>
    <t>PAC-01926</t>
  </si>
  <si>
    <t>NICOLE ARAYA VASQUEZ</t>
  </si>
  <si>
    <t>PAC-01927</t>
  </si>
  <si>
    <t>SANDRA FIGUEROA ALVAREZ</t>
  </si>
  <si>
    <t>PAC-01928</t>
  </si>
  <si>
    <t>MARIA ROJAS TAPIA</t>
  </si>
  <si>
    <t>PAC-01929</t>
  </si>
  <si>
    <t>MACARENA CARRASCO ROJAS</t>
  </si>
  <si>
    <t>PAC-01930</t>
  </si>
  <si>
    <t>ELENA MUÑOZ MARTINEZ</t>
  </si>
  <si>
    <t>PAC-01931</t>
  </si>
  <si>
    <t>TERESA SOTO CASTILLO</t>
  </si>
  <si>
    <t>PAC-01932</t>
  </si>
  <si>
    <t>VALENTINA GONZALEZ NUÑEZ</t>
  </si>
  <si>
    <t>PAC-01933</t>
  </si>
  <si>
    <t>MARIA NUÑEZ NUÑEZ</t>
  </si>
  <si>
    <t>PAC-01934</t>
  </si>
  <si>
    <t>CATALINA VASQUEZ CARRASCO</t>
  </si>
  <si>
    <t>PAC-01935</t>
  </si>
  <si>
    <t>MARCELA REYES VERGARA</t>
  </si>
  <si>
    <t>PAC-01936</t>
  </si>
  <si>
    <t>NATALIA CASTILLO DIAZ</t>
  </si>
  <si>
    <t>PAC-01937</t>
  </si>
  <si>
    <t>ANA RODRIGUEZ TORRES</t>
  </si>
  <si>
    <t>PAC-01938</t>
  </si>
  <si>
    <t>JAVIERA NUÑEZ ESPINOZA</t>
  </si>
  <si>
    <t>PAC-01939</t>
  </si>
  <si>
    <t>TERESA RODRIGUEZ ALVAREZ</t>
  </si>
  <si>
    <t>PAC-01940</t>
  </si>
  <si>
    <t>ISABEL GONZALEZ HERRERA</t>
  </si>
  <si>
    <t>PAC-01941</t>
  </si>
  <si>
    <t>CATALINA FLORES CARRASCO</t>
  </si>
  <si>
    <t>PAC-01942</t>
  </si>
  <si>
    <t>SANDRA TAPIA FIGUEROA</t>
  </si>
  <si>
    <t>PAC-01943</t>
  </si>
  <si>
    <t>PAULA RODRIGUEZ CARRASCO</t>
  </si>
  <si>
    <t>PAC-01944</t>
  </si>
  <si>
    <t>CECILIA VERGARA FUENTES</t>
  </si>
  <si>
    <t>PAC-01945</t>
  </si>
  <si>
    <t>JAVIERA PEREZ ESPINOZA</t>
  </si>
  <si>
    <t>PAC-01946</t>
  </si>
  <si>
    <t>SOLEDAD CORTES VERGARA</t>
  </si>
  <si>
    <t>PAC-01947</t>
  </si>
  <si>
    <t>CATALINA VALENZUELA GUTIERREZ</t>
  </si>
  <si>
    <t>PAC-01948</t>
  </si>
  <si>
    <t>PAMELA PEREZ FERNANDEZ</t>
  </si>
  <si>
    <t>PAC-01949</t>
  </si>
  <si>
    <t>NATALIA ESPINOZA CONTRERAS</t>
  </si>
  <si>
    <t>PAC-01950</t>
  </si>
  <si>
    <t>MONICA SEPULVEDA GOMEZ</t>
  </si>
  <si>
    <t>PAC-01951</t>
  </si>
  <si>
    <t>YESENIA FERNANDEZ VALENZUELA</t>
  </si>
  <si>
    <t>PAC-01952</t>
  </si>
  <si>
    <t>SILVIA SANCHEZ DIAZ</t>
  </si>
  <si>
    <t>PAC-01953</t>
  </si>
  <si>
    <t>FRANCISCA CORTES ARAYA</t>
  </si>
  <si>
    <t>PAC-01954</t>
  </si>
  <si>
    <t>PATRICIA VALENZUELA MARTINEZ</t>
  </si>
  <si>
    <t>PAC-01955</t>
  </si>
  <si>
    <t>PAULA GUTIERREZ LOPEZ</t>
  </si>
  <si>
    <t>PAC-01956</t>
  </si>
  <si>
    <t>NICOLE VERGARA FLORES</t>
  </si>
  <si>
    <t>PAC-01957</t>
  </si>
  <si>
    <t>GLORIA DIAZ CARRASCO</t>
  </si>
  <si>
    <t>PAC-01958</t>
  </si>
  <si>
    <t>CAMILA FUENTES CASTILLO</t>
  </si>
  <si>
    <t>PAC-01959</t>
  </si>
  <si>
    <t>CATALINA HERNANDEZ GUTIERREZ</t>
  </si>
  <si>
    <t>PAC-01960</t>
  </si>
  <si>
    <t>CATALINA SOTO FERNANDEZ</t>
  </si>
  <si>
    <t>PAC-01961</t>
  </si>
  <si>
    <t>JUANA VASQUEZ ESPINOZA</t>
  </si>
  <si>
    <t>PAC-01962</t>
  </si>
  <si>
    <t>DANIELA SANCHEZ ROJAS</t>
  </si>
  <si>
    <t>PAC-01963</t>
  </si>
  <si>
    <t>CAROLINA VASQUEZ MORALES</t>
  </si>
  <si>
    <t>PAC-01964</t>
  </si>
  <si>
    <t>SILVIA LOPEZ REYES</t>
  </si>
  <si>
    <t>PAC-01965</t>
  </si>
  <si>
    <t>FRANCISCA CONTRERAS GUTIERREZ</t>
  </si>
  <si>
    <t>PAC-01966</t>
  </si>
  <si>
    <t>DANIELA ARAYA MORALES</t>
  </si>
  <si>
    <t>PAC-01967</t>
  </si>
  <si>
    <t>NATALIA ESPINOZA FLORES</t>
  </si>
  <si>
    <t>PAC-01968</t>
  </si>
  <si>
    <t>PAMELA JARA FUENTES</t>
  </si>
  <si>
    <t>PAC-01969</t>
  </si>
  <si>
    <t>PAMELA RIVERA SEPULVEDA</t>
  </si>
  <si>
    <t>PAC-01970</t>
  </si>
  <si>
    <t>ALEJANDRA FIGUEROA ARAYA</t>
  </si>
  <si>
    <t>PAC-01971</t>
  </si>
  <si>
    <t>ANA ARAYA REYES</t>
  </si>
  <si>
    <t>PAC-01972</t>
  </si>
  <si>
    <t>ROSA ROJAS SILVA</t>
  </si>
  <si>
    <t>PAC-01973</t>
  </si>
  <si>
    <t>ELENA MARTINEZ ROJAS</t>
  </si>
  <si>
    <t>PAC-01974</t>
  </si>
  <si>
    <t>SANDRA FLORES ESPINOZA</t>
  </si>
  <si>
    <t>PAC-01975</t>
  </si>
  <si>
    <t>ISABEL FIGUEROA FUENTES</t>
  </si>
  <si>
    <t>PAC-01976</t>
  </si>
  <si>
    <t>CECILIA REYES REYES</t>
  </si>
  <si>
    <t>PAC-01977</t>
  </si>
  <si>
    <t>MARIA SANCHEZ SOTO</t>
  </si>
  <si>
    <t>PAC-01978</t>
  </si>
  <si>
    <t>MACARENA GOMEZ GOMEZ</t>
  </si>
  <si>
    <t>PAC-01979</t>
  </si>
  <si>
    <t>FERNANDA FIGUEROA CASTRO</t>
  </si>
  <si>
    <t>PAC-01980</t>
  </si>
  <si>
    <t>XIMENA GOMEZ RAMIREZ</t>
  </si>
  <si>
    <t>PAC-01981</t>
  </si>
  <si>
    <t>BARBARA VASQUEZ RODRIGUEZ</t>
  </si>
  <si>
    <t>PAC-01982</t>
  </si>
  <si>
    <t>TERESA PEREZ FIGUEROA</t>
  </si>
  <si>
    <t>PAC-01983</t>
  </si>
  <si>
    <t>LORENA SILVA TORRES</t>
  </si>
  <si>
    <t>PAC-01984</t>
  </si>
  <si>
    <t>CAMILA TAPIA VERGARA</t>
  </si>
  <si>
    <t>PAC-01985</t>
  </si>
  <si>
    <t>PATRICIA PEREZ HERNANDEZ</t>
  </si>
  <si>
    <t>PAC-01986</t>
  </si>
  <si>
    <t>CAMILA GUTIERREZ HERRERA</t>
  </si>
  <si>
    <t>PAC-01987</t>
  </si>
  <si>
    <t>ANA VERGARA CARRASCO</t>
  </si>
  <si>
    <t>PAC-01988</t>
  </si>
  <si>
    <t>CECILIA SILVA MARTINEZ</t>
  </si>
  <si>
    <t>PAC-01989</t>
  </si>
  <si>
    <t>PATRICIA GOMEZ RAMIREZ</t>
  </si>
  <si>
    <t>PAC-01990</t>
  </si>
  <si>
    <t>DANIELA MORALES SANCHEZ</t>
  </si>
  <si>
    <t>PAC-01991</t>
  </si>
  <si>
    <t>MACARENA ROJAS CORTES</t>
  </si>
  <si>
    <t>PAC-01992</t>
  </si>
  <si>
    <t>CONSTANZA CARRASCO RAMIREZ</t>
  </si>
  <si>
    <t>PAC-01993</t>
  </si>
  <si>
    <t>CECILIA RAMIREZ ARAYA</t>
  </si>
  <si>
    <t>PAC-01994</t>
  </si>
  <si>
    <t>SANDRA HERNANDEZ ROJAS</t>
  </si>
  <si>
    <t>PAC-01995</t>
  </si>
  <si>
    <t>BARBARA HERNANDEZ SEPULVEDA</t>
  </si>
  <si>
    <t>PAC-01996</t>
  </si>
  <si>
    <t>BARBARA MORALES SOTO</t>
  </si>
  <si>
    <t>PAC-01997</t>
  </si>
  <si>
    <t>TAMARA RODRIGUEZ ALVAREZ</t>
  </si>
  <si>
    <t>PAC-01998</t>
  </si>
  <si>
    <t>MARIA CONTRERAS MUÑOZ</t>
  </si>
  <si>
    <t>PAC-01999</t>
  </si>
  <si>
    <t>ELENA ARAYA RODRIGUEZ</t>
  </si>
  <si>
    <t>PAC-02000</t>
  </si>
  <si>
    <t>NATALIA GONZALEZ CASTILLO</t>
  </si>
  <si>
    <t>PAC-02001</t>
  </si>
  <si>
    <t>ELENA VALENZUELA SOTO</t>
  </si>
  <si>
    <t>PAC-02002</t>
  </si>
  <si>
    <t>XIMENA CONTRERAS FUENTES</t>
  </si>
  <si>
    <t>PAC-02003</t>
  </si>
  <si>
    <t>ANDREA FERNANDEZ CARRASCO</t>
  </si>
  <si>
    <t>PAC-02004</t>
  </si>
  <si>
    <t>JUANA HERNANDEZ ALVAREZ</t>
  </si>
  <si>
    <t>PAC-02005</t>
  </si>
  <si>
    <t>MONICA DIAZ PEREZ</t>
  </si>
  <si>
    <t>PAC-02006</t>
  </si>
  <si>
    <t>PAMELA CASTRO HERNANDEZ</t>
  </si>
  <si>
    <t>PAC-02007</t>
  </si>
  <si>
    <t>SOLEDAD FERNANDEZ MUÑOZ</t>
  </si>
  <si>
    <t>PAC-02008</t>
  </si>
  <si>
    <t>XIMENA REYES FERNANDEZ</t>
  </si>
  <si>
    <t>PAC-02009</t>
  </si>
  <si>
    <t>SILVIA PIZARRO RODRIGUEZ</t>
  </si>
  <si>
    <t>PAC-02010</t>
  </si>
  <si>
    <t>ALEJANDRA JARA VERGARA</t>
  </si>
  <si>
    <t>PAC-02011</t>
  </si>
  <si>
    <t>CLAUDIA RODRIGUEZ CASTILLO</t>
  </si>
  <si>
    <t>PAC-02012</t>
  </si>
  <si>
    <t>CLAUDIA SOTO MUÑOZ</t>
  </si>
  <si>
    <t>PAC-02013</t>
  </si>
  <si>
    <t>LORENA LOPEZ MORALES</t>
  </si>
  <si>
    <t>PAC-02014</t>
  </si>
  <si>
    <t>MARIA VALENZUELA CORTES</t>
  </si>
  <si>
    <t>PAC-02015</t>
  </si>
  <si>
    <t>SILVIA GONZALEZ VERGARA</t>
  </si>
  <si>
    <t>PAC-02016</t>
  </si>
  <si>
    <t>ROXANA CONTRERAS ARAYA</t>
  </si>
  <si>
    <t>PAC-02017</t>
  </si>
  <si>
    <t>LORENA LOPEZ CONTRERAS</t>
  </si>
  <si>
    <t>PAC-02018</t>
  </si>
  <si>
    <t>VERONICA VERGARA SILVA</t>
  </si>
  <si>
    <t>PAC-02019</t>
  </si>
  <si>
    <t>TERESA DIAZ FLORES</t>
  </si>
  <si>
    <t>PAC-02020</t>
  </si>
  <si>
    <t>JAVIERA SOTO HERRERA</t>
  </si>
  <si>
    <t>PAC-02021</t>
  </si>
  <si>
    <t>CATALINA DIAZ RODRIGUEZ</t>
  </si>
  <si>
    <t>PAC-02022</t>
  </si>
  <si>
    <t>GLORIA VASQUEZ VALENZUELA</t>
  </si>
  <si>
    <t>PAC-02023</t>
  </si>
  <si>
    <t>ALEJANDRA SANCHEZ RODRIGUEZ</t>
  </si>
  <si>
    <t>PAC-02024</t>
  </si>
  <si>
    <t>JAVIERA HERRERA GOMEZ</t>
  </si>
  <si>
    <t>PAC-02025</t>
  </si>
  <si>
    <t>BARBARA HERRERA SEPULVEDA</t>
  </si>
  <si>
    <t>PAC-02026</t>
  </si>
  <si>
    <t>MONICA SANCHEZ MUÑOZ</t>
  </si>
  <si>
    <t>PAC-02027</t>
  </si>
  <si>
    <t>PATRICIA VASQUEZ GUTIERREZ</t>
  </si>
  <si>
    <t>PAC-02028</t>
  </si>
  <si>
    <t>ANDREA HERNANDEZ MARTINEZ</t>
  </si>
  <si>
    <t>PAC-02029</t>
  </si>
  <si>
    <t>NATALIA HERRERA SOTO</t>
  </si>
  <si>
    <t>PAC-02030</t>
  </si>
  <si>
    <t>TERESA SANCHEZ CONTRERAS</t>
  </si>
  <si>
    <t>PAC-02031</t>
  </si>
  <si>
    <t>ISABEL ROJAS FERNANDEZ</t>
  </si>
  <si>
    <t>PAC-02032</t>
  </si>
  <si>
    <t>CAROLINA CORTES RAMIREZ</t>
  </si>
  <si>
    <t>PAC-02033</t>
  </si>
  <si>
    <t>SOLEDAD RODRIGUEZ RODRIGUEZ</t>
  </si>
  <si>
    <t>PAC-02034</t>
  </si>
  <si>
    <t>ELENA ESPINOZA RIVERA</t>
  </si>
  <si>
    <t>PAC-02035</t>
  </si>
  <si>
    <t>SOLEDAD TAPIA SEPULVEDA</t>
  </si>
  <si>
    <t>PAC-02036</t>
  </si>
  <si>
    <t>MARCELA RODRIGUEZ FLORES</t>
  </si>
  <si>
    <t>PAC-02037</t>
  </si>
  <si>
    <t>ALEJANDRA GONZALEZ MARTINEZ</t>
  </si>
  <si>
    <t>PAC-02038</t>
  </si>
  <si>
    <t>MARIA ALVAREZ ROJAS</t>
  </si>
  <si>
    <t>PAC-02039</t>
  </si>
  <si>
    <t>XIMENA ROJAS PIZARRO</t>
  </si>
  <si>
    <t>PAC-02040</t>
  </si>
  <si>
    <t>PAULA SANCHEZ VERGARA</t>
  </si>
  <si>
    <t>PAC-02041</t>
  </si>
  <si>
    <t>NICOLE MARTINEZ FLORES</t>
  </si>
  <si>
    <t>PAC-02042</t>
  </si>
  <si>
    <t>TERESA VASQUEZ CARRASCO</t>
  </si>
  <si>
    <t>PAC-02043</t>
  </si>
  <si>
    <t>CATALINA PEREZ DIAZ</t>
  </si>
  <si>
    <t>PAC-02044</t>
  </si>
  <si>
    <t>ROSA PIZARRO VALENZUELA</t>
  </si>
  <si>
    <t>PAC-02045</t>
  </si>
  <si>
    <t>GLORIA GUTIERREZ RODRIGUEZ</t>
  </si>
  <si>
    <t>PAC-02046</t>
  </si>
  <si>
    <t>CATALINA TAPIA ARAYA</t>
  </si>
  <si>
    <t>PAC-02047</t>
  </si>
  <si>
    <t>NICOLE GUTIERREZ FUENTES</t>
  </si>
  <si>
    <t>PAC-02048</t>
  </si>
  <si>
    <t>MARIA VERGARA JARA</t>
  </si>
  <si>
    <t>PAC-02049</t>
  </si>
  <si>
    <t>PATRICIA ARAYA CARRASCO</t>
  </si>
  <si>
    <t>PAC-02050</t>
  </si>
  <si>
    <t>ALEJANDRA FUENTES PEREZ</t>
  </si>
  <si>
    <t>PAC-02051</t>
  </si>
  <si>
    <t>CECILIA ROJAS FUENTES</t>
  </si>
  <si>
    <t>PAC-02052</t>
  </si>
  <si>
    <t>BARBARA CARRASCO MUÑOZ</t>
  </si>
  <si>
    <t>PAC-02053</t>
  </si>
  <si>
    <t>ANA CASTRO FERNANDEZ</t>
  </si>
  <si>
    <t>PAC-02054</t>
  </si>
  <si>
    <t>FRANCISCA GONZALEZ SEPULVEDA</t>
  </si>
  <si>
    <t>PAC-02055</t>
  </si>
  <si>
    <t>DANIELA HERRERA PEREZ</t>
  </si>
  <si>
    <t>PAC-02056</t>
  </si>
  <si>
    <t>JUANA MUÑOZ VALENZUELA</t>
  </si>
  <si>
    <t>PAC-02057</t>
  </si>
  <si>
    <t>YESENIA HERNANDEZ MARTINEZ</t>
  </si>
  <si>
    <t>PAC-02058</t>
  </si>
  <si>
    <t>KARINA HERNANDEZ MARTINEZ</t>
  </si>
  <si>
    <t>PAC-02059</t>
  </si>
  <si>
    <t>ROXANA NUÑEZ DIAZ</t>
  </si>
  <si>
    <t>PAC-02060</t>
  </si>
  <si>
    <t>PAMELA VALENZUELA MARTINEZ</t>
  </si>
  <si>
    <t>PAC-02061</t>
  </si>
  <si>
    <t>MACARENA SOTO CORTES</t>
  </si>
  <si>
    <t>PAC-02062</t>
  </si>
  <si>
    <t>FERNANDA RIVERA FERNANDEZ</t>
  </si>
  <si>
    <t>PAC-02063</t>
  </si>
  <si>
    <t>SOLEDAD RAMIREZ NUÑEZ</t>
  </si>
  <si>
    <t>PAC-02064</t>
  </si>
  <si>
    <t>GLORIA PEREZ HERNANDEZ</t>
  </si>
  <si>
    <t>PAC-02065</t>
  </si>
  <si>
    <t>CLAUDIA VASQUEZ JARA</t>
  </si>
  <si>
    <t>PAC-02066</t>
  </si>
  <si>
    <t>CONSTANZA SILVA ALVAREZ</t>
  </si>
  <si>
    <t>PAC-02067</t>
  </si>
  <si>
    <t>NATALIA FLORES FIGUEROA</t>
  </si>
  <si>
    <t>PAC-02068</t>
  </si>
  <si>
    <t>GLORIA CARRASCO FIGUEROA</t>
  </si>
  <si>
    <t>PAC-02069</t>
  </si>
  <si>
    <t>SANDRA CASTRO GONZALEZ</t>
  </si>
  <si>
    <t>PAC-02070</t>
  </si>
  <si>
    <t>GLORIA VERGARA GUTIERREZ</t>
  </si>
  <si>
    <t>PAC-02071</t>
  </si>
  <si>
    <t>VERONICA MORALES FIGUEROA</t>
  </si>
  <si>
    <t>PAC-02072</t>
  </si>
  <si>
    <t>JUANA MARTINEZ FERNANDEZ</t>
  </si>
  <si>
    <t>PAC-02073</t>
  </si>
  <si>
    <t>PATRICIA REYES VASQUEZ</t>
  </si>
  <si>
    <t>PAC-02074</t>
  </si>
  <si>
    <t>ANA REYES ESPINOZA</t>
  </si>
  <si>
    <t>PAC-02075</t>
  </si>
  <si>
    <t>MARIA TORRES CASTILLO</t>
  </si>
  <si>
    <t>PAC-02076</t>
  </si>
  <si>
    <t>VALENTINA REYES SOTO</t>
  </si>
  <si>
    <t>PAC-02077</t>
  </si>
  <si>
    <t>JUANA SOTO VERGARA</t>
  </si>
  <si>
    <t>PAC-02078</t>
  </si>
  <si>
    <t>YESENIA RAMIREZ CASTILLO</t>
  </si>
  <si>
    <t>PAC-02079</t>
  </si>
  <si>
    <t>ANDREA ESPINOZA PEREZ</t>
  </si>
  <si>
    <t>PAC-02080</t>
  </si>
  <si>
    <t>MARCELA VALENZUELA CASTILLO</t>
  </si>
  <si>
    <t>PAC-02081</t>
  </si>
  <si>
    <t>ISABEL CORTES RAMIREZ</t>
  </si>
  <si>
    <t>PAC-02082</t>
  </si>
  <si>
    <t>VALENTINA CASTILLO LOPEZ</t>
  </si>
  <si>
    <t>PAC-02083</t>
  </si>
  <si>
    <t>ALEJANDRA NUÑEZ NUÑEZ</t>
  </si>
  <si>
    <t>PAC-02084</t>
  </si>
  <si>
    <t>CLAUDIA TORRES HERNANDEZ</t>
  </si>
  <si>
    <t>PAC-02085</t>
  </si>
  <si>
    <t>ANA DIAZ GONZALEZ</t>
  </si>
  <si>
    <t>PAC-02086</t>
  </si>
  <si>
    <t>TAMARA JARA PEREZ</t>
  </si>
  <si>
    <t>PAC-02087</t>
  </si>
  <si>
    <t>RESULTADO
PAP ANTERIOR</t>
  </si>
  <si>
    <t>Planilla diseñada por María Cisterna Escobar, matrona · Registro Superintendencia de Salud N° 561993 · Datos ficticios con fines demostrativos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</si>
</sst>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dd/mm/yyyy;@"/>
  </numFmts>
  <fonts count="21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2"/>
      <color theme="1"/>
      <name val="Calibri"/>
      <family val="2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scheme val="minor"/>
    </font>
    <font>
      <sz val="8"/>
      <name val="Calibri"/>
      <family val="2"/>
      <scheme val="minor"/>
    </font>
    <font>
      <sz val="8"/>
      <name val="Calibri"/>
      <scheme val="minor"/>
    </font>
    <font>
      <sz val="11"/>
      <color rgb="FF212529"/>
      <name val="Roboto"/>
    </font>
    <font>
      <b/>
      <sz val="11"/>
      <color rgb="FFFF0066"/>
      <name val="Calibri"/>
      <family val="2"/>
      <scheme val="minor"/>
    </font>
    <font>
      <b/>
      <sz val="10"/>
      <color rgb="FFFF0066"/>
      <name val="Arial"/>
      <family val="2"/>
    </font>
    <font>
      <b/>
      <sz val="11"/>
      <name val="Calibri"/>
      <family val="2"/>
      <scheme val="minor"/>
    </font>
    <font>
      <b/>
      <sz val="11"/>
      <color rgb="FF7030A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rgb="FFFFFF00"/>
      </patternFill>
    </fill>
    <fill>
      <patternFill patternType="solid">
        <fgColor theme="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A4C2F4"/>
        <bgColor indexed="64"/>
      </patternFill>
    </fill>
    <fill>
      <patternFill patternType="solid">
        <fgColor rgb="FFFFC1FF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8E7CC3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theme="2" tint="-0.14999847407452621"/>
      </top>
      <bottom style="thin">
        <color theme="2" tint="-0.149998474074526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rgb="FF000000"/>
      </left>
      <right style="medium">
        <color indexed="64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209" fillId="0" borderId="0" applyNumberFormat="0" applyFill="0" applyBorder="0" applyAlignment="0" applyProtection="0"/>
  </cellStyleXfs>
  <cellXfs count="1267">
    <xf numFmtId="0" fontId="0" fillId="0" borderId="0" xfId="0"/>
    <xf numFmtId="0" fontId="20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71" fillId="0" borderId="3" xfId="0" applyFont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171" fillId="0" borderId="0" xfId="0" applyFont="1" applyAlignment="1" applyProtection="1">
      <alignment horizontal="center"/>
      <protection locked="0"/>
    </xf>
    <xf numFmtId="14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0" fontId="0" fillId="3" borderId="0" xfId="0" applyFill="1"/>
    <xf numFmtId="0" fontId="171" fillId="0" borderId="2" xfId="0" applyFont="1" applyBorder="1" applyAlignment="1">
      <alignment horizontal="center"/>
    </xf>
    <xf numFmtId="0" fontId="169" fillId="0" borderId="2" xfId="0" applyFont="1" applyBorder="1" applyAlignment="1">
      <alignment horizontal="center" vertical="center"/>
    </xf>
    <xf numFmtId="0" fontId="171" fillId="0" borderId="2" xfId="0" applyFont="1" applyBorder="1" applyAlignment="1">
      <alignment horizontal="center" vertical="center"/>
    </xf>
    <xf numFmtId="0" fontId="168" fillId="0" borderId="2" xfId="0" applyFont="1" applyBorder="1" applyAlignment="1">
      <alignment horizontal="center" vertical="center"/>
    </xf>
    <xf numFmtId="0" fontId="167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66" fillId="0" borderId="2" xfId="0" applyFont="1" applyBorder="1" applyAlignment="1">
      <alignment horizontal="center" vertical="center"/>
    </xf>
    <xf numFmtId="0" fontId="205" fillId="0" borderId="2" xfId="0" applyFont="1" applyBorder="1" applyAlignment="1">
      <alignment horizontal="center" vertical="center"/>
    </xf>
    <xf numFmtId="0" fontId="206" fillId="0" borderId="2" xfId="0" applyFont="1" applyBorder="1" applyAlignment="1">
      <alignment horizontal="center" vertical="center"/>
    </xf>
    <xf numFmtId="0" fontId="165" fillId="0" borderId="2" xfId="0" applyFont="1" applyBorder="1" applyAlignment="1">
      <alignment horizontal="center" vertical="center"/>
    </xf>
    <xf numFmtId="0" fontId="169" fillId="3" borderId="2" xfId="0" applyFont="1" applyFill="1" applyBorder="1" applyAlignment="1">
      <alignment horizontal="center" vertical="center"/>
    </xf>
    <xf numFmtId="0" fontId="164" fillId="0" borderId="2" xfId="0" applyFont="1" applyBorder="1" applyAlignment="1">
      <alignment horizontal="center" vertical="center"/>
    </xf>
    <xf numFmtId="0" fontId="163" fillId="0" borderId="2" xfId="0" applyFont="1" applyBorder="1" applyAlignment="1">
      <alignment horizontal="center"/>
    </xf>
    <xf numFmtId="14" fontId="205" fillId="0" borderId="2" xfId="0" applyNumberFormat="1" applyFont="1" applyBorder="1" applyAlignment="1">
      <alignment horizontal="center"/>
    </xf>
    <xf numFmtId="14" fontId="0" fillId="0" borderId="5" xfId="0" applyNumberFormat="1" applyBorder="1" applyAlignment="1">
      <alignment horizontal="center"/>
    </xf>
    <xf numFmtId="14" fontId="203" fillId="0" borderId="2" xfId="0" applyNumberFormat="1" applyFont="1" applyBorder="1" applyAlignment="1">
      <alignment horizontal="center"/>
    </xf>
    <xf numFmtId="0" fontId="203" fillId="0" borderId="2" xfId="0" applyFont="1" applyBorder="1" applyAlignment="1">
      <alignment horizontal="center"/>
    </xf>
    <xf numFmtId="0" fontId="198" fillId="0" borderId="2" xfId="0" applyFont="1" applyBorder="1" applyAlignment="1">
      <alignment horizontal="center"/>
    </xf>
    <xf numFmtId="14" fontId="194" fillId="0" borderId="2" xfId="0" applyNumberFormat="1" applyFont="1" applyBorder="1" applyAlignment="1">
      <alignment horizontal="center"/>
    </xf>
    <xf numFmtId="0" fontId="188" fillId="0" borderId="2" xfId="0" applyFont="1" applyBorder="1" applyAlignment="1">
      <alignment horizontal="center"/>
    </xf>
    <xf numFmtId="14" fontId="185" fillId="0" borderId="2" xfId="0" applyNumberFormat="1" applyFont="1" applyBorder="1" applyAlignment="1">
      <alignment horizontal="center"/>
    </xf>
    <xf numFmtId="0" fontId="189" fillId="0" borderId="2" xfId="0" applyFont="1" applyBorder="1" applyAlignment="1">
      <alignment horizontal="center"/>
    </xf>
    <xf numFmtId="0" fontId="199" fillId="0" borderId="2" xfId="0" applyFont="1" applyBorder="1" applyAlignment="1">
      <alignment horizontal="center"/>
    </xf>
    <xf numFmtId="0" fontId="197" fillId="0" borderId="2" xfId="0" applyFont="1" applyBorder="1" applyAlignment="1">
      <alignment horizontal="center"/>
    </xf>
    <xf numFmtId="0" fontId="196" fillId="0" borderId="2" xfId="0" applyFont="1" applyBorder="1" applyAlignment="1">
      <alignment horizontal="center"/>
    </xf>
    <xf numFmtId="0" fontId="195" fillId="0" borderId="2" xfId="0" applyFont="1" applyBorder="1" applyAlignment="1">
      <alignment horizontal="center"/>
    </xf>
    <xf numFmtId="0" fontId="194" fillId="0" borderId="2" xfId="0" applyFont="1" applyBorder="1" applyAlignment="1">
      <alignment horizontal="center"/>
    </xf>
    <xf numFmtId="0" fontId="193" fillId="0" borderId="2" xfId="0" applyFont="1" applyBorder="1" applyAlignment="1">
      <alignment horizontal="center"/>
    </xf>
    <xf numFmtId="0" fontId="192" fillId="0" borderId="2" xfId="0" applyFont="1" applyBorder="1" applyAlignment="1">
      <alignment horizontal="center"/>
    </xf>
    <xf numFmtId="0" fontId="191" fillId="0" borderId="2" xfId="0" applyFont="1" applyBorder="1" applyAlignment="1">
      <alignment horizontal="center"/>
    </xf>
    <xf numFmtId="0" fontId="190" fillId="0" borderId="2" xfId="0" applyFont="1" applyBorder="1" applyAlignment="1">
      <alignment horizontal="center"/>
    </xf>
    <xf numFmtId="0" fontId="172" fillId="0" borderId="2" xfId="0" applyFont="1" applyBorder="1" applyAlignment="1">
      <alignment horizontal="center"/>
    </xf>
    <xf numFmtId="0" fontId="187" fillId="0" borderId="2" xfId="0" applyFont="1" applyBorder="1" applyAlignment="1">
      <alignment horizontal="center"/>
    </xf>
    <xf numFmtId="0" fontId="186" fillId="0" borderId="2" xfId="0" applyFont="1" applyBorder="1" applyAlignment="1">
      <alignment horizontal="center"/>
    </xf>
    <xf numFmtId="0" fontId="185" fillId="0" borderId="2" xfId="0" applyFont="1" applyBorder="1" applyAlignment="1">
      <alignment horizontal="center"/>
    </xf>
    <xf numFmtId="0" fontId="184" fillId="0" borderId="2" xfId="0" applyFont="1" applyBorder="1" applyAlignment="1">
      <alignment horizontal="center"/>
    </xf>
    <xf numFmtId="0" fontId="183" fillId="0" borderId="2" xfId="0" applyFont="1" applyBorder="1" applyAlignment="1">
      <alignment horizontal="center"/>
    </xf>
    <xf numFmtId="0" fontId="182" fillId="0" borderId="2" xfId="0" applyFont="1" applyBorder="1" applyAlignment="1">
      <alignment horizontal="center"/>
    </xf>
    <xf numFmtId="0" fontId="181" fillId="0" borderId="2" xfId="0" applyFont="1" applyBorder="1" applyAlignment="1">
      <alignment horizontal="center"/>
    </xf>
    <xf numFmtId="0" fontId="180" fillId="0" borderId="2" xfId="0" applyFont="1" applyBorder="1" applyAlignment="1">
      <alignment horizontal="center"/>
    </xf>
    <xf numFmtId="0" fontId="179" fillId="0" borderId="2" xfId="0" applyFont="1" applyBorder="1" applyAlignment="1">
      <alignment horizontal="center"/>
    </xf>
    <xf numFmtId="0" fontId="178" fillId="0" borderId="2" xfId="0" applyFont="1" applyBorder="1" applyAlignment="1">
      <alignment horizontal="center"/>
    </xf>
    <xf numFmtId="0" fontId="177" fillId="0" borderId="2" xfId="0" applyFont="1" applyBorder="1" applyAlignment="1">
      <alignment horizontal="center"/>
    </xf>
    <xf numFmtId="0" fontId="176" fillId="0" borderId="2" xfId="0" applyFont="1" applyBorder="1" applyAlignment="1">
      <alignment horizontal="center"/>
    </xf>
    <xf numFmtId="0" fontId="175" fillId="0" borderId="2" xfId="0" applyFont="1" applyBorder="1" applyAlignment="1">
      <alignment horizontal="center"/>
    </xf>
    <xf numFmtId="0" fontId="174" fillId="0" borderId="2" xfId="0" applyFont="1" applyBorder="1" applyAlignment="1">
      <alignment horizontal="center"/>
    </xf>
    <xf numFmtId="0" fontId="173" fillId="0" borderId="2" xfId="0" applyFont="1" applyBorder="1" applyAlignment="1">
      <alignment horizontal="center"/>
    </xf>
    <xf numFmtId="165" fontId="171" fillId="0" borderId="2" xfId="0" applyNumberFormat="1" applyFont="1" applyBorder="1" applyAlignment="1" applyProtection="1">
      <alignment horizontal="center"/>
      <protection locked="0"/>
    </xf>
    <xf numFmtId="165" fontId="0" fillId="0" borderId="2" xfId="0" applyNumberFormat="1" applyBorder="1" applyAlignment="1" applyProtection="1">
      <alignment horizontal="center"/>
      <protection locked="0"/>
    </xf>
    <xf numFmtId="0" fontId="0" fillId="3" borderId="2" xfId="0" applyFill="1" applyBorder="1" applyAlignment="1">
      <alignment horizontal="center"/>
    </xf>
    <xf numFmtId="0" fontId="171" fillId="0" borderId="5" xfId="0" applyFont="1" applyBorder="1" applyAlignment="1">
      <alignment horizontal="center"/>
    </xf>
    <xf numFmtId="0" fontId="0" fillId="0" borderId="3" xfId="0" applyBorder="1"/>
    <xf numFmtId="0" fontId="206" fillId="0" borderId="2" xfId="0" applyFont="1" applyBorder="1" applyAlignment="1">
      <alignment horizontal="center"/>
    </xf>
    <xf numFmtId="0" fontId="165" fillId="0" borderId="2" xfId="0" applyFont="1" applyBorder="1" applyAlignment="1">
      <alignment horizontal="center"/>
    </xf>
    <xf numFmtId="0" fontId="164" fillId="0" borderId="2" xfId="0" applyFont="1" applyBorder="1" applyAlignment="1">
      <alignment horizontal="center"/>
    </xf>
    <xf numFmtId="14" fontId="171" fillId="0" borderId="5" xfId="0" applyNumberFormat="1" applyFont="1" applyBorder="1" applyAlignment="1">
      <alignment horizontal="center"/>
    </xf>
    <xf numFmtId="14" fontId="166" fillId="0" borderId="5" xfId="0" applyNumberFormat="1" applyFont="1" applyBorder="1" applyAlignment="1">
      <alignment horizontal="center"/>
    </xf>
    <xf numFmtId="14" fontId="205" fillId="0" borderId="5" xfId="0" applyNumberFormat="1" applyFont="1" applyBorder="1" applyAlignment="1">
      <alignment horizontal="center"/>
    </xf>
    <xf numFmtId="14" fontId="169" fillId="0" borderId="5" xfId="0" applyNumberFormat="1" applyFont="1" applyBorder="1" applyAlignment="1">
      <alignment horizontal="center"/>
    </xf>
    <xf numFmtId="14" fontId="206" fillId="0" borderId="5" xfId="0" applyNumberFormat="1" applyFont="1" applyBorder="1" applyAlignment="1">
      <alignment horizontal="center"/>
    </xf>
    <xf numFmtId="14" fontId="0" fillId="3" borderId="6" xfId="0" applyNumberFormat="1" applyFill="1" applyBorder="1" applyAlignment="1">
      <alignment horizontal="center"/>
    </xf>
    <xf numFmtId="0" fontId="171" fillId="0" borderId="0" xfId="0" applyFont="1" applyAlignment="1">
      <alignment horizontal="center"/>
    </xf>
    <xf numFmtId="0" fontId="170" fillId="0" borderId="3" xfId="0" applyFont="1" applyBorder="1" applyAlignment="1">
      <alignment horizontal="left"/>
    </xf>
    <xf numFmtId="0" fontId="171" fillId="0" borderId="3" xfId="0" applyFont="1" applyBorder="1" applyAlignment="1">
      <alignment horizontal="left"/>
    </xf>
    <xf numFmtId="0" fontId="0" fillId="0" borderId="3" xfId="0" applyBorder="1" applyAlignment="1">
      <alignment horizontal="left"/>
    </xf>
    <xf numFmtId="0" fontId="205" fillId="0" borderId="3" xfId="0" applyFont="1" applyBorder="1" applyAlignment="1">
      <alignment horizontal="left"/>
    </xf>
    <xf numFmtId="0" fontId="206" fillId="0" borderId="3" xfId="0" applyFont="1" applyBorder="1" applyAlignment="1">
      <alignment horizontal="left"/>
    </xf>
    <xf numFmtId="0" fontId="0" fillId="3" borderId="3" xfId="0" applyFill="1" applyBorder="1" applyAlignment="1">
      <alignment horizontal="left"/>
    </xf>
    <xf numFmtId="0" fontId="163" fillId="0" borderId="3" xfId="0" applyFont="1" applyBorder="1" applyAlignment="1">
      <alignment horizontal="left"/>
    </xf>
    <xf numFmtId="0" fontId="170" fillId="0" borderId="0" xfId="0" applyFont="1" applyAlignment="1">
      <alignment horizontal="center"/>
    </xf>
    <xf numFmtId="0" fontId="162" fillId="0" borderId="0" xfId="0" applyFont="1"/>
    <xf numFmtId="14" fontId="162" fillId="0" borderId="2" xfId="0" applyNumberFormat="1" applyFont="1" applyBorder="1" applyAlignment="1">
      <alignment horizontal="center"/>
    </xf>
    <xf numFmtId="14" fontId="162" fillId="0" borderId="3" xfId="0" applyNumberFormat="1" applyFont="1" applyBorder="1" applyAlignment="1">
      <alignment horizontal="center"/>
    </xf>
    <xf numFmtId="0" fontId="162" fillId="0" borderId="5" xfId="0" applyFont="1" applyBorder="1" applyAlignment="1">
      <alignment horizontal="center"/>
    </xf>
    <xf numFmtId="0" fontId="162" fillId="0" borderId="3" xfId="0" applyFont="1" applyBorder="1" applyAlignment="1">
      <alignment horizontal="center"/>
    </xf>
    <xf numFmtId="0" fontId="161" fillId="0" borderId="0" xfId="0" applyFont="1" applyAlignment="1">
      <alignment wrapText="1"/>
    </xf>
    <xf numFmtId="0" fontId="161" fillId="0" borderId="2" xfId="0" applyFont="1" applyBorder="1" applyAlignment="1">
      <alignment horizontal="center" wrapText="1"/>
    </xf>
    <xf numFmtId="0" fontId="161" fillId="0" borderId="3" xfId="0" applyFont="1" applyBorder="1" applyAlignment="1">
      <alignment horizontal="center" wrapText="1"/>
    </xf>
    <xf numFmtId="14" fontId="161" fillId="0" borderId="2" xfId="0" applyNumberFormat="1" applyFont="1" applyBorder="1" applyAlignment="1">
      <alignment horizontal="center" wrapText="1"/>
    </xf>
    <xf numFmtId="14" fontId="161" fillId="0" borderId="3" xfId="0" applyNumberFormat="1" applyFont="1" applyBorder="1" applyAlignment="1">
      <alignment horizontal="center" wrapText="1"/>
    </xf>
    <xf numFmtId="0" fontId="161" fillId="0" borderId="5" xfId="0" applyFont="1" applyBorder="1" applyAlignment="1">
      <alignment horizontal="center" wrapText="1"/>
    </xf>
    <xf numFmtId="0" fontId="160" fillId="0" borderId="2" xfId="0" applyFont="1" applyBorder="1" applyAlignment="1">
      <alignment horizontal="center"/>
    </xf>
    <xf numFmtId="0" fontId="160" fillId="0" borderId="0" xfId="0" applyFont="1"/>
    <xf numFmtId="14" fontId="160" fillId="0" borderId="2" xfId="0" applyNumberFormat="1" applyFont="1" applyBorder="1" applyAlignment="1">
      <alignment horizontal="center"/>
    </xf>
    <xf numFmtId="14" fontId="160" fillId="0" borderId="3" xfId="0" applyNumberFormat="1" applyFont="1" applyBorder="1" applyAlignment="1">
      <alignment horizontal="center"/>
    </xf>
    <xf numFmtId="0" fontId="160" fillId="0" borderId="5" xfId="0" applyFont="1" applyBorder="1" applyAlignment="1">
      <alignment horizontal="center"/>
    </xf>
    <xf numFmtId="0" fontId="161" fillId="0" borderId="0" xfId="0" applyFont="1"/>
    <xf numFmtId="0" fontId="160" fillId="0" borderId="3" xfId="0" applyFont="1" applyBorder="1" applyAlignment="1">
      <alignment horizontal="center"/>
    </xf>
    <xf numFmtId="0" fontId="162" fillId="0" borderId="2" xfId="0" applyFont="1" applyBorder="1" applyAlignment="1">
      <alignment horizontal="center"/>
    </xf>
    <xf numFmtId="0" fontId="160" fillId="0" borderId="0" xfId="0" applyFont="1" applyAlignment="1">
      <alignment wrapText="1"/>
    </xf>
    <xf numFmtId="0" fontId="160" fillId="0" borderId="2" xfId="0" applyFont="1" applyBorder="1" applyAlignment="1">
      <alignment horizontal="center" wrapText="1"/>
    </xf>
    <xf numFmtId="0" fontId="160" fillId="0" borderId="3" xfId="0" applyFont="1" applyBorder="1" applyAlignment="1">
      <alignment horizontal="center" wrapText="1"/>
    </xf>
    <xf numFmtId="14" fontId="160" fillId="0" borderId="2" xfId="0" applyNumberFormat="1" applyFont="1" applyBorder="1" applyAlignment="1">
      <alignment horizontal="center" wrapText="1"/>
    </xf>
    <xf numFmtId="14" fontId="160" fillId="0" borderId="3" xfId="0" applyNumberFormat="1" applyFont="1" applyBorder="1" applyAlignment="1">
      <alignment horizontal="center" wrapText="1"/>
    </xf>
    <xf numFmtId="0" fontId="160" fillId="0" borderId="5" xfId="0" applyFont="1" applyBorder="1" applyAlignment="1">
      <alignment horizontal="center" wrapText="1"/>
    </xf>
    <xf numFmtId="0" fontId="159" fillId="0" borderId="0" xfId="0" applyFont="1" applyAlignment="1">
      <alignment wrapText="1"/>
    </xf>
    <xf numFmtId="0" fontId="159" fillId="0" borderId="2" xfId="0" applyFont="1" applyBorder="1" applyAlignment="1">
      <alignment horizontal="center" wrapText="1"/>
    </xf>
    <xf numFmtId="0" fontId="159" fillId="0" borderId="3" xfId="0" applyFont="1" applyBorder="1" applyAlignment="1">
      <alignment horizontal="center" wrapText="1"/>
    </xf>
    <xf numFmtId="14" fontId="159" fillId="0" borderId="2" xfId="0" applyNumberFormat="1" applyFont="1" applyBorder="1" applyAlignment="1">
      <alignment horizontal="center" wrapText="1"/>
    </xf>
    <xf numFmtId="14" fontId="159" fillId="0" borderId="3" xfId="0" applyNumberFormat="1" applyFont="1" applyBorder="1" applyAlignment="1">
      <alignment horizontal="center" wrapText="1"/>
    </xf>
    <xf numFmtId="0" fontId="159" fillId="0" borderId="5" xfId="0" applyFont="1" applyBorder="1" applyAlignment="1">
      <alignment horizontal="center" wrapText="1"/>
    </xf>
    <xf numFmtId="0" fontId="159" fillId="0" borderId="0" xfId="0" applyFont="1"/>
    <xf numFmtId="0" fontId="207" fillId="4" borderId="7" xfId="0" applyFont="1" applyFill="1" applyBorder="1" applyAlignment="1">
      <alignment horizontal="center" vertical="center" wrapText="1"/>
    </xf>
    <xf numFmtId="0" fontId="207" fillId="4" borderId="8" xfId="0" applyFont="1" applyFill="1" applyBorder="1" applyAlignment="1">
      <alignment horizontal="center" vertical="center" wrapText="1"/>
    </xf>
    <xf numFmtId="165" fontId="208" fillId="4" borderId="7" xfId="0" applyNumberFormat="1" applyFont="1" applyFill="1" applyBorder="1" applyAlignment="1" applyProtection="1">
      <alignment horizontal="center" vertical="center" wrapText="1"/>
      <protection locked="0"/>
    </xf>
    <xf numFmtId="0" fontId="208" fillId="4" borderId="7" xfId="0" applyFont="1" applyFill="1" applyBorder="1" applyAlignment="1" applyProtection="1">
      <alignment horizontal="center" vertical="center" wrapText="1"/>
      <protection locked="0"/>
    </xf>
    <xf numFmtId="0" fontId="208" fillId="4" borderId="7" xfId="0" applyFont="1" applyFill="1" applyBorder="1" applyAlignment="1">
      <alignment horizontal="center" vertical="center" wrapText="1"/>
    </xf>
    <xf numFmtId="0" fontId="201" fillId="4" borderId="7" xfId="0" applyFont="1" applyFill="1" applyBorder="1" applyAlignment="1">
      <alignment horizontal="center" vertical="center" wrapText="1"/>
    </xf>
    <xf numFmtId="0" fontId="208" fillId="4" borderId="7" xfId="0" applyFont="1" applyFill="1" applyBorder="1" applyAlignment="1" applyProtection="1">
      <alignment horizontal="center" vertical="center" wrapText="1"/>
      <protection locked="0" hidden="1"/>
    </xf>
    <xf numFmtId="0" fontId="158" fillId="0" borderId="0" xfId="0" applyFont="1" applyAlignment="1">
      <alignment wrapText="1"/>
    </xf>
    <xf numFmtId="0" fontId="158" fillId="0" borderId="2" xfId="0" applyFont="1" applyBorder="1" applyAlignment="1">
      <alignment horizontal="center" wrapText="1"/>
    </xf>
    <xf numFmtId="0" fontId="158" fillId="0" borderId="3" xfId="0" applyFont="1" applyBorder="1" applyAlignment="1">
      <alignment horizontal="center" wrapText="1"/>
    </xf>
    <xf numFmtId="14" fontId="158" fillId="0" borderId="2" xfId="0" applyNumberFormat="1" applyFont="1" applyBorder="1" applyAlignment="1">
      <alignment horizontal="center" wrapText="1"/>
    </xf>
    <xf numFmtId="14" fontId="158" fillId="0" borderId="3" xfId="0" applyNumberFormat="1" applyFont="1" applyBorder="1" applyAlignment="1">
      <alignment horizontal="center" wrapText="1"/>
    </xf>
    <xf numFmtId="0" fontId="158" fillId="0" borderId="5" xfId="0" applyFont="1" applyBorder="1" applyAlignment="1">
      <alignment horizontal="center" wrapText="1"/>
    </xf>
    <xf numFmtId="0" fontId="157" fillId="0" borderId="0" xfId="0" applyFont="1" applyAlignment="1">
      <alignment wrapText="1"/>
    </xf>
    <xf numFmtId="0" fontId="157" fillId="0" borderId="2" xfId="0" applyFont="1" applyBorder="1" applyAlignment="1">
      <alignment horizontal="center" wrapText="1"/>
    </xf>
    <xf numFmtId="0" fontId="157" fillId="0" borderId="3" xfId="0" applyFont="1" applyBorder="1" applyAlignment="1">
      <alignment horizontal="center" wrapText="1"/>
    </xf>
    <xf numFmtId="14" fontId="157" fillId="0" borderId="2" xfId="0" applyNumberFormat="1" applyFont="1" applyBorder="1" applyAlignment="1">
      <alignment horizontal="center" wrapText="1"/>
    </xf>
    <xf numFmtId="14" fontId="157" fillId="0" borderId="3" xfId="0" applyNumberFormat="1" applyFont="1" applyBorder="1" applyAlignment="1">
      <alignment horizontal="center" wrapText="1"/>
    </xf>
    <xf numFmtId="0" fontId="157" fillId="0" borderId="5" xfId="0" applyFont="1" applyBorder="1" applyAlignment="1">
      <alignment horizontal="center" wrapText="1"/>
    </xf>
    <xf numFmtId="0" fontId="156" fillId="0" borderId="0" xfId="0" applyFont="1" applyAlignment="1">
      <alignment wrapText="1"/>
    </xf>
    <xf numFmtId="0" fontId="156" fillId="0" borderId="2" xfId="0" applyFont="1" applyBorder="1" applyAlignment="1">
      <alignment horizontal="center" wrapText="1"/>
    </xf>
    <xf numFmtId="0" fontId="156" fillId="0" borderId="3" xfId="0" applyFont="1" applyBorder="1" applyAlignment="1">
      <alignment horizontal="center" wrapText="1"/>
    </xf>
    <xf numFmtId="14" fontId="156" fillId="0" borderId="2" xfId="0" applyNumberFormat="1" applyFont="1" applyBorder="1" applyAlignment="1">
      <alignment horizontal="center" wrapText="1"/>
    </xf>
    <xf numFmtId="14" fontId="156" fillId="0" borderId="3" xfId="0" applyNumberFormat="1" applyFont="1" applyBorder="1" applyAlignment="1">
      <alignment horizontal="center" wrapText="1"/>
    </xf>
    <xf numFmtId="0" fontId="156" fillId="0" borderId="5" xfId="0" applyFont="1" applyBorder="1" applyAlignment="1">
      <alignment horizontal="center" wrapText="1"/>
    </xf>
    <xf numFmtId="0" fontId="155" fillId="0" borderId="2" xfId="0" applyFont="1" applyBorder="1" applyAlignment="1">
      <alignment horizontal="center" wrapText="1"/>
    </xf>
    <xf numFmtId="0" fontId="154" fillId="0" borderId="2" xfId="0" applyFont="1" applyBorder="1" applyAlignment="1">
      <alignment wrapText="1"/>
    </xf>
    <xf numFmtId="0" fontId="154" fillId="0" borderId="0" xfId="0" applyFont="1" applyAlignment="1">
      <alignment wrapText="1"/>
    </xf>
    <xf numFmtId="0" fontId="154" fillId="0" borderId="2" xfId="0" applyFont="1" applyBorder="1" applyAlignment="1">
      <alignment horizontal="center" wrapText="1"/>
    </xf>
    <xf numFmtId="0" fontId="154" fillId="0" borderId="3" xfId="0" applyFont="1" applyBorder="1" applyAlignment="1">
      <alignment horizontal="center" wrapText="1"/>
    </xf>
    <xf numFmtId="14" fontId="154" fillId="0" borderId="2" xfId="0" applyNumberFormat="1" applyFont="1" applyBorder="1" applyAlignment="1">
      <alignment horizontal="center" wrapText="1"/>
    </xf>
    <xf numFmtId="14" fontId="154" fillId="0" borderId="3" xfId="0" applyNumberFormat="1" applyFont="1" applyBorder="1" applyAlignment="1">
      <alignment horizontal="center" wrapText="1"/>
    </xf>
    <xf numFmtId="0" fontId="154" fillId="0" borderId="5" xfId="0" applyFont="1" applyBorder="1" applyAlignment="1">
      <alignment horizontal="center" wrapText="1"/>
    </xf>
    <xf numFmtId="0" fontId="153" fillId="0" borderId="2" xfId="0" applyFont="1" applyBorder="1" applyAlignment="1">
      <alignment wrapText="1"/>
    </xf>
    <xf numFmtId="0" fontId="153" fillId="0" borderId="0" xfId="0" applyFont="1" applyAlignment="1">
      <alignment wrapText="1"/>
    </xf>
    <xf numFmtId="0" fontId="153" fillId="0" borderId="2" xfId="0" applyFont="1" applyBorder="1" applyAlignment="1">
      <alignment horizontal="center" wrapText="1"/>
    </xf>
    <xf numFmtId="0" fontId="153" fillId="0" borderId="3" xfId="0" applyFont="1" applyBorder="1" applyAlignment="1">
      <alignment horizontal="center" wrapText="1"/>
    </xf>
    <xf numFmtId="14" fontId="153" fillId="0" borderId="2" xfId="0" applyNumberFormat="1" applyFont="1" applyBorder="1" applyAlignment="1">
      <alignment horizontal="center" wrapText="1"/>
    </xf>
    <xf numFmtId="14" fontId="153" fillId="0" borderId="3" xfId="0" applyNumberFormat="1" applyFont="1" applyBorder="1" applyAlignment="1">
      <alignment horizontal="center" wrapText="1"/>
    </xf>
    <xf numFmtId="0" fontId="153" fillId="0" borderId="5" xfId="0" applyFont="1" applyBorder="1" applyAlignment="1">
      <alignment horizontal="center" wrapText="1"/>
    </xf>
    <xf numFmtId="0" fontId="152" fillId="0" borderId="2" xfId="0" applyFont="1" applyBorder="1" applyAlignment="1">
      <alignment wrapText="1"/>
    </xf>
    <xf numFmtId="0" fontId="152" fillId="0" borderId="0" xfId="0" applyFont="1" applyAlignment="1">
      <alignment wrapText="1"/>
    </xf>
    <xf numFmtId="0" fontId="152" fillId="0" borderId="2" xfId="0" applyFont="1" applyBorder="1" applyAlignment="1">
      <alignment horizontal="center" wrapText="1"/>
    </xf>
    <xf numFmtId="0" fontId="152" fillId="0" borderId="3" xfId="0" applyFont="1" applyBorder="1" applyAlignment="1">
      <alignment horizontal="center" wrapText="1"/>
    </xf>
    <xf numFmtId="14" fontId="152" fillId="0" borderId="2" xfId="0" applyNumberFormat="1" applyFont="1" applyBorder="1" applyAlignment="1">
      <alignment horizontal="center" wrapText="1"/>
    </xf>
    <xf numFmtId="14" fontId="152" fillId="0" borderId="3" xfId="0" applyNumberFormat="1" applyFont="1" applyBorder="1" applyAlignment="1">
      <alignment horizontal="center" wrapText="1"/>
    </xf>
    <xf numFmtId="0" fontId="152" fillId="0" borderId="5" xfId="0" applyFont="1" applyBorder="1" applyAlignment="1">
      <alignment horizontal="center" wrapText="1"/>
    </xf>
    <xf numFmtId="0" fontId="151" fillId="0" borderId="2" xfId="0" applyFont="1" applyBorder="1" applyAlignment="1">
      <alignment wrapText="1"/>
    </xf>
    <xf numFmtId="0" fontId="151" fillId="0" borderId="0" xfId="0" applyFont="1" applyAlignment="1">
      <alignment wrapText="1"/>
    </xf>
    <xf numFmtId="0" fontId="151" fillId="0" borderId="3" xfId="0" applyFont="1" applyBorder="1" applyAlignment="1">
      <alignment horizontal="center" wrapText="1"/>
    </xf>
    <xf numFmtId="14" fontId="151" fillId="0" borderId="2" xfId="0" applyNumberFormat="1" applyFont="1" applyBorder="1" applyAlignment="1">
      <alignment horizontal="center" wrapText="1"/>
    </xf>
    <xf numFmtId="14" fontId="151" fillId="0" borderId="3" xfId="0" applyNumberFormat="1" applyFont="1" applyBorder="1" applyAlignment="1">
      <alignment horizontal="center" wrapText="1"/>
    </xf>
    <xf numFmtId="0" fontId="151" fillId="0" borderId="5" xfId="0" applyFont="1" applyBorder="1" applyAlignment="1">
      <alignment horizontal="center" wrapText="1"/>
    </xf>
    <xf numFmtId="0" fontId="150" fillId="0" borderId="2" xfId="0" applyFont="1" applyBorder="1" applyAlignment="1">
      <alignment wrapText="1"/>
    </xf>
    <xf numFmtId="0" fontId="150" fillId="0" borderId="0" xfId="0" applyFont="1" applyAlignment="1">
      <alignment wrapText="1"/>
    </xf>
    <xf numFmtId="0" fontId="150" fillId="0" borderId="3" xfId="0" applyFont="1" applyBorder="1" applyAlignment="1">
      <alignment horizontal="center" wrapText="1"/>
    </xf>
    <xf numFmtId="14" fontId="150" fillId="0" borderId="2" xfId="0" applyNumberFormat="1" applyFont="1" applyBorder="1" applyAlignment="1">
      <alignment horizontal="center" wrapText="1"/>
    </xf>
    <xf numFmtId="14" fontId="150" fillId="0" borderId="3" xfId="0" applyNumberFormat="1" applyFont="1" applyBorder="1" applyAlignment="1">
      <alignment horizontal="center" wrapText="1"/>
    </xf>
    <xf numFmtId="0" fontId="150" fillId="0" borderId="5" xfId="0" applyFont="1" applyBorder="1" applyAlignment="1">
      <alignment horizontal="center" wrapText="1"/>
    </xf>
    <xf numFmtId="0" fontId="149" fillId="0" borderId="5" xfId="0" applyFont="1" applyBorder="1" applyAlignment="1">
      <alignment horizontal="center" wrapText="1"/>
    </xf>
    <xf numFmtId="0" fontId="149" fillId="0" borderId="2" xfId="0" applyFont="1" applyBorder="1" applyAlignment="1">
      <alignment wrapText="1"/>
    </xf>
    <xf numFmtId="0" fontId="149" fillId="0" borderId="0" xfId="0" applyFont="1" applyAlignment="1">
      <alignment wrapText="1"/>
    </xf>
    <xf numFmtId="0" fontId="149" fillId="0" borderId="2" xfId="0" applyFont="1" applyBorder="1" applyAlignment="1">
      <alignment horizontal="center" wrapText="1"/>
    </xf>
    <xf numFmtId="0" fontId="149" fillId="0" borderId="3" xfId="0" applyFont="1" applyBorder="1" applyAlignment="1">
      <alignment horizontal="center" wrapText="1"/>
    </xf>
    <xf numFmtId="14" fontId="149" fillId="0" borderId="2" xfId="0" applyNumberFormat="1" applyFont="1" applyBorder="1" applyAlignment="1">
      <alignment horizontal="center" wrapText="1"/>
    </xf>
    <xf numFmtId="14" fontId="149" fillId="0" borderId="3" xfId="0" applyNumberFormat="1" applyFont="1" applyBorder="1" applyAlignment="1">
      <alignment horizontal="center" wrapText="1"/>
    </xf>
    <xf numFmtId="0" fontId="148" fillId="0" borderId="2" xfId="0" applyFont="1" applyBorder="1" applyAlignment="1">
      <alignment wrapText="1"/>
    </xf>
    <xf numFmtId="0" fontId="148" fillId="0" borderId="0" xfId="0" applyFont="1" applyAlignment="1">
      <alignment wrapText="1"/>
    </xf>
    <xf numFmtId="0" fontId="148" fillId="0" borderId="2" xfId="0" applyFont="1" applyBorder="1" applyAlignment="1">
      <alignment horizontal="center" wrapText="1"/>
    </xf>
    <xf numFmtId="0" fontId="148" fillId="0" borderId="3" xfId="0" applyFont="1" applyBorder="1" applyAlignment="1">
      <alignment horizontal="center" wrapText="1"/>
    </xf>
    <xf numFmtId="14" fontId="148" fillId="0" borderId="2" xfId="0" applyNumberFormat="1" applyFont="1" applyBorder="1" applyAlignment="1">
      <alignment horizontal="center" wrapText="1"/>
    </xf>
    <xf numFmtId="14" fontId="148" fillId="0" borderId="3" xfId="0" applyNumberFormat="1" applyFont="1" applyBorder="1" applyAlignment="1">
      <alignment horizontal="center" wrapText="1"/>
    </xf>
    <xf numFmtId="0" fontId="148" fillId="0" borderId="5" xfId="0" applyFont="1" applyBorder="1" applyAlignment="1">
      <alignment horizontal="center" wrapText="1"/>
    </xf>
    <xf numFmtId="14" fontId="0" fillId="0" borderId="0" xfId="0" applyNumberFormat="1"/>
    <xf numFmtId="14" fontId="202" fillId="0" borderId="0" xfId="0" applyNumberFormat="1" applyFont="1" applyAlignment="1">
      <alignment horizontal="center"/>
    </xf>
    <xf numFmtId="0" fontId="0" fillId="0" borderId="11" xfId="0" applyBorder="1" applyAlignment="1">
      <alignment horizontal="center" vertical="center"/>
    </xf>
    <xf numFmtId="0" fontId="201" fillId="6" borderId="11" xfId="0" applyFont="1" applyFill="1" applyBorder="1" applyAlignment="1">
      <alignment horizontal="center"/>
    </xf>
    <xf numFmtId="0" fontId="147" fillId="3" borderId="11" xfId="0" applyFont="1" applyFill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201" fillId="0" borderId="10" xfId="0" applyFont="1" applyBorder="1" applyAlignment="1">
      <alignment horizontal="center" vertical="center"/>
    </xf>
    <xf numFmtId="0" fontId="201" fillId="0" borderId="12" xfId="0" applyFont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201" fillId="0" borderId="14" xfId="0" applyFont="1" applyBorder="1" applyAlignment="1">
      <alignment horizontal="center" vertical="center"/>
    </xf>
    <xf numFmtId="0" fontId="147" fillId="3" borderId="15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201" fillId="6" borderId="17" xfId="0" applyFont="1" applyFill="1" applyBorder="1" applyAlignment="1">
      <alignment horizontal="center"/>
    </xf>
    <xf numFmtId="0" fontId="201" fillId="6" borderId="18" xfId="0" applyFont="1" applyFill="1" applyBorder="1" applyAlignment="1">
      <alignment horizontal="center"/>
    </xf>
    <xf numFmtId="0" fontId="147" fillId="3" borderId="20" xfId="0" applyFont="1" applyFill="1" applyBorder="1" applyAlignment="1">
      <alignment horizontal="center" vertical="center"/>
    </xf>
    <xf numFmtId="0" fontId="201" fillId="0" borderId="21" xfId="0" applyFont="1" applyBorder="1" applyAlignment="1">
      <alignment horizontal="center" vertical="center"/>
    </xf>
    <xf numFmtId="0" fontId="207" fillId="4" borderId="4" xfId="0" applyFont="1" applyFill="1" applyBorder="1" applyAlignment="1">
      <alignment horizontal="center" vertical="center" wrapText="1"/>
    </xf>
    <xf numFmtId="0" fontId="201" fillId="6" borderId="19" xfId="1" applyFont="1" applyFill="1" applyBorder="1" applyAlignment="1">
      <alignment horizontal="center" vertical="center"/>
    </xf>
    <xf numFmtId="0" fontId="201" fillId="6" borderId="17" xfId="1" applyFont="1" applyFill="1" applyBorder="1" applyAlignment="1">
      <alignment horizontal="center" vertical="center"/>
    </xf>
    <xf numFmtId="0" fontId="202" fillId="0" borderId="0" xfId="0" applyFont="1" applyAlignment="1">
      <alignment horizontal="left"/>
    </xf>
    <xf numFmtId="0" fontId="202" fillId="0" borderId="2" xfId="0" applyFont="1" applyBorder="1" applyAlignment="1">
      <alignment horizontal="center"/>
    </xf>
    <xf numFmtId="0" fontId="202" fillId="0" borderId="10" xfId="0" applyFont="1" applyBorder="1" applyAlignment="1">
      <alignment horizontal="center"/>
    </xf>
    <xf numFmtId="0" fontId="200" fillId="4" borderId="7" xfId="0" applyFont="1" applyFill="1" applyBorder="1" applyAlignment="1">
      <alignment horizontal="center" vertical="center"/>
    </xf>
    <xf numFmtId="14" fontId="200" fillId="4" borderId="7" xfId="0" applyNumberFormat="1" applyFont="1" applyFill="1" applyBorder="1" applyAlignment="1">
      <alignment horizontal="center" vertical="center"/>
    </xf>
    <xf numFmtId="14" fontId="202" fillId="0" borderId="2" xfId="0" applyNumberFormat="1" applyFont="1" applyBorder="1" applyAlignment="1">
      <alignment horizontal="center"/>
    </xf>
    <xf numFmtId="14" fontId="202" fillId="0" borderId="10" xfId="0" applyNumberFormat="1" applyFont="1" applyBorder="1" applyAlignment="1">
      <alignment horizontal="center"/>
    </xf>
    <xf numFmtId="0" fontId="202" fillId="0" borderId="2" xfId="0" applyFont="1" applyBorder="1" applyAlignment="1">
      <alignment horizontal="left"/>
    </xf>
    <xf numFmtId="0" fontId="204" fillId="0" borderId="2" xfId="0" applyFont="1" applyBorder="1" applyAlignment="1">
      <alignment horizontal="left"/>
    </xf>
    <xf numFmtId="164" fontId="202" fillId="0" borderId="2" xfId="0" applyNumberFormat="1" applyFont="1" applyBorder="1" applyAlignment="1">
      <alignment horizontal="left"/>
    </xf>
    <xf numFmtId="0" fontId="203" fillId="0" borderId="2" xfId="0" applyFont="1" applyBorder="1" applyAlignment="1">
      <alignment horizontal="left"/>
    </xf>
    <xf numFmtId="0" fontId="202" fillId="0" borderId="10" xfId="0" applyFont="1" applyBorder="1" applyAlignment="1">
      <alignment horizontal="left"/>
    </xf>
    <xf numFmtId="3" fontId="202" fillId="0" borderId="2" xfId="0" applyNumberFormat="1" applyFont="1" applyBorder="1" applyAlignment="1">
      <alignment horizontal="center"/>
    </xf>
    <xf numFmtId="0" fontId="203" fillId="0" borderId="2" xfId="0" applyFont="1" applyBorder="1"/>
    <xf numFmtId="14" fontId="200" fillId="4" borderId="7" xfId="0" applyNumberFormat="1" applyFont="1" applyFill="1" applyBorder="1" applyAlignment="1">
      <alignment horizontal="center" vertical="center" wrapText="1"/>
    </xf>
    <xf numFmtId="0" fontId="203" fillId="0" borderId="10" xfId="0" applyFont="1" applyBorder="1"/>
    <xf numFmtId="0" fontId="146" fillId="0" borderId="2" xfId="0" applyFont="1" applyBorder="1" applyAlignment="1">
      <alignment wrapText="1"/>
    </xf>
    <xf numFmtId="0" fontId="146" fillId="0" borderId="2" xfId="0" applyFont="1" applyBorder="1" applyAlignment="1">
      <alignment horizontal="center" wrapText="1"/>
    </xf>
    <xf numFmtId="0" fontId="146" fillId="0" borderId="0" xfId="0" applyFont="1" applyAlignment="1">
      <alignment wrapText="1"/>
    </xf>
    <xf numFmtId="0" fontId="146" fillId="0" borderId="3" xfId="0" applyFont="1" applyBorder="1" applyAlignment="1">
      <alignment horizontal="center" wrapText="1"/>
    </xf>
    <xf numFmtId="14" fontId="146" fillId="0" borderId="2" xfId="0" applyNumberFormat="1" applyFont="1" applyBorder="1" applyAlignment="1">
      <alignment horizontal="center" wrapText="1"/>
    </xf>
    <xf numFmtId="14" fontId="146" fillId="0" borderId="3" xfId="0" applyNumberFormat="1" applyFont="1" applyBorder="1" applyAlignment="1">
      <alignment horizontal="center" wrapText="1"/>
    </xf>
    <xf numFmtId="0" fontId="146" fillId="0" borderId="5" xfId="0" applyFont="1" applyBorder="1" applyAlignment="1">
      <alignment horizontal="center" wrapText="1"/>
    </xf>
    <xf numFmtId="165" fontId="208" fillId="4" borderId="7" xfId="0" applyNumberFormat="1" applyFont="1" applyFill="1" applyBorder="1" applyAlignment="1" applyProtection="1">
      <alignment horizontal="center" vertical="top" wrapText="1"/>
      <protection locked="0"/>
    </xf>
    <xf numFmtId="0" fontId="208" fillId="4" borderId="7" xfId="0" applyFont="1" applyFill="1" applyBorder="1" applyAlignment="1" applyProtection="1">
      <alignment horizontal="center" vertical="top" wrapText="1"/>
      <protection locked="0"/>
    </xf>
    <xf numFmtId="0" fontId="207" fillId="4" borderId="9" xfId="0" applyFont="1" applyFill="1" applyBorder="1" applyAlignment="1">
      <alignment horizontal="center" vertical="top" wrapText="1"/>
    </xf>
    <xf numFmtId="0" fontId="208" fillId="4" borderId="7" xfId="0" applyFont="1" applyFill="1" applyBorder="1" applyAlignment="1">
      <alignment horizontal="center" vertical="top" wrapText="1"/>
    </xf>
    <xf numFmtId="0" fontId="145" fillId="0" borderId="2" xfId="0" applyFont="1" applyBorder="1" applyAlignment="1">
      <alignment wrapText="1"/>
    </xf>
    <xf numFmtId="0" fontId="145" fillId="0" borderId="0" xfId="0" applyFont="1" applyAlignment="1">
      <alignment wrapText="1"/>
    </xf>
    <xf numFmtId="0" fontId="145" fillId="0" borderId="3" xfId="0" applyFont="1" applyBorder="1" applyAlignment="1">
      <alignment horizontal="center" wrapText="1"/>
    </xf>
    <xf numFmtId="14" fontId="145" fillId="0" borderId="2" xfId="0" applyNumberFormat="1" applyFont="1" applyBorder="1" applyAlignment="1">
      <alignment horizontal="center" wrapText="1"/>
    </xf>
    <xf numFmtId="14" fontId="145" fillId="0" borderId="3" xfId="0" applyNumberFormat="1" applyFont="1" applyBorder="1" applyAlignment="1">
      <alignment horizontal="center" wrapText="1"/>
    </xf>
    <xf numFmtId="0" fontId="145" fillId="0" borderId="5" xfId="0" applyFont="1" applyBorder="1" applyAlignment="1">
      <alignment horizontal="center" wrapText="1"/>
    </xf>
    <xf numFmtId="0" fontId="144" fillId="0" borderId="2" xfId="0" applyFont="1" applyBorder="1" applyAlignment="1">
      <alignment wrapText="1"/>
    </xf>
    <xf numFmtId="0" fontId="144" fillId="0" borderId="0" xfId="0" applyFont="1" applyAlignment="1">
      <alignment wrapText="1"/>
    </xf>
    <xf numFmtId="0" fontId="144" fillId="0" borderId="2" xfId="0" applyFont="1" applyBorder="1" applyAlignment="1">
      <alignment horizontal="center" wrapText="1"/>
    </xf>
    <xf numFmtId="0" fontId="144" fillId="0" borderId="3" xfId="0" applyFont="1" applyBorder="1" applyAlignment="1">
      <alignment horizontal="center" wrapText="1"/>
    </xf>
    <xf numFmtId="14" fontId="144" fillId="0" borderId="2" xfId="0" applyNumberFormat="1" applyFont="1" applyBorder="1" applyAlignment="1">
      <alignment horizontal="center" wrapText="1"/>
    </xf>
    <xf numFmtId="14" fontId="144" fillId="0" borderId="3" xfId="0" applyNumberFormat="1" applyFont="1" applyBorder="1" applyAlignment="1">
      <alignment horizontal="center" wrapText="1"/>
    </xf>
    <xf numFmtId="0" fontId="144" fillId="0" borderId="5" xfId="0" applyFont="1" applyBorder="1" applyAlignment="1">
      <alignment horizontal="center" wrapText="1"/>
    </xf>
    <xf numFmtId="0" fontId="143" fillId="0" borderId="2" xfId="0" applyFont="1" applyBorder="1" applyAlignment="1">
      <alignment wrapText="1"/>
    </xf>
    <xf numFmtId="0" fontId="143" fillId="0" borderId="0" xfId="0" applyFont="1" applyAlignment="1">
      <alignment wrapText="1"/>
    </xf>
    <xf numFmtId="0" fontId="143" fillId="0" borderId="2" xfId="0" applyFont="1" applyBorder="1" applyAlignment="1">
      <alignment horizontal="center" wrapText="1"/>
    </xf>
    <xf numFmtId="0" fontId="143" fillId="0" borderId="3" xfId="0" applyFont="1" applyBorder="1" applyAlignment="1">
      <alignment horizontal="center" wrapText="1"/>
    </xf>
    <xf numFmtId="14" fontId="143" fillId="0" borderId="2" xfId="0" applyNumberFormat="1" applyFont="1" applyBorder="1" applyAlignment="1">
      <alignment horizontal="center" wrapText="1"/>
    </xf>
    <xf numFmtId="14" fontId="143" fillId="0" borderId="3" xfId="0" applyNumberFormat="1" applyFont="1" applyBorder="1" applyAlignment="1">
      <alignment horizontal="center" wrapText="1"/>
    </xf>
    <xf numFmtId="0" fontId="143" fillId="0" borderId="5" xfId="0" applyFont="1" applyBorder="1" applyAlignment="1">
      <alignment horizontal="center" wrapText="1"/>
    </xf>
    <xf numFmtId="0" fontId="142" fillId="0" borderId="2" xfId="0" applyFont="1" applyBorder="1" applyAlignment="1">
      <alignment wrapText="1"/>
    </xf>
    <xf numFmtId="0" fontId="142" fillId="0" borderId="0" xfId="0" applyFont="1" applyAlignment="1">
      <alignment wrapText="1"/>
    </xf>
    <xf numFmtId="0" fontId="142" fillId="0" borderId="2" xfId="0" applyFont="1" applyBorder="1" applyAlignment="1">
      <alignment horizontal="center" wrapText="1"/>
    </xf>
    <xf numFmtId="0" fontId="142" fillId="0" borderId="3" xfId="0" applyFont="1" applyBorder="1" applyAlignment="1">
      <alignment horizontal="center" wrapText="1"/>
    </xf>
    <xf numFmtId="14" fontId="142" fillId="0" borderId="2" xfId="0" applyNumberFormat="1" applyFont="1" applyBorder="1" applyAlignment="1">
      <alignment horizontal="center" wrapText="1"/>
    </xf>
    <xf numFmtId="14" fontId="142" fillId="0" borderId="3" xfId="0" applyNumberFormat="1" applyFont="1" applyBorder="1" applyAlignment="1">
      <alignment horizontal="center" wrapText="1"/>
    </xf>
    <xf numFmtId="0" fontId="142" fillId="0" borderId="5" xfId="0" applyFont="1" applyBorder="1" applyAlignment="1">
      <alignment horizontal="center" wrapText="1"/>
    </xf>
    <xf numFmtId="0" fontId="141" fillId="0" borderId="2" xfId="0" applyFont="1" applyBorder="1" applyAlignment="1">
      <alignment wrapText="1"/>
    </xf>
    <xf numFmtId="0" fontId="141" fillId="0" borderId="0" xfId="0" applyFont="1" applyAlignment="1">
      <alignment wrapText="1"/>
    </xf>
    <xf numFmtId="0" fontId="141" fillId="0" borderId="2" xfId="0" applyFont="1" applyBorder="1" applyAlignment="1">
      <alignment horizontal="center" wrapText="1"/>
    </xf>
    <xf numFmtId="0" fontId="141" fillId="0" borderId="3" xfId="0" applyFont="1" applyBorder="1" applyAlignment="1">
      <alignment horizontal="center" wrapText="1"/>
    </xf>
    <xf numFmtId="14" fontId="141" fillId="0" borderId="2" xfId="0" applyNumberFormat="1" applyFont="1" applyBorder="1" applyAlignment="1">
      <alignment horizontal="center" wrapText="1"/>
    </xf>
    <xf numFmtId="14" fontId="141" fillId="0" borderId="3" xfId="0" applyNumberFormat="1" applyFont="1" applyBorder="1" applyAlignment="1">
      <alignment horizontal="center" wrapText="1"/>
    </xf>
    <xf numFmtId="0" fontId="141" fillId="0" borderId="5" xfId="0" applyFont="1" applyBorder="1" applyAlignment="1">
      <alignment horizontal="center" wrapText="1"/>
    </xf>
    <xf numFmtId="0" fontId="140" fillId="0" borderId="2" xfId="0" applyFont="1" applyBorder="1" applyAlignment="1">
      <alignment wrapText="1"/>
    </xf>
    <xf numFmtId="0" fontId="140" fillId="0" borderId="0" xfId="0" applyFont="1" applyAlignment="1">
      <alignment wrapText="1"/>
    </xf>
    <xf numFmtId="0" fontId="140" fillId="0" borderId="3" xfId="0" applyFont="1" applyBorder="1" applyAlignment="1">
      <alignment horizontal="center" wrapText="1"/>
    </xf>
    <xf numFmtId="14" fontId="140" fillId="0" borderId="2" xfId="0" applyNumberFormat="1" applyFont="1" applyBorder="1" applyAlignment="1">
      <alignment horizontal="center" wrapText="1"/>
    </xf>
    <xf numFmtId="14" fontId="140" fillId="0" borderId="3" xfId="0" applyNumberFormat="1" applyFont="1" applyBorder="1" applyAlignment="1">
      <alignment horizontal="center" wrapText="1"/>
    </xf>
    <xf numFmtId="0" fontId="140" fillId="0" borderId="5" xfId="0" applyFont="1" applyBorder="1" applyAlignment="1">
      <alignment horizontal="center" wrapText="1"/>
    </xf>
    <xf numFmtId="0" fontId="139" fillId="0" borderId="2" xfId="0" applyFont="1" applyBorder="1" applyAlignment="1">
      <alignment wrapText="1"/>
    </xf>
    <xf numFmtId="0" fontId="139" fillId="0" borderId="0" xfId="0" applyFont="1" applyAlignment="1">
      <alignment wrapText="1"/>
    </xf>
    <xf numFmtId="0" fontId="139" fillId="0" borderId="2" xfId="0" applyFont="1" applyBorder="1" applyAlignment="1">
      <alignment horizontal="center" wrapText="1"/>
    </xf>
    <xf numFmtId="0" fontId="139" fillId="0" borderId="3" xfId="0" applyFont="1" applyBorder="1" applyAlignment="1">
      <alignment horizontal="center" wrapText="1"/>
    </xf>
    <xf numFmtId="14" fontId="139" fillId="0" borderId="2" xfId="0" applyNumberFormat="1" applyFont="1" applyBorder="1" applyAlignment="1">
      <alignment horizontal="center" wrapText="1"/>
    </xf>
    <xf numFmtId="14" fontId="139" fillId="0" borderId="3" xfId="0" applyNumberFormat="1" applyFont="1" applyBorder="1" applyAlignment="1">
      <alignment horizontal="center" wrapText="1"/>
    </xf>
    <xf numFmtId="0" fontId="139" fillId="0" borderId="5" xfId="0" applyFont="1" applyBorder="1" applyAlignment="1">
      <alignment horizontal="center" wrapText="1"/>
    </xf>
    <xf numFmtId="0" fontId="138" fillId="0" borderId="2" xfId="0" applyFont="1" applyBorder="1" applyAlignment="1">
      <alignment wrapText="1"/>
    </xf>
    <xf numFmtId="0" fontId="138" fillId="0" borderId="0" xfId="0" applyFont="1" applyAlignment="1">
      <alignment wrapText="1"/>
    </xf>
    <xf numFmtId="0" fontId="138" fillId="0" borderId="2" xfId="0" applyFont="1" applyBorder="1" applyAlignment="1">
      <alignment horizontal="center" wrapText="1"/>
    </xf>
    <xf numFmtId="0" fontId="138" fillId="0" borderId="3" xfId="0" applyFont="1" applyBorder="1" applyAlignment="1">
      <alignment horizontal="center" wrapText="1"/>
    </xf>
    <xf numFmtId="14" fontId="138" fillId="0" borderId="2" xfId="0" applyNumberFormat="1" applyFont="1" applyBorder="1" applyAlignment="1">
      <alignment horizontal="center" wrapText="1"/>
    </xf>
    <xf numFmtId="14" fontId="138" fillId="0" borderId="3" xfId="0" applyNumberFormat="1" applyFont="1" applyBorder="1" applyAlignment="1">
      <alignment horizontal="center" wrapText="1"/>
    </xf>
    <xf numFmtId="0" fontId="138" fillId="0" borderId="5" xfId="0" applyFont="1" applyBorder="1" applyAlignment="1">
      <alignment horizontal="center" wrapText="1"/>
    </xf>
    <xf numFmtId="0" fontId="137" fillId="0" borderId="2" xfId="0" applyFont="1" applyBorder="1" applyAlignment="1">
      <alignment wrapText="1"/>
    </xf>
    <xf numFmtId="0" fontId="137" fillId="0" borderId="0" xfId="0" applyFont="1" applyAlignment="1">
      <alignment wrapText="1"/>
    </xf>
    <xf numFmtId="0" fontId="137" fillId="0" borderId="2" xfId="0" applyFont="1" applyBorder="1" applyAlignment="1">
      <alignment horizontal="center" wrapText="1"/>
    </xf>
    <xf numFmtId="0" fontId="137" fillId="0" borderId="3" xfId="0" applyFont="1" applyBorder="1" applyAlignment="1">
      <alignment horizontal="center" wrapText="1"/>
    </xf>
    <xf numFmtId="14" fontId="137" fillId="0" borderId="2" xfId="0" applyNumberFormat="1" applyFont="1" applyBorder="1" applyAlignment="1">
      <alignment horizontal="center" wrapText="1"/>
    </xf>
    <xf numFmtId="14" fontId="137" fillId="0" borderId="3" xfId="0" applyNumberFormat="1" applyFont="1" applyBorder="1" applyAlignment="1">
      <alignment horizontal="center" wrapText="1"/>
    </xf>
    <xf numFmtId="0" fontId="137" fillId="0" borderId="5" xfId="0" applyFont="1" applyBorder="1" applyAlignment="1">
      <alignment horizontal="center" wrapText="1"/>
    </xf>
    <xf numFmtId="14" fontId="0" fillId="0" borderId="0" xfId="0" applyNumberFormat="1" applyAlignment="1">
      <alignment horizontal="center"/>
    </xf>
    <xf numFmtId="0" fontId="136" fillId="0" borderId="2" xfId="0" applyFont="1" applyBorder="1" applyAlignment="1">
      <alignment wrapText="1"/>
    </xf>
    <xf numFmtId="0" fontId="136" fillId="0" borderId="0" xfId="0" applyFont="1" applyAlignment="1">
      <alignment wrapText="1"/>
    </xf>
    <xf numFmtId="0" fontId="136" fillId="0" borderId="2" xfId="0" applyFont="1" applyBorder="1" applyAlignment="1">
      <alignment horizontal="center" wrapText="1"/>
    </xf>
    <xf numFmtId="0" fontId="136" fillId="0" borderId="3" xfId="0" applyFont="1" applyBorder="1" applyAlignment="1">
      <alignment horizontal="center" wrapText="1"/>
    </xf>
    <xf numFmtId="14" fontId="136" fillId="0" borderId="2" xfId="0" applyNumberFormat="1" applyFont="1" applyBorder="1" applyAlignment="1">
      <alignment horizontal="center" wrapText="1"/>
    </xf>
    <xf numFmtId="14" fontId="136" fillId="0" borderId="3" xfId="0" applyNumberFormat="1" applyFont="1" applyBorder="1" applyAlignment="1">
      <alignment horizontal="center" wrapText="1"/>
    </xf>
    <xf numFmtId="0" fontId="136" fillId="0" borderId="5" xfId="0" applyFont="1" applyBorder="1" applyAlignment="1">
      <alignment horizontal="center" wrapText="1"/>
    </xf>
    <xf numFmtId="0" fontId="135" fillId="0" borderId="0" xfId="0" applyFont="1" applyAlignment="1">
      <alignment horizontal="center" wrapText="1"/>
    </xf>
    <xf numFmtId="0" fontId="135" fillId="0" borderId="2" xfId="0" applyFont="1" applyBorder="1" applyAlignment="1">
      <alignment horizontal="center" wrapText="1"/>
    </xf>
    <xf numFmtId="0" fontId="135" fillId="0" borderId="2" xfId="0" applyFont="1" applyBorder="1" applyAlignment="1">
      <alignment horizontal="left" wrapText="1"/>
    </xf>
    <xf numFmtId="0" fontId="135" fillId="0" borderId="2" xfId="0" applyFont="1" applyBorder="1"/>
    <xf numFmtId="0" fontId="135" fillId="0" borderId="2" xfId="0" applyFont="1" applyBorder="1" applyAlignment="1">
      <alignment wrapText="1"/>
    </xf>
    <xf numFmtId="0" fontId="135" fillId="0" borderId="0" xfId="0" applyFont="1" applyAlignment="1">
      <alignment wrapText="1"/>
    </xf>
    <xf numFmtId="0" fontId="135" fillId="0" borderId="3" xfId="0" applyFont="1" applyBorder="1" applyAlignment="1">
      <alignment horizontal="center" wrapText="1"/>
    </xf>
    <xf numFmtId="14" fontId="135" fillId="0" borderId="2" xfId="0" applyNumberFormat="1" applyFont="1" applyBorder="1" applyAlignment="1">
      <alignment horizontal="center" wrapText="1"/>
    </xf>
    <xf numFmtId="14" fontId="135" fillId="0" borderId="3" xfId="0" applyNumberFormat="1" applyFont="1" applyBorder="1" applyAlignment="1">
      <alignment horizontal="center" wrapText="1"/>
    </xf>
    <xf numFmtId="0" fontId="135" fillId="0" borderId="5" xfId="0" applyFont="1" applyBorder="1" applyAlignment="1">
      <alignment horizontal="center" wrapText="1"/>
    </xf>
    <xf numFmtId="0" fontId="0" fillId="0" borderId="5" xfId="0" applyBorder="1" applyAlignment="1">
      <alignment horizontal="center"/>
    </xf>
    <xf numFmtId="0" fontId="134" fillId="0" borderId="2" xfId="0" applyFont="1" applyBorder="1" applyAlignment="1">
      <alignment wrapText="1"/>
    </xf>
    <xf numFmtId="0" fontId="134" fillId="0" borderId="0" xfId="0" applyFont="1" applyAlignment="1">
      <alignment wrapText="1"/>
    </xf>
    <xf numFmtId="0" fontId="134" fillId="0" borderId="3" xfId="0" applyFont="1" applyBorder="1" applyAlignment="1">
      <alignment horizontal="center" wrapText="1"/>
    </xf>
    <xf numFmtId="14" fontId="134" fillId="0" borderId="2" xfId="0" applyNumberFormat="1" applyFont="1" applyBorder="1" applyAlignment="1">
      <alignment horizontal="center" wrapText="1"/>
    </xf>
    <xf numFmtId="14" fontId="134" fillId="0" borderId="3" xfId="0" applyNumberFormat="1" applyFont="1" applyBorder="1" applyAlignment="1">
      <alignment horizontal="center" wrapText="1"/>
    </xf>
    <xf numFmtId="0" fontId="134" fillId="0" borderId="5" xfId="0" applyFont="1" applyBorder="1" applyAlignment="1">
      <alignment horizontal="center" wrapText="1"/>
    </xf>
    <xf numFmtId="0" fontId="133" fillId="0" borderId="2" xfId="0" applyFont="1" applyBorder="1" applyAlignment="1">
      <alignment wrapText="1"/>
    </xf>
    <xf numFmtId="0" fontId="133" fillId="0" borderId="0" xfId="0" applyFont="1" applyAlignment="1">
      <alignment wrapText="1"/>
    </xf>
    <xf numFmtId="0" fontId="133" fillId="0" borderId="2" xfId="0" applyFont="1" applyBorder="1" applyAlignment="1">
      <alignment horizontal="center" wrapText="1"/>
    </xf>
    <xf numFmtId="0" fontId="133" fillId="0" borderId="3" xfId="0" applyFont="1" applyBorder="1" applyAlignment="1">
      <alignment horizontal="center" wrapText="1"/>
    </xf>
    <xf numFmtId="14" fontId="133" fillId="0" borderId="2" xfId="0" applyNumberFormat="1" applyFont="1" applyBorder="1" applyAlignment="1">
      <alignment horizontal="center" wrapText="1"/>
    </xf>
    <xf numFmtId="14" fontId="133" fillId="0" borderId="3" xfId="0" applyNumberFormat="1" applyFont="1" applyBorder="1" applyAlignment="1">
      <alignment horizontal="center" wrapText="1"/>
    </xf>
    <xf numFmtId="0" fontId="133" fillId="0" borderId="5" xfId="0" applyFont="1" applyBorder="1" applyAlignment="1">
      <alignment horizontal="center" wrapText="1"/>
    </xf>
    <xf numFmtId="0" fontId="132" fillId="0" borderId="2" xfId="0" applyFont="1" applyBorder="1" applyAlignment="1">
      <alignment wrapText="1"/>
    </xf>
    <xf numFmtId="0" fontId="132" fillId="0" borderId="0" xfId="0" applyFont="1" applyAlignment="1">
      <alignment wrapText="1"/>
    </xf>
    <xf numFmtId="0" fontId="132" fillId="0" borderId="2" xfId="0" applyFont="1" applyBorder="1" applyAlignment="1">
      <alignment horizontal="center" wrapText="1"/>
    </xf>
    <xf numFmtId="0" fontId="132" fillId="0" borderId="3" xfId="0" applyFont="1" applyBorder="1" applyAlignment="1">
      <alignment horizontal="center" wrapText="1"/>
    </xf>
    <xf numFmtId="14" fontId="132" fillId="0" borderId="2" xfId="0" applyNumberFormat="1" applyFont="1" applyBorder="1" applyAlignment="1">
      <alignment horizontal="center" wrapText="1"/>
    </xf>
    <xf numFmtId="14" fontId="132" fillId="0" borderId="3" xfId="0" applyNumberFormat="1" applyFont="1" applyBorder="1" applyAlignment="1">
      <alignment horizontal="center" wrapText="1"/>
    </xf>
    <xf numFmtId="0" fontId="132" fillId="0" borderId="5" xfId="0" applyFont="1" applyBorder="1" applyAlignment="1">
      <alignment horizontal="center" wrapText="1"/>
    </xf>
    <xf numFmtId="0" fontId="131" fillId="0" borderId="2" xfId="0" applyFont="1" applyBorder="1" applyAlignment="1">
      <alignment wrapText="1"/>
    </xf>
    <xf numFmtId="0" fontId="131" fillId="0" borderId="0" xfId="0" applyFont="1" applyAlignment="1">
      <alignment wrapText="1"/>
    </xf>
    <xf numFmtId="0" fontId="131" fillId="0" borderId="3" xfId="0" applyFont="1" applyBorder="1" applyAlignment="1">
      <alignment horizontal="center" wrapText="1"/>
    </xf>
    <xf numFmtId="14" fontId="131" fillId="0" borderId="2" xfId="0" applyNumberFormat="1" applyFont="1" applyBorder="1" applyAlignment="1">
      <alignment horizontal="center" wrapText="1"/>
    </xf>
    <xf numFmtId="14" fontId="131" fillId="0" borderId="3" xfId="0" applyNumberFormat="1" applyFont="1" applyBorder="1" applyAlignment="1">
      <alignment horizontal="center" wrapText="1"/>
    </xf>
    <xf numFmtId="0" fontId="131" fillId="0" borderId="5" xfId="0" applyFont="1" applyBorder="1" applyAlignment="1">
      <alignment horizontal="center" wrapText="1"/>
    </xf>
    <xf numFmtId="0" fontId="130" fillId="0" borderId="2" xfId="0" applyFont="1" applyBorder="1" applyAlignment="1">
      <alignment wrapText="1"/>
    </xf>
    <xf numFmtId="0" fontId="130" fillId="0" borderId="0" xfId="0" applyFont="1" applyAlignment="1">
      <alignment wrapText="1"/>
    </xf>
    <xf numFmtId="0" fontId="130" fillId="0" borderId="3" xfId="0" applyFont="1" applyBorder="1" applyAlignment="1">
      <alignment horizontal="center" wrapText="1"/>
    </xf>
    <xf numFmtId="14" fontId="130" fillId="0" borderId="2" xfId="0" applyNumberFormat="1" applyFont="1" applyBorder="1" applyAlignment="1">
      <alignment horizontal="center" wrapText="1"/>
    </xf>
    <xf numFmtId="14" fontId="130" fillId="0" borderId="3" xfId="0" applyNumberFormat="1" applyFont="1" applyBorder="1" applyAlignment="1">
      <alignment horizontal="center" wrapText="1"/>
    </xf>
    <xf numFmtId="0" fontId="130" fillId="0" borderId="5" xfId="0" applyFont="1" applyBorder="1" applyAlignment="1">
      <alignment horizontal="center" wrapText="1"/>
    </xf>
    <xf numFmtId="0" fontId="129" fillId="0" borderId="2" xfId="0" applyFont="1" applyBorder="1" applyAlignment="1">
      <alignment wrapText="1"/>
    </xf>
    <xf numFmtId="0" fontId="129" fillId="0" borderId="0" xfId="0" applyFont="1" applyAlignment="1">
      <alignment wrapText="1"/>
    </xf>
    <xf numFmtId="0" fontId="129" fillId="0" borderId="2" xfId="0" applyFont="1" applyBorder="1" applyAlignment="1">
      <alignment horizontal="center" wrapText="1"/>
    </xf>
    <xf numFmtId="0" fontId="129" fillId="0" borderId="3" xfId="0" applyFont="1" applyBorder="1" applyAlignment="1">
      <alignment horizontal="center" wrapText="1"/>
    </xf>
    <xf numFmtId="14" fontId="129" fillId="0" borderId="2" xfId="0" applyNumberFormat="1" applyFont="1" applyBorder="1" applyAlignment="1">
      <alignment horizontal="center" wrapText="1"/>
    </xf>
    <xf numFmtId="14" fontId="129" fillId="0" borderId="3" xfId="0" applyNumberFormat="1" applyFont="1" applyBorder="1" applyAlignment="1">
      <alignment horizontal="center" wrapText="1"/>
    </xf>
    <xf numFmtId="0" fontId="129" fillId="0" borderId="5" xfId="0" applyFont="1" applyBorder="1" applyAlignment="1">
      <alignment horizontal="center" wrapText="1"/>
    </xf>
    <xf numFmtId="0" fontId="128" fillId="0" borderId="2" xfId="0" applyFont="1" applyBorder="1" applyAlignment="1">
      <alignment wrapText="1"/>
    </xf>
    <xf numFmtId="0" fontId="128" fillId="0" borderId="0" xfId="0" applyFont="1" applyAlignment="1">
      <alignment wrapText="1"/>
    </xf>
    <xf numFmtId="0" fontId="128" fillId="0" borderId="3" xfId="0" applyFont="1" applyBorder="1" applyAlignment="1">
      <alignment horizontal="center" wrapText="1"/>
    </xf>
    <xf numFmtId="14" fontId="128" fillId="0" borderId="2" xfId="0" applyNumberFormat="1" applyFont="1" applyBorder="1" applyAlignment="1">
      <alignment horizontal="center" wrapText="1"/>
    </xf>
    <xf numFmtId="14" fontId="128" fillId="0" borderId="3" xfId="0" applyNumberFormat="1" applyFont="1" applyBorder="1" applyAlignment="1">
      <alignment horizontal="center" wrapText="1"/>
    </xf>
    <xf numFmtId="0" fontId="128" fillId="0" borderId="5" xfId="0" applyFont="1" applyBorder="1" applyAlignment="1">
      <alignment horizontal="center" wrapText="1"/>
    </xf>
    <xf numFmtId="0" fontId="127" fillId="0" borderId="2" xfId="0" applyFont="1" applyBorder="1" applyAlignment="1">
      <alignment wrapText="1"/>
    </xf>
    <xf numFmtId="0" fontId="127" fillId="0" borderId="0" xfId="0" applyFont="1" applyAlignment="1">
      <alignment wrapText="1"/>
    </xf>
    <xf numFmtId="0" fontId="127" fillId="0" borderId="2" xfId="0" applyFont="1" applyBorder="1" applyAlignment="1">
      <alignment horizontal="center" wrapText="1"/>
    </xf>
    <xf numFmtId="0" fontId="127" fillId="0" borderId="3" xfId="0" applyFont="1" applyBorder="1" applyAlignment="1">
      <alignment horizontal="center" wrapText="1"/>
    </xf>
    <xf numFmtId="14" fontId="127" fillId="0" borderId="2" xfId="0" applyNumberFormat="1" applyFont="1" applyBorder="1" applyAlignment="1">
      <alignment horizontal="center" wrapText="1"/>
    </xf>
    <xf numFmtId="14" fontId="127" fillId="0" borderId="3" xfId="0" applyNumberFormat="1" applyFont="1" applyBorder="1" applyAlignment="1">
      <alignment horizontal="center" wrapText="1"/>
    </xf>
    <xf numFmtId="0" fontId="127" fillId="0" borderId="5" xfId="0" applyFont="1" applyBorder="1" applyAlignment="1">
      <alignment horizontal="center" wrapText="1"/>
    </xf>
    <xf numFmtId="0" fontId="126" fillId="0" borderId="2" xfId="0" applyFont="1" applyBorder="1" applyAlignment="1">
      <alignment wrapText="1"/>
    </xf>
    <xf numFmtId="0" fontId="126" fillId="0" borderId="0" xfId="0" applyFont="1" applyAlignment="1">
      <alignment wrapText="1"/>
    </xf>
    <xf numFmtId="0" fontId="126" fillId="0" borderId="2" xfId="0" applyFont="1" applyBorder="1" applyAlignment="1">
      <alignment horizontal="center" wrapText="1"/>
    </xf>
    <xf numFmtId="0" fontId="126" fillId="0" borderId="3" xfId="0" applyFont="1" applyBorder="1" applyAlignment="1">
      <alignment horizontal="center" wrapText="1"/>
    </xf>
    <xf numFmtId="14" fontId="126" fillId="0" borderId="2" xfId="0" applyNumberFormat="1" applyFont="1" applyBorder="1" applyAlignment="1">
      <alignment horizontal="center" wrapText="1"/>
    </xf>
    <xf numFmtId="14" fontId="126" fillId="0" borderId="3" xfId="0" applyNumberFormat="1" applyFont="1" applyBorder="1" applyAlignment="1">
      <alignment horizontal="center" wrapText="1"/>
    </xf>
    <xf numFmtId="0" fontId="126" fillId="0" borderId="5" xfId="0" applyFont="1" applyBorder="1" applyAlignment="1">
      <alignment horizontal="center" wrapText="1"/>
    </xf>
    <xf numFmtId="0" fontId="125" fillId="0" borderId="2" xfId="0" applyFont="1" applyBorder="1" applyAlignment="1">
      <alignment wrapText="1"/>
    </xf>
    <xf numFmtId="0" fontId="125" fillId="0" borderId="0" xfId="0" applyFont="1" applyAlignment="1">
      <alignment wrapText="1"/>
    </xf>
    <xf numFmtId="0" fontId="125" fillId="0" borderId="3" xfId="0" applyFont="1" applyBorder="1" applyAlignment="1">
      <alignment horizontal="center" wrapText="1"/>
    </xf>
    <xf numFmtId="14" fontId="125" fillId="0" borderId="2" xfId="0" applyNumberFormat="1" applyFont="1" applyBorder="1" applyAlignment="1">
      <alignment horizontal="center" wrapText="1"/>
    </xf>
    <xf numFmtId="14" fontId="125" fillId="0" borderId="3" xfId="0" applyNumberFormat="1" applyFont="1" applyBorder="1" applyAlignment="1">
      <alignment horizontal="center" wrapText="1"/>
    </xf>
    <xf numFmtId="0" fontId="125" fillId="0" borderId="5" xfId="0" applyFont="1" applyBorder="1" applyAlignment="1">
      <alignment horizontal="center" wrapText="1"/>
    </xf>
    <xf numFmtId="0" fontId="124" fillId="0" borderId="2" xfId="0" applyFont="1" applyBorder="1" applyAlignment="1">
      <alignment wrapText="1"/>
    </xf>
    <xf numFmtId="0" fontId="124" fillId="0" borderId="0" xfId="0" applyFont="1" applyAlignment="1">
      <alignment wrapText="1"/>
    </xf>
    <xf numFmtId="0" fontId="124" fillId="0" borderId="3" xfId="0" applyFont="1" applyBorder="1" applyAlignment="1">
      <alignment horizontal="center" wrapText="1"/>
    </xf>
    <xf numFmtId="14" fontId="124" fillId="0" borderId="2" xfId="0" applyNumberFormat="1" applyFont="1" applyBorder="1" applyAlignment="1">
      <alignment horizontal="center" wrapText="1"/>
    </xf>
    <xf numFmtId="14" fontId="124" fillId="0" borderId="3" xfId="0" applyNumberFormat="1" applyFont="1" applyBorder="1" applyAlignment="1">
      <alignment horizontal="center" wrapText="1"/>
    </xf>
    <xf numFmtId="0" fontId="124" fillId="0" borderId="5" xfId="0" applyFont="1" applyBorder="1" applyAlignment="1">
      <alignment horizontal="center" wrapText="1"/>
    </xf>
    <xf numFmtId="0" fontId="123" fillId="0" borderId="2" xfId="0" applyFont="1" applyBorder="1" applyAlignment="1">
      <alignment wrapText="1"/>
    </xf>
    <xf numFmtId="0" fontId="123" fillId="0" borderId="0" xfId="0" applyFont="1" applyAlignment="1">
      <alignment wrapText="1"/>
    </xf>
    <xf numFmtId="0" fontId="123" fillId="0" borderId="2" xfId="0" applyFont="1" applyBorder="1" applyAlignment="1">
      <alignment horizontal="center" wrapText="1"/>
    </xf>
    <xf numFmtId="0" fontId="123" fillId="0" borderId="3" xfId="0" applyFont="1" applyBorder="1" applyAlignment="1">
      <alignment horizontal="center" wrapText="1"/>
    </xf>
    <xf numFmtId="14" fontId="123" fillId="0" borderId="2" xfId="0" applyNumberFormat="1" applyFont="1" applyBorder="1" applyAlignment="1">
      <alignment horizontal="center" wrapText="1"/>
    </xf>
    <xf numFmtId="14" fontId="123" fillId="0" borderId="3" xfId="0" applyNumberFormat="1" applyFont="1" applyBorder="1" applyAlignment="1">
      <alignment horizontal="center" wrapText="1"/>
    </xf>
    <xf numFmtId="0" fontId="123" fillId="0" borderId="5" xfId="0" applyFont="1" applyBorder="1" applyAlignment="1">
      <alignment horizontal="center" wrapText="1"/>
    </xf>
    <xf numFmtId="0" fontId="122" fillId="0" borderId="2" xfId="0" applyFont="1" applyBorder="1" applyAlignment="1">
      <alignment wrapText="1"/>
    </xf>
    <xf numFmtId="0" fontId="122" fillId="0" borderId="0" xfId="0" applyFont="1" applyAlignment="1">
      <alignment wrapText="1"/>
    </xf>
    <xf numFmtId="0" fontId="122" fillId="0" borderId="2" xfId="0" applyFont="1" applyBorder="1" applyAlignment="1">
      <alignment horizontal="center" wrapText="1"/>
    </xf>
    <xf numFmtId="0" fontId="122" fillId="0" borderId="3" xfId="0" applyFont="1" applyBorder="1" applyAlignment="1">
      <alignment horizontal="center" wrapText="1"/>
    </xf>
    <xf numFmtId="14" fontId="122" fillId="0" borderId="2" xfId="0" applyNumberFormat="1" applyFont="1" applyBorder="1" applyAlignment="1">
      <alignment horizontal="center" wrapText="1"/>
    </xf>
    <xf numFmtId="14" fontId="122" fillId="0" borderId="3" xfId="0" applyNumberFormat="1" applyFont="1" applyBorder="1" applyAlignment="1">
      <alignment horizontal="center" wrapText="1"/>
    </xf>
    <xf numFmtId="0" fontId="122" fillId="0" borderId="5" xfId="0" applyFont="1" applyBorder="1" applyAlignment="1">
      <alignment horizontal="center" wrapText="1"/>
    </xf>
    <xf numFmtId="0" fontId="121" fillId="0" borderId="2" xfId="0" applyFont="1" applyBorder="1" applyAlignment="1">
      <alignment wrapText="1"/>
    </xf>
    <xf numFmtId="0" fontId="121" fillId="0" borderId="0" xfId="0" applyFont="1" applyAlignment="1">
      <alignment wrapText="1"/>
    </xf>
    <xf numFmtId="0" fontId="121" fillId="0" borderId="2" xfId="0" applyFont="1" applyBorder="1" applyAlignment="1">
      <alignment horizontal="center" wrapText="1"/>
    </xf>
    <xf numFmtId="0" fontId="121" fillId="0" borderId="3" xfId="0" applyFont="1" applyBorder="1" applyAlignment="1">
      <alignment horizontal="center" wrapText="1"/>
    </xf>
    <xf numFmtId="14" fontId="121" fillId="0" borderId="2" xfId="0" applyNumberFormat="1" applyFont="1" applyBorder="1" applyAlignment="1">
      <alignment horizontal="center" wrapText="1"/>
    </xf>
    <xf numFmtId="14" fontId="121" fillId="0" borderId="3" xfId="0" applyNumberFormat="1" applyFont="1" applyBorder="1" applyAlignment="1">
      <alignment horizontal="center" wrapText="1"/>
    </xf>
    <xf numFmtId="0" fontId="121" fillId="0" borderId="5" xfId="0" applyFont="1" applyBorder="1" applyAlignment="1">
      <alignment horizontal="center" wrapText="1"/>
    </xf>
    <xf numFmtId="0" fontId="120" fillId="0" borderId="2" xfId="0" applyFont="1" applyBorder="1" applyAlignment="1">
      <alignment wrapText="1"/>
    </xf>
    <xf numFmtId="0" fontId="120" fillId="0" borderId="0" xfId="0" applyFont="1" applyAlignment="1">
      <alignment wrapText="1"/>
    </xf>
    <xf numFmtId="0" fontId="120" fillId="0" borderId="2" xfId="0" applyFont="1" applyBorder="1" applyAlignment="1">
      <alignment horizontal="center" wrapText="1"/>
    </xf>
    <xf numFmtId="0" fontId="120" fillId="0" borderId="3" xfId="0" applyFont="1" applyBorder="1" applyAlignment="1">
      <alignment horizontal="center" wrapText="1"/>
    </xf>
    <xf numFmtId="14" fontId="120" fillId="0" borderId="2" xfId="0" applyNumberFormat="1" applyFont="1" applyBorder="1" applyAlignment="1">
      <alignment horizontal="center" wrapText="1"/>
    </xf>
    <xf numFmtId="14" fontId="120" fillId="0" borderId="3" xfId="0" applyNumberFormat="1" applyFont="1" applyBorder="1" applyAlignment="1">
      <alignment horizontal="center" wrapText="1"/>
    </xf>
    <xf numFmtId="0" fontId="120" fillId="0" borderId="5" xfId="0" applyFont="1" applyBorder="1" applyAlignment="1">
      <alignment horizontal="center" wrapText="1"/>
    </xf>
    <xf numFmtId="0" fontId="119" fillId="0" borderId="2" xfId="0" applyFont="1" applyBorder="1" applyAlignment="1">
      <alignment wrapText="1"/>
    </xf>
    <xf numFmtId="0" fontId="119" fillId="0" borderId="0" xfId="0" applyFont="1" applyAlignment="1">
      <alignment wrapText="1"/>
    </xf>
    <xf numFmtId="0" fontId="119" fillId="0" borderId="3" xfId="0" applyFont="1" applyBorder="1" applyAlignment="1">
      <alignment horizontal="center" wrapText="1"/>
    </xf>
    <xf numFmtId="14" fontId="119" fillId="0" borderId="2" xfId="0" applyNumberFormat="1" applyFont="1" applyBorder="1" applyAlignment="1">
      <alignment horizontal="center" wrapText="1"/>
    </xf>
    <xf numFmtId="14" fontId="119" fillId="0" borderId="3" xfId="0" applyNumberFormat="1" applyFont="1" applyBorder="1" applyAlignment="1">
      <alignment horizontal="center" wrapText="1"/>
    </xf>
    <xf numFmtId="0" fontId="119" fillId="0" borderId="5" xfId="0" applyFont="1" applyBorder="1" applyAlignment="1">
      <alignment horizontal="center" wrapText="1"/>
    </xf>
    <xf numFmtId="0" fontId="118" fillId="0" borderId="2" xfId="0" applyFont="1" applyBorder="1" applyAlignment="1">
      <alignment wrapText="1"/>
    </xf>
    <xf numFmtId="0" fontId="118" fillId="0" borderId="0" xfId="0" applyFont="1" applyAlignment="1">
      <alignment wrapText="1"/>
    </xf>
    <xf numFmtId="0" fontId="118" fillId="0" borderId="2" xfId="0" applyFont="1" applyBorder="1" applyAlignment="1">
      <alignment horizontal="center" wrapText="1"/>
    </xf>
    <xf numFmtId="0" fontId="118" fillId="0" borderId="3" xfId="0" applyFont="1" applyBorder="1" applyAlignment="1">
      <alignment horizontal="center" wrapText="1"/>
    </xf>
    <xf numFmtId="14" fontId="118" fillId="0" borderId="2" xfId="0" applyNumberFormat="1" applyFont="1" applyBorder="1" applyAlignment="1">
      <alignment horizontal="center" wrapText="1"/>
    </xf>
    <xf numFmtId="14" fontId="118" fillId="0" borderId="3" xfId="0" applyNumberFormat="1" applyFont="1" applyBorder="1" applyAlignment="1">
      <alignment horizontal="center" wrapText="1"/>
    </xf>
    <xf numFmtId="0" fontId="118" fillId="0" borderId="5" xfId="0" applyFont="1" applyBorder="1" applyAlignment="1">
      <alignment horizontal="center" wrapText="1"/>
    </xf>
    <xf numFmtId="0" fontId="117" fillId="0" borderId="2" xfId="0" applyFont="1" applyBorder="1" applyAlignment="1">
      <alignment wrapText="1"/>
    </xf>
    <xf numFmtId="0" fontId="117" fillId="0" borderId="0" xfId="0" applyFont="1" applyAlignment="1">
      <alignment wrapText="1"/>
    </xf>
    <xf numFmtId="0" fontId="117" fillId="0" borderId="2" xfId="0" applyFont="1" applyBorder="1" applyAlignment="1">
      <alignment horizontal="center" wrapText="1"/>
    </xf>
    <xf numFmtId="0" fontId="117" fillId="0" borderId="3" xfId="0" applyFont="1" applyBorder="1" applyAlignment="1">
      <alignment horizontal="center" wrapText="1"/>
    </xf>
    <xf numFmtId="14" fontId="117" fillId="0" borderId="2" xfId="0" applyNumberFormat="1" applyFont="1" applyBorder="1" applyAlignment="1">
      <alignment horizontal="center" wrapText="1"/>
    </xf>
    <xf numFmtId="14" fontId="117" fillId="0" borderId="3" xfId="0" applyNumberFormat="1" applyFont="1" applyBorder="1" applyAlignment="1">
      <alignment horizontal="center" wrapText="1"/>
    </xf>
    <xf numFmtId="0" fontId="117" fillId="0" borderId="5" xfId="0" applyFont="1" applyBorder="1" applyAlignment="1">
      <alignment horizontal="center" wrapText="1"/>
    </xf>
    <xf numFmtId="0" fontId="116" fillId="0" borderId="2" xfId="0" applyFont="1" applyBorder="1" applyAlignment="1">
      <alignment wrapText="1"/>
    </xf>
    <xf numFmtId="0" fontId="116" fillId="0" borderId="0" xfId="0" applyFont="1" applyAlignment="1">
      <alignment wrapText="1"/>
    </xf>
    <xf numFmtId="0" fontId="116" fillId="0" borderId="2" xfId="0" applyFont="1" applyBorder="1" applyAlignment="1">
      <alignment horizontal="center" wrapText="1"/>
    </xf>
    <xf numFmtId="0" fontId="116" fillId="0" borderId="3" xfId="0" applyFont="1" applyBorder="1" applyAlignment="1">
      <alignment horizontal="center" wrapText="1"/>
    </xf>
    <xf numFmtId="14" fontId="116" fillId="0" borderId="2" xfId="0" applyNumberFormat="1" applyFont="1" applyBorder="1" applyAlignment="1">
      <alignment horizontal="center" wrapText="1"/>
    </xf>
    <xf numFmtId="14" fontId="116" fillId="0" borderId="3" xfId="0" applyNumberFormat="1" applyFont="1" applyBorder="1" applyAlignment="1">
      <alignment horizontal="center" wrapText="1"/>
    </xf>
    <xf numFmtId="0" fontId="116" fillId="0" borderId="5" xfId="0" applyFont="1" applyBorder="1" applyAlignment="1">
      <alignment horizontal="center" wrapText="1"/>
    </xf>
    <xf numFmtId="0" fontId="115" fillId="0" borderId="2" xfId="0" applyFont="1" applyBorder="1" applyAlignment="1">
      <alignment wrapText="1"/>
    </xf>
    <xf numFmtId="0" fontId="115" fillId="0" borderId="0" xfId="0" applyFont="1" applyAlignment="1">
      <alignment wrapText="1"/>
    </xf>
    <xf numFmtId="0" fontId="115" fillId="0" borderId="2" xfId="0" applyFont="1" applyBorder="1" applyAlignment="1">
      <alignment horizontal="center" wrapText="1"/>
    </xf>
    <xf numFmtId="0" fontId="115" fillId="0" borderId="3" xfId="0" applyFont="1" applyBorder="1" applyAlignment="1">
      <alignment horizontal="center" wrapText="1"/>
    </xf>
    <xf numFmtId="14" fontId="115" fillId="0" borderId="2" xfId="0" applyNumberFormat="1" applyFont="1" applyBorder="1" applyAlignment="1">
      <alignment horizontal="center" wrapText="1"/>
    </xf>
    <xf numFmtId="14" fontId="115" fillId="0" borderId="3" xfId="0" applyNumberFormat="1" applyFont="1" applyBorder="1" applyAlignment="1">
      <alignment horizontal="center" wrapText="1"/>
    </xf>
    <xf numFmtId="0" fontId="115" fillId="0" borderId="5" xfId="0" applyFont="1" applyBorder="1" applyAlignment="1">
      <alignment horizontal="center" wrapText="1"/>
    </xf>
    <xf numFmtId="0" fontId="114" fillId="0" borderId="2" xfId="0" applyFont="1" applyBorder="1" applyAlignment="1">
      <alignment wrapText="1"/>
    </xf>
    <xf numFmtId="0" fontId="114" fillId="0" borderId="0" xfId="0" applyFont="1" applyAlignment="1">
      <alignment wrapText="1"/>
    </xf>
    <xf numFmtId="0" fontId="114" fillId="0" borderId="2" xfId="0" applyFont="1" applyBorder="1" applyAlignment="1">
      <alignment horizontal="center" wrapText="1"/>
    </xf>
    <xf numFmtId="0" fontId="114" fillId="0" borderId="3" xfId="0" applyFont="1" applyBorder="1" applyAlignment="1">
      <alignment horizontal="center" wrapText="1"/>
    </xf>
    <xf numFmtId="14" fontId="114" fillId="0" borderId="2" xfId="0" applyNumberFormat="1" applyFont="1" applyBorder="1" applyAlignment="1">
      <alignment horizontal="center" wrapText="1"/>
    </xf>
    <xf numFmtId="14" fontId="114" fillId="0" borderId="3" xfId="0" applyNumberFormat="1" applyFont="1" applyBorder="1" applyAlignment="1">
      <alignment horizontal="center" wrapText="1"/>
    </xf>
    <xf numFmtId="0" fontId="114" fillId="0" borderId="5" xfId="0" applyFont="1" applyBorder="1" applyAlignment="1">
      <alignment horizontal="center" wrapText="1"/>
    </xf>
    <xf numFmtId="0" fontId="113" fillId="0" borderId="2" xfId="0" applyFont="1" applyBorder="1" applyAlignment="1">
      <alignment wrapText="1"/>
    </xf>
    <xf numFmtId="0" fontId="113" fillId="0" borderId="0" xfId="0" applyFont="1" applyAlignment="1">
      <alignment wrapText="1"/>
    </xf>
    <xf numFmtId="0" fontId="113" fillId="0" borderId="2" xfId="0" applyFont="1" applyBorder="1" applyAlignment="1">
      <alignment horizontal="center" wrapText="1"/>
    </xf>
    <xf numFmtId="0" fontId="113" fillId="0" borderId="3" xfId="0" applyFont="1" applyBorder="1" applyAlignment="1">
      <alignment horizontal="center" wrapText="1"/>
    </xf>
    <xf numFmtId="14" fontId="113" fillId="0" borderId="2" xfId="0" applyNumberFormat="1" applyFont="1" applyBorder="1" applyAlignment="1">
      <alignment horizontal="center" wrapText="1"/>
    </xf>
    <xf numFmtId="14" fontId="113" fillId="0" borderId="3" xfId="0" applyNumberFormat="1" applyFont="1" applyBorder="1" applyAlignment="1">
      <alignment horizontal="center" wrapText="1"/>
    </xf>
    <xf numFmtId="0" fontId="113" fillId="0" borderId="5" xfId="0" applyFont="1" applyBorder="1" applyAlignment="1">
      <alignment horizontal="center" wrapText="1"/>
    </xf>
    <xf numFmtId="0" fontId="112" fillId="0" borderId="2" xfId="0" applyFont="1" applyBorder="1" applyAlignment="1">
      <alignment wrapText="1"/>
    </xf>
    <xf numFmtId="0" fontId="112" fillId="0" borderId="0" xfId="0" applyFont="1" applyAlignment="1">
      <alignment wrapText="1"/>
    </xf>
    <xf numFmtId="0" fontId="112" fillId="0" borderId="3" xfId="0" applyFont="1" applyBorder="1" applyAlignment="1">
      <alignment horizontal="center" wrapText="1"/>
    </xf>
    <xf numFmtId="14" fontId="112" fillId="0" borderId="2" xfId="0" applyNumberFormat="1" applyFont="1" applyBorder="1" applyAlignment="1">
      <alignment horizontal="center" wrapText="1"/>
    </xf>
    <xf numFmtId="14" fontId="112" fillId="0" borderId="3" xfId="0" applyNumberFormat="1" applyFont="1" applyBorder="1" applyAlignment="1">
      <alignment horizontal="center" wrapText="1"/>
    </xf>
    <xf numFmtId="0" fontId="112" fillId="0" borderId="5" xfId="0" applyFont="1" applyBorder="1" applyAlignment="1">
      <alignment horizontal="center" wrapText="1"/>
    </xf>
    <xf numFmtId="0" fontId="111" fillId="0" borderId="2" xfId="0" applyFont="1" applyBorder="1" applyAlignment="1">
      <alignment wrapText="1"/>
    </xf>
    <xf numFmtId="0" fontId="111" fillId="0" borderId="0" xfId="0" applyFont="1" applyAlignment="1">
      <alignment wrapText="1"/>
    </xf>
    <xf numFmtId="0" fontId="111" fillId="0" borderId="3" xfId="0" applyFont="1" applyBorder="1" applyAlignment="1">
      <alignment horizontal="center" wrapText="1"/>
    </xf>
    <xf numFmtId="14" fontId="111" fillId="0" borderId="2" xfId="0" applyNumberFormat="1" applyFont="1" applyBorder="1" applyAlignment="1">
      <alignment horizontal="center" wrapText="1"/>
    </xf>
    <xf numFmtId="14" fontId="111" fillId="0" borderId="3" xfId="0" applyNumberFormat="1" applyFont="1" applyBorder="1" applyAlignment="1">
      <alignment horizontal="center" wrapText="1"/>
    </xf>
    <xf numFmtId="0" fontId="111" fillId="0" borderId="5" xfId="0" applyFont="1" applyBorder="1" applyAlignment="1">
      <alignment horizontal="center" wrapText="1"/>
    </xf>
    <xf numFmtId="0" fontId="110" fillId="0" borderId="2" xfId="0" applyFont="1" applyBorder="1" applyAlignment="1">
      <alignment wrapText="1"/>
    </xf>
    <xf numFmtId="0" fontId="110" fillId="0" borderId="0" xfId="0" applyFont="1" applyAlignment="1">
      <alignment wrapText="1"/>
    </xf>
    <xf numFmtId="0" fontId="110" fillId="0" borderId="3" xfId="0" applyFont="1" applyBorder="1" applyAlignment="1">
      <alignment horizontal="center" wrapText="1"/>
    </xf>
    <xf numFmtId="14" fontId="110" fillId="0" borderId="2" xfId="0" applyNumberFormat="1" applyFont="1" applyBorder="1" applyAlignment="1">
      <alignment horizontal="center" wrapText="1"/>
    </xf>
    <xf numFmtId="14" fontId="110" fillId="0" borderId="3" xfId="0" applyNumberFormat="1" applyFont="1" applyBorder="1" applyAlignment="1">
      <alignment horizontal="center" wrapText="1"/>
    </xf>
    <xf numFmtId="0" fontId="110" fillId="0" borderId="5" xfId="0" applyFont="1" applyBorder="1" applyAlignment="1">
      <alignment horizontal="center" wrapText="1"/>
    </xf>
    <xf numFmtId="0" fontId="109" fillId="0" borderId="2" xfId="0" applyFont="1" applyBorder="1" applyAlignment="1">
      <alignment wrapText="1"/>
    </xf>
    <xf numFmtId="0" fontId="109" fillId="0" borderId="0" xfId="0" applyFont="1" applyAlignment="1">
      <alignment wrapText="1"/>
    </xf>
    <xf numFmtId="0" fontId="109" fillId="0" borderId="3" xfId="0" applyFont="1" applyBorder="1" applyAlignment="1">
      <alignment horizontal="center" wrapText="1"/>
    </xf>
    <xf numFmtId="14" fontId="109" fillId="0" borderId="2" xfId="0" applyNumberFormat="1" applyFont="1" applyBorder="1" applyAlignment="1">
      <alignment horizontal="center" wrapText="1"/>
    </xf>
    <xf numFmtId="14" fontId="109" fillId="0" borderId="3" xfId="0" applyNumberFormat="1" applyFont="1" applyBorder="1" applyAlignment="1">
      <alignment horizontal="center" wrapText="1"/>
    </xf>
    <xf numFmtId="0" fontId="109" fillId="0" borderId="5" xfId="0" applyFont="1" applyBorder="1" applyAlignment="1">
      <alignment horizontal="center" wrapText="1"/>
    </xf>
    <xf numFmtId="0" fontId="108" fillId="0" borderId="2" xfId="0" applyFont="1" applyBorder="1" applyAlignment="1">
      <alignment wrapText="1"/>
    </xf>
    <xf numFmtId="0" fontId="108" fillId="0" borderId="0" xfId="0" applyFont="1" applyAlignment="1">
      <alignment wrapText="1"/>
    </xf>
    <xf numFmtId="0" fontId="108" fillId="0" borderId="2" xfId="0" applyFont="1" applyBorder="1" applyAlignment="1">
      <alignment horizontal="center" wrapText="1"/>
    </xf>
    <xf numFmtId="0" fontId="108" fillId="0" borderId="3" xfId="0" applyFont="1" applyBorder="1" applyAlignment="1">
      <alignment horizontal="center" wrapText="1"/>
    </xf>
    <xf numFmtId="14" fontId="108" fillId="0" borderId="2" xfId="0" applyNumberFormat="1" applyFont="1" applyBorder="1" applyAlignment="1">
      <alignment horizontal="center" wrapText="1"/>
    </xf>
    <xf numFmtId="14" fontId="108" fillId="0" borderId="3" xfId="0" applyNumberFormat="1" applyFont="1" applyBorder="1" applyAlignment="1">
      <alignment horizontal="center" wrapText="1"/>
    </xf>
    <xf numFmtId="0" fontId="108" fillId="0" borderId="5" xfId="0" applyFont="1" applyBorder="1" applyAlignment="1">
      <alignment horizontal="center" wrapText="1"/>
    </xf>
    <xf numFmtId="0" fontId="107" fillId="0" borderId="2" xfId="0" applyFont="1" applyBorder="1" applyAlignment="1">
      <alignment wrapText="1"/>
    </xf>
    <xf numFmtId="0" fontId="107" fillId="0" borderId="0" xfId="0" applyFont="1" applyAlignment="1">
      <alignment wrapText="1"/>
    </xf>
    <xf numFmtId="0" fontId="107" fillId="0" borderId="2" xfId="0" applyFont="1" applyBorder="1" applyAlignment="1">
      <alignment horizontal="center" wrapText="1"/>
    </xf>
    <xf numFmtId="0" fontId="107" fillId="0" borderId="3" xfId="0" applyFont="1" applyBorder="1" applyAlignment="1">
      <alignment horizontal="center" wrapText="1"/>
    </xf>
    <xf numFmtId="14" fontId="107" fillId="0" borderId="2" xfId="0" applyNumberFormat="1" applyFont="1" applyBorder="1" applyAlignment="1">
      <alignment horizontal="center" wrapText="1"/>
    </xf>
    <xf numFmtId="14" fontId="107" fillId="0" borderId="3" xfId="0" applyNumberFormat="1" applyFont="1" applyBorder="1" applyAlignment="1">
      <alignment horizontal="center" wrapText="1"/>
    </xf>
    <xf numFmtId="0" fontId="107" fillId="0" borderId="5" xfId="0" applyFont="1" applyBorder="1" applyAlignment="1">
      <alignment horizontal="center" wrapText="1"/>
    </xf>
    <xf numFmtId="0" fontId="106" fillId="0" borderId="2" xfId="0" applyFont="1" applyBorder="1" applyAlignment="1">
      <alignment wrapText="1"/>
    </xf>
    <xf numFmtId="0" fontId="106" fillId="0" borderId="0" xfId="0" applyFont="1" applyAlignment="1">
      <alignment wrapText="1"/>
    </xf>
    <xf numFmtId="0" fontId="106" fillId="0" borderId="3" xfId="0" applyFont="1" applyBorder="1" applyAlignment="1">
      <alignment horizontal="center" wrapText="1"/>
    </xf>
    <xf numFmtId="14" fontId="106" fillId="0" borderId="2" xfId="0" applyNumberFormat="1" applyFont="1" applyBorder="1" applyAlignment="1">
      <alignment horizontal="center" wrapText="1"/>
    </xf>
    <xf numFmtId="14" fontId="106" fillId="0" borderId="3" xfId="0" applyNumberFormat="1" applyFont="1" applyBorder="1" applyAlignment="1">
      <alignment horizontal="center" wrapText="1"/>
    </xf>
    <xf numFmtId="0" fontId="106" fillId="0" borderId="5" xfId="0" applyFont="1" applyBorder="1" applyAlignment="1">
      <alignment horizontal="center" wrapText="1"/>
    </xf>
    <xf numFmtId="0" fontId="105" fillId="0" borderId="2" xfId="0" applyFont="1" applyBorder="1" applyAlignment="1">
      <alignment wrapText="1"/>
    </xf>
    <xf numFmtId="0" fontId="105" fillId="0" borderId="0" xfId="0" applyFont="1" applyAlignment="1">
      <alignment wrapText="1"/>
    </xf>
    <xf numFmtId="0" fontId="105" fillId="0" borderId="2" xfId="0" applyFont="1" applyBorder="1" applyAlignment="1">
      <alignment horizontal="center" wrapText="1"/>
    </xf>
    <xf numFmtId="0" fontId="105" fillId="0" borderId="3" xfId="0" applyFont="1" applyBorder="1" applyAlignment="1">
      <alignment horizontal="center" wrapText="1"/>
    </xf>
    <xf numFmtId="14" fontId="105" fillId="0" borderId="2" xfId="0" applyNumberFormat="1" applyFont="1" applyBorder="1" applyAlignment="1">
      <alignment horizontal="center" wrapText="1"/>
    </xf>
    <xf numFmtId="14" fontId="105" fillId="0" borderId="3" xfId="0" applyNumberFormat="1" applyFont="1" applyBorder="1" applyAlignment="1">
      <alignment horizontal="center" wrapText="1"/>
    </xf>
    <xf numFmtId="0" fontId="105" fillId="0" borderId="5" xfId="0" applyFont="1" applyBorder="1" applyAlignment="1">
      <alignment horizontal="center" wrapText="1"/>
    </xf>
    <xf numFmtId="0" fontId="104" fillId="0" borderId="2" xfId="0" applyFont="1" applyBorder="1" applyAlignment="1">
      <alignment wrapText="1"/>
    </xf>
    <xf numFmtId="0" fontId="104" fillId="0" borderId="0" xfId="0" applyFont="1" applyAlignment="1">
      <alignment wrapText="1"/>
    </xf>
    <xf numFmtId="0" fontId="104" fillId="0" borderId="3" xfId="0" applyFont="1" applyBorder="1" applyAlignment="1">
      <alignment horizontal="center" wrapText="1"/>
    </xf>
    <xf numFmtId="14" fontId="104" fillId="0" borderId="2" xfId="0" applyNumberFormat="1" applyFont="1" applyBorder="1" applyAlignment="1">
      <alignment horizontal="center" wrapText="1"/>
    </xf>
    <xf numFmtId="14" fontId="104" fillId="0" borderId="3" xfId="0" applyNumberFormat="1" applyFont="1" applyBorder="1" applyAlignment="1">
      <alignment horizontal="center" wrapText="1"/>
    </xf>
    <xf numFmtId="0" fontId="104" fillId="0" borderId="5" xfId="0" applyFont="1" applyBorder="1" applyAlignment="1">
      <alignment horizontal="center" wrapText="1"/>
    </xf>
    <xf numFmtId="0" fontId="103" fillId="0" borderId="2" xfId="0" applyFont="1" applyBorder="1" applyAlignment="1">
      <alignment wrapText="1"/>
    </xf>
    <xf numFmtId="0" fontId="103" fillId="0" borderId="0" xfId="0" applyFont="1" applyAlignment="1">
      <alignment wrapText="1"/>
    </xf>
    <xf numFmtId="0" fontId="103" fillId="0" borderId="2" xfId="0" applyFont="1" applyBorder="1" applyAlignment="1">
      <alignment horizontal="center" wrapText="1"/>
    </xf>
    <xf numFmtId="0" fontId="103" fillId="0" borderId="3" xfId="0" applyFont="1" applyBorder="1" applyAlignment="1">
      <alignment horizontal="center" wrapText="1"/>
    </xf>
    <xf numFmtId="14" fontId="103" fillId="0" borderId="2" xfId="0" applyNumberFormat="1" applyFont="1" applyBorder="1" applyAlignment="1">
      <alignment horizontal="center" wrapText="1"/>
    </xf>
    <xf numFmtId="14" fontId="103" fillId="0" borderId="3" xfId="0" applyNumberFormat="1" applyFont="1" applyBorder="1" applyAlignment="1">
      <alignment horizontal="center" wrapText="1"/>
    </xf>
    <xf numFmtId="0" fontId="103" fillId="0" borderId="5" xfId="0" applyFont="1" applyBorder="1" applyAlignment="1">
      <alignment horizontal="center" wrapText="1"/>
    </xf>
    <xf numFmtId="0" fontId="102" fillId="0" borderId="2" xfId="0" applyFont="1" applyBorder="1" applyAlignment="1">
      <alignment wrapText="1"/>
    </xf>
    <xf numFmtId="0" fontId="102" fillId="0" borderId="0" xfId="0" applyFont="1" applyAlignment="1">
      <alignment wrapText="1"/>
    </xf>
    <xf numFmtId="0" fontId="102" fillId="0" borderId="2" xfId="0" applyFont="1" applyBorder="1" applyAlignment="1">
      <alignment horizontal="center" wrapText="1"/>
    </xf>
    <xf numFmtId="0" fontId="102" fillId="0" borderId="3" xfId="0" applyFont="1" applyBorder="1" applyAlignment="1">
      <alignment horizontal="center" wrapText="1"/>
    </xf>
    <xf numFmtId="14" fontId="102" fillId="0" borderId="2" xfId="0" applyNumberFormat="1" applyFont="1" applyBorder="1" applyAlignment="1">
      <alignment horizontal="center" wrapText="1"/>
    </xf>
    <xf numFmtId="14" fontId="102" fillId="0" borderId="3" xfId="0" applyNumberFormat="1" applyFont="1" applyBorder="1" applyAlignment="1">
      <alignment horizontal="center" wrapText="1"/>
    </xf>
    <xf numFmtId="0" fontId="102" fillId="0" borderId="5" xfId="0" applyFont="1" applyBorder="1" applyAlignment="1">
      <alignment horizontal="center" wrapText="1"/>
    </xf>
    <xf numFmtId="0" fontId="101" fillId="0" borderId="0" xfId="0" applyFont="1" applyAlignment="1">
      <alignment horizontal="center"/>
    </xf>
    <xf numFmtId="0" fontId="101" fillId="0" borderId="2" xfId="0" applyFont="1" applyBorder="1" applyAlignment="1">
      <alignment wrapText="1"/>
    </xf>
    <xf numFmtId="0" fontId="101" fillId="0" borderId="0" xfId="0" applyFont="1" applyAlignment="1">
      <alignment wrapText="1"/>
    </xf>
    <xf numFmtId="0" fontId="101" fillId="0" borderId="2" xfId="0" applyFont="1" applyBorder="1" applyAlignment="1">
      <alignment horizontal="center" wrapText="1"/>
    </xf>
    <xf numFmtId="0" fontId="101" fillId="0" borderId="3" xfId="0" applyFont="1" applyBorder="1" applyAlignment="1">
      <alignment horizontal="center" wrapText="1"/>
    </xf>
    <xf numFmtId="14" fontId="101" fillId="0" borderId="2" xfId="0" applyNumberFormat="1" applyFont="1" applyBorder="1" applyAlignment="1">
      <alignment horizontal="center" wrapText="1"/>
    </xf>
    <xf numFmtId="14" fontId="101" fillId="0" borderId="3" xfId="0" applyNumberFormat="1" applyFont="1" applyBorder="1" applyAlignment="1">
      <alignment horizontal="center" wrapText="1"/>
    </xf>
    <xf numFmtId="0" fontId="101" fillId="0" borderId="5" xfId="0" applyFont="1" applyBorder="1" applyAlignment="1">
      <alignment horizontal="center" wrapText="1"/>
    </xf>
    <xf numFmtId="0" fontId="100" fillId="0" borderId="2" xfId="0" applyFont="1" applyBorder="1" applyAlignment="1">
      <alignment wrapText="1"/>
    </xf>
    <xf numFmtId="0" fontId="100" fillId="0" borderId="0" xfId="0" applyFont="1" applyAlignment="1">
      <alignment wrapText="1"/>
    </xf>
    <xf numFmtId="0" fontId="100" fillId="0" borderId="2" xfId="0" applyFont="1" applyBorder="1" applyAlignment="1">
      <alignment horizontal="center" wrapText="1"/>
    </xf>
    <xf numFmtId="0" fontId="100" fillId="0" borderId="3" xfId="0" applyFont="1" applyBorder="1" applyAlignment="1">
      <alignment horizontal="center" wrapText="1"/>
    </xf>
    <xf numFmtId="14" fontId="100" fillId="0" borderId="2" xfId="0" applyNumberFormat="1" applyFont="1" applyBorder="1" applyAlignment="1">
      <alignment horizontal="center" wrapText="1"/>
    </xf>
    <xf numFmtId="14" fontId="100" fillId="0" borderId="3" xfId="0" applyNumberFormat="1" applyFont="1" applyBorder="1" applyAlignment="1">
      <alignment horizontal="center" wrapText="1"/>
    </xf>
    <xf numFmtId="0" fontId="100" fillId="0" borderId="5" xfId="0" applyFont="1" applyBorder="1" applyAlignment="1">
      <alignment horizontal="center" wrapText="1"/>
    </xf>
    <xf numFmtId="0" fontId="99" fillId="0" borderId="2" xfId="0" applyFont="1" applyBorder="1" applyAlignment="1">
      <alignment horizontal="center" wrapText="1"/>
    </xf>
    <xf numFmtId="0" fontId="99" fillId="0" borderId="3" xfId="0" applyFont="1" applyBorder="1" applyAlignment="1">
      <alignment horizontal="center" wrapText="1"/>
    </xf>
    <xf numFmtId="0" fontId="99" fillId="0" borderId="3" xfId="0" applyFont="1" applyBorder="1" applyAlignment="1">
      <alignment horizontal="center"/>
    </xf>
    <xf numFmtId="0" fontId="99" fillId="0" borderId="2" xfId="0" applyFont="1" applyBorder="1" applyAlignment="1">
      <alignment wrapText="1"/>
    </xf>
    <xf numFmtId="0" fontId="99" fillId="0" borderId="0" xfId="0" applyFont="1" applyAlignment="1">
      <alignment wrapText="1"/>
    </xf>
    <xf numFmtId="14" fontId="99" fillId="0" borderId="2" xfId="0" applyNumberFormat="1" applyFont="1" applyBorder="1" applyAlignment="1">
      <alignment horizontal="center" wrapText="1"/>
    </xf>
    <xf numFmtId="14" fontId="99" fillId="0" borderId="3" xfId="0" applyNumberFormat="1" applyFont="1" applyBorder="1" applyAlignment="1">
      <alignment horizontal="center" wrapText="1"/>
    </xf>
    <xf numFmtId="0" fontId="99" fillId="0" borderId="5" xfId="0" applyFont="1" applyBorder="1" applyAlignment="1">
      <alignment horizontal="center" wrapText="1"/>
    </xf>
    <xf numFmtId="0" fontId="98" fillId="0" borderId="2" xfId="0" applyFont="1" applyBorder="1" applyAlignment="1">
      <alignment wrapText="1"/>
    </xf>
    <xf numFmtId="0" fontId="98" fillId="0" borderId="0" xfId="0" applyFont="1" applyAlignment="1">
      <alignment wrapText="1"/>
    </xf>
    <xf numFmtId="0" fontId="98" fillId="0" borderId="2" xfId="0" applyFont="1" applyBorder="1" applyAlignment="1">
      <alignment horizontal="center" wrapText="1"/>
    </xf>
    <xf numFmtId="0" fontId="98" fillId="0" borderId="3" xfId="0" applyFont="1" applyBorder="1" applyAlignment="1">
      <alignment horizontal="center" wrapText="1"/>
    </xf>
    <xf numFmtId="14" fontId="98" fillId="0" borderId="2" xfId="0" applyNumberFormat="1" applyFont="1" applyBorder="1" applyAlignment="1">
      <alignment horizontal="center" wrapText="1"/>
    </xf>
    <xf numFmtId="14" fontId="98" fillId="0" borderId="3" xfId="0" applyNumberFormat="1" applyFont="1" applyBorder="1" applyAlignment="1">
      <alignment horizontal="center" wrapText="1"/>
    </xf>
    <xf numFmtId="0" fontId="98" fillId="0" borderId="5" xfId="0" applyFont="1" applyBorder="1" applyAlignment="1">
      <alignment horizontal="center" wrapText="1"/>
    </xf>
    <xf numFmtId="0" fontId="97" fillId="0" borderId="2" xfId="0" applyFont="1" applyBorder="1" applyAlignment="1">
      <alignment wrapText="1"/>
    </xf>
    <xf numFmtId="0" fontId="97" fillId="0" borderId="0" xfId="0" applyFont="1" applyAlignment="1">
      <alignment wrapText="1"/>
    </xf>
    <xf numFmtId="0" fontId="97" fillId="0" borderId="2" xfId="0" applyFont="1" applyBorder="1" applyAlignment="1">
      <alignment horizontal="center" wrapText="1"/>
    </xf>
    <xf numFmtId="0" fontId="97" fillId="0" borderId="3" xfId="0" applyFont="1" applyBorder="1" applyAlignment="1">
      <alignment horizontal="center" wrapText="1"/>
    </xf>
    <xf numFmtId="14" fontId="97" fillId="0" borderId="2" xfId="0" applyNumberFormat="1" applyFont="1" applyBorder="1" applyAlignment="1">
      <alignment horizontal="center" wrapText="1"/>
    </xf>
    <xf numFmtId="14" fontId="97" fillId="0" borderId="3" xfId="0" applyNumberFormat="1" applyFont="1" applyBorder="1" applyAlignment="1">
      <alignment horizontal="center" wrapText="1"/>
    </xf>
    <xf numFmtId="0" fontId="97" fillId="0" borderId="5" xfId="0" applyFont="1" applyBorder="1" applyAlignment="1">
      <alignment horizontal="center" wrapText="1"/>
    </xf>
    <xf numFmtId="0" fontId="201" fillId="7" borderId="2" xfId="0" applyFont="1" applyFill="1" applyBorder="1" applyAlignment="1">
      <alignment horizontal="center" wrapText="1"/>
    </xf>
    <xf numFmtId="0" fontId="201" fillId="8" borderId="2" xfId="0" applyFont="1" applyFill="1" applyBorder="1" applyAlignment="1">
      <alignment horizontal="center" wrapText="1"/>
    </xf>
    <xf numFmtId="0" fontId="96" fillId="0" borderId="2" xfId="0" applyFont="1" applyBorder="1" applyAlignment="1">
      <alignment wrapText="1"/>
    </xf>
    <xf numFmtId="0" fontId="96" fillId="0" borderId="0" xfId="0" applyFont="1" applyAlignment="1">
      <alignment wrapText="1"/>
    </xf>
    <xf numFmtId="0" fontId="96" fillId="0" borderId="2" xfId="0" applyFont="1" applyBorder="1" applyAlignment="1">
      <alignment horizontal="center" wrapText="1"/>
    </xf>
    <xf numFmtId="0" fontId="96" fillId="0" borderId="3" xfId="0" applyFont="1" applyBorder="1" applyAlignment="1">
      <alignment horizontal="center" wrapText="1"/>
    </xf>
    <xf numFmtId="14" fontId="96" fillId="0" borderId="2" xfId="0" applyNumberFormat="1" applyFont="1" applyBorder="1" applyAlignment="1">
      <alignment horizontal="center" wrapText="1"/>
    </xf>
    <xf numFmtId="14" fontId="96" fillId="0" borderId="3" xfId="0" applyNumberFormat="1" applyFont="1" applyBorder="1" applyAlignment="1">
      <alignment horizontal="center" wrapText="1"/>
    </xf>
    <xf numFmtId="0" fontId="96" fillId="0" borderId="5" xfId="0" applyFont="1" applyBorder="1" applyAlignment="1">
      <alignment horizontal="center" wrapText="1"/>
    </xf>
    <xf numFmtId="0" fontId="95" fillId="0" borderId="2" xfId="0" applyFont="1" applyBorder="1" applyAlignment="1">
      <alignment horizontal="center" wrapText="1"/>
    </xf>
    <xf numFmtId="0" fontId="95" fillId="0" borderId="2" xfId="0" applyFont="1" applyBorder="1" applyAlignment="1">
      <alignment horizontal="center"/>
    </xf>
    <xf numFmtId="0" fontId="95" fillId="3" borderId="2" xfId="0" applyFont="1" applyFill="1" applyBorder="1" applyAlignment="1">
      <alignment horizontal="center"/>
    </xf>
    <xf numFmtId="0" fontId="95" fillId="2" borderId="2" xfId="0" applyFont="1" applyFill="1" applyBorder="1" applyAlignment="1">
      <alignment horizontal="center"/>
    </xf>
    <xf numFmtId="0" fontId="95" fillId="5" borderId="2" xfId="0" applyFont="1" applyFill="1" applyBorder="1" applyAlignment="1">
      <alignment horizontal="center" wrapText="1"/>
    </xf>
    <xf numFmtId="0" fontId="95" fillId="0" borderId="0" xfId="0" applyFont="1" applyAlignment="1">
      <alignment horizontal="center"/>
    </xf>
    <xf numFmtId="0" fontId="95" fillId="0" borderId="22" xfId="0" applyFont="1" applyBorder="1" applyAlignment="1">
      <alignment horizontal="center" wrapText="1"/>
    </xf>
    <xf numFmtId="0" fontId="95" fillId="0" borderId="23" xfId="0" applyFont="1" applyBorder="1" applyAlignment="1">
      <alignment horizontal="center" wrapText="1"/>
    </xf>
    <xf numFmtId="0" fontId="201" fillId="8" borderId="22" xfId="0" applyFont="1" applyFill="1" applyBorder="1" applyAlignment="1">
      <alignment horizontal="center" wrapText="1"/>
    </xf>
    <xf numFmtId="0" fontId="95" fillId="0" borderId="2" xfId="0" applyFont="1" applyBorder="1" applyAlignment="1">
      <alignment wrapText="1"/>
    </xf>
    <xf numFmtId="0" fontId="95" fillId="0" borderId="0" xfId="0" applyFont="1" applyAlignment="1">
      <alignment wrapText="1"/>
    </xf>
    <xf numFmtId="0" fontId="95" fillId="0" borderId="3" xfId="0" applyFont="1" applyBorder="1" applyAlignment="1">
      <alignment horizontal="center" wrapText="1"/>
    </xf>
    <xf numFmtId="14" fontId="95" fillId="0" borderId="2" xfId="0" applyNumberFormat="1" applyFont="1" applyBorder="1" applyAlignment="1">
      <alignment horizontal="center" wrapText="1"/>
    </xf>
    <xf numFmtId="14" fontId="95" fillId="0" borderId="3" xfId="0" applyNumberFormat="1" applyFont="1" applyBorder="1" applyAlignment="1">
      <alignment horizontal="center" wrapText="1"/>
    </xf>
    <xf numFmtId="0" fontId="95" fillId="0" borderId="5" xfId="0" applyFont="1" applyBorder="1" applyAlignment="1">
      <alignment horizontal="center" wrapText="1"/>
    </xf>
    <xf numFmtId="0" fontId="94" fillId="0" borderId="2" xfId="0" applyFont="1" applyBorder="1" applyAlignment="1">
      <alignment wrapText="1"/>
    </xf>
    <xf numFmtId="0" fontId="94" fillId="0" borderId="0" xfId="0" applyFont="1" applyAlignment="1">
      <alignment wrapText="1"/>
    </xf>
    <xf numFmtId="0" fontId="94" fillId="0" borderId="2" xfId="0" applyFont="1" applyBorder="1" applyAlignment="1">
      <alignment horizontal="center" wrapText="1"/>
    </xf>
    <xf numFmtId="0" fontId="94" fillId="0" borderId="3" xfId="0" applyFont="1" applyBorder="1" applyAlignment="1">
      <alignment horizontal="center" wrapText="1"/>
    </xf>
    <xf numFmtId="14" fontId="94" fillId="0" borderId="2" xfId="0" applyNumberFormat="1" applyFont="1" applyBorder="1" applyAlignment="1">
      <alignment horizontal="center" wrapText="1"/>
    </xf>
    <xf numFmtId="14" fontId="94" fillId="0" borderId="3" xfId="0" applyNumberFormat="1" applyFont="1" applyBorder="1" applyAlignment="1">
      <alignment horizontal="center" wrapText="1"/>
    </xf>
    <xf numFmtId="0" fontId="94" fillId="0" borderId="5" xfId="0" applyFont="1" applyBorder="1" applyAlignment="1">
      <alignment horizontal="center" wrapText="1"/>
    </xf>
    <xf numFmtId="0" fontId="93" fillId="0" borderId="2" xfId="0" applyFont="1" applyBorder="1" applyAlignment="1">
      <alignment wrapText="1"/>
    </xf>
    <xf numFmtId="0" fontId="93" fillId="0" borderId="0" xfId="0" applyFont="1" applyAlignment="1">
      <alignment wrapText="1"/>
    </xf>
    <xf numFmtId="0" fontId="93" fillId="0" borderId="2" xfId="0" applyFont="1" applyBorder="1" applyAlignment="1">
      <alignment horizontal="center" wrapText="1"/>
    </xf>
    <xf numFmtId="0" fontId="93" fillId="0" borderId="3" xfId="0" applyFont="1" applyBorder="1" applyAlignment="1">
      <alignment horizontal="center" wrapText="1"/>
    </xf>
    <xf numFmtId="14" fontId="93" fillId="0" borderId="2" xfId="0" applyNumberFormat="1" applyFont="1" applyBorder="1" applyAlignment="1">
      <alignment horizontal="center" wrapText="1"/>
    </xf>
    <xf numFmtId="14" fontId="93" fillId="0" borderId="3" xfId="0" applyNumberFormat="1" applyFont="1" applyBorder="1" applyAlignment="1">
      <alignment horizontal="center" wrapText="1"/>
    </xf>
    <xf numFmtId="0" fontId="93" fillId="0" borderId="5" xfId="0" applyFont="1" applyBorder="1" applyAlignment="1">
      <alignment horizontal="center" wrapText="1"/>
    </xf>
    <xf numFmtId="0" fontId="93" fillId="0" borderId="22" xfId="0" applyFont="1" applyBorder="1" applyAlignment="1">
      <alignment horizontal="center" wrapText="1"/>
    </xf>
    <xf numFmtId="0" fontId="92" fillId="0" borderId="2" xfId="0" applyFont="1" applyBorder="1" applyAlignment="1">
      <alignment wrapText="1"/>
    </xf>
    <xf numFmtId="0" fontId="92" fillId="0" borderId="0" xfId="0" applyFont="1" applyAlignment="1">
      <alignment wrapText="1"/>
    </xf>
    <xf numFmtId="0" fontId="92" fillId="0" borderId="2" xfId="0" applyFont="1" applyBorder="1" applyAlignment="1">
      <alignment horizontal="center" wrapText="1"/>
    </xf>
    <xf numFmtId="0" fontId="92" fillId="0" borderId="3" xfId="0" applyFont="1" applyBorder="1" applyAlignment="1">
      <alignment horizontal="center" wrapText="1"/>
    </xf>
    <xf numFmtId="14" fontId="92" fillId="0" borderId="2" xfId="0" applyNumberFormat="1" applyFont="1" applyBorder="1" applyAlignment="1">
      <alignment horizontal="center" wrapText="1"/>
    </xf>
    <xf numFmtId="14" fontId="92" fillId="0" borderId="3" xfId="0" applyNumberFormat="1" applyFont="1" applyBorder="1" applyAlignment="1">
      <alignment horizontal="center" wrapText="1"/>
    </xf>
    <xf numFmtId="0" fontId="92" fillId="0" borderId="5" xfId="0" applyFont="1" applyBorder="1" applyAlignment="1">
      <alignment horizontal="center" wrapText="1"/>
    </xf>
    <xf numFmtId="0" fontId="91" fillId="0" borderId="2" xfId="0" applyFont="1" applyBorder="1" applyAlignment="1">
      <alignment wrapText="1"/>
    </xf>
    <xf numFmtId="0" fontId="91" fillId="0" borderId="0" xfId="0" applyFont="1" applyAlignment="1">
      <alignment wrapText="1"/>
    </xf>
    <xf numFmtId="0" fontId="91" fillId="0" borderId="2" xfId="0" applyFont="1" applyBorder="1" applyAlignment="1">
      <alignment horizontal="center" wrapText="1"/>
    </xf>
    <xf numFmtId="0" fontId="91" fillId="0" borderId="3" xfId="0" applyFont="1" applyBorder="1" applyAlignment="1">
      <alignment horizontal="center" wrapText="1"/>
    </xf>
    <xf numFmtId="14" fontId="91" fillId="0" borderId="2" xfId="0" applyNumberFormat="1" applyFont="1" applyBorder="1" applyAlignment="1">
      <alignment horizontal="center" wrapText="1"/>
    </xf>
    <xf numFmtId="14" fontId="91" fillId="0" borderId="3" xfId="0" applyNumberFormat="1" applyFont="1" applyBorder="1" applyAlignment="1">
      <alignment horizontal="center" wrapText="1"/>
    </xf>
    <xf numFmtId="0" fontId="91" fillId="0" borderId="5" xfId="0" applyFont="1" applyBorder="1" applyAlignment="1">
      <alignment horizontal="center" wrapText="1"/>
    </xf>
    <xf numFmtId="0" fontId="90" fillId="0" borderId="2" xfId="0" applyFont="1" applyBorder="1" applyAlignment="1">
      <alignment wrapText="1"/>
    </xf>
    <xf numFmtId="0" fontId="90" fillId="0" borderId="0" xfId="0" applyFont="1" applyAlignment="1">
      <alignment wrapText="1"/>
    </xf>
    <xf numFmtId="0" fontId="90" fillId="0" borderId="2" xfId="0" applyFont="1" applyBorder="1" applyAlignment="1">
      <alignment horizontal="center" wrapText="1"/>
    </xf>
    <xf numFmtId="0" fontId="90" fillId="0" borderId="3" xfId="0" applyFont="1" applyBorder="1" applyAlignment="1">
      <alignment horizontal="center" wrapText="1"/>
    </xf>
    <xf numFmtId="14" fontId="90" fillId="0" borderId="2" xfId="0" applyNumberFormat="1" applyFont="1" applyBorder="1" applyAlignment="1">
      <alignment horizontal="center" wrapText="1"/>
    </xf>
    <xf numFmtId="14" fontId="90" fillId="0" borderId="3" xfId="0" applyNumberFormat="1" applyFont="1" applyBorder="1" applyAlignment="1">
      <alignment horizontal="center" wrapText="1"/>
    </xf>
    <xf numFmtId="0" fontId="90" fillId="0" borderId="5" xfId="0" applyFont="1" applyBorder="1" applyAlignment="1">
      <alignment horizontal="center" wrapText="1"/>
    </xf>
    <xf numFmtId="0" fontId="89" fillId="0" borderId="2" xfId="0" applyFont="1" applyBorder="1" applyAlignment="1">
      <alignment wrapText="1"/>
    </xf>
    <xf numFmtId="0" fontId="89" fillId="0" borderId="0" xfId="0" applyFont="1" applyAlignment="1">
      <alignment wrapText="1"/>
    </xf>
    <xf numFmtId="0" fontId="89" fillId="0" borderId="3" xfId="0" applyFont="1" applyBorder="1" applyAlignment="1">
      <alignment horizontal="center" wrapText="1"/>
    </xf>
    <xf numFmtId="14" fontId="89" fillId="0" borderId="2" xfId="0" applyNumberFormat="1" applyFont="1" applyBorder="1" applyAlignment="1">
      <alignment horizontal="center" wrapText="1"/>
    </xf>
    <xf numFmtId="14" fontId="89" fillId="0" borderId="3" xfId="0" applyNumberFormat="1" applyFont="1" applyBorder="1" applyAlignment="1">
      <alignment horizontal="center" wrapText="1"/>
    </xf>
    <xf numFmtId="0" fontId="89" fillId="0" borderId="5" xfId="0" applyFont="1" applyBorder="1" applyAlignment="1">
      <alignment horizontal="center" wrapText="1"/>
    </xf>
    <xf numFmtId="0" fontId="88" fillId="0" borderId="2" xfId="0" applyFont="1" applyBorder="1" applyAlignment="1">
      <alignment wrapText="1"/>
    </xf>
    <xf numFmtId="0" fontId="88" fillId="0" borderId="0" xfId="0" applyFont="1" applyAlignment="1">
      <alignment wrapText="1"/>
    </xf>
    <xf numFmtId="0" fontId="88" fillId="0" borderId="2" xfId="0" applyFont="1" applyBorder="1" applyAlignment="1">
      <alignment horizontal="center" wrapText="1"/>
    </xf>
    <xf numFmtId="0" fontId="88" fillId="0" borderId="3" xfId="0" applyFont="1" applyBorder="1" applyAlignment="1">
      <alignment horizontal="center" wrapText="1"/>
    </xf>
    <xf numFmtId="14" fontId="88" fillId="0" borderId="2" xfId="0" applyNumberFormat="1" applyFont="1" applyBorder="1" applyAlignment="1">
      <alignment horizontal="center" wrapText="1"/>
    </xf>
    <xf numFmtId="14" fontId="88" fillId="0" borderId="3" xfId="0" applyNumberFormat="1" applyFont="1" applyBorder="1" applyAlignment="1">
      <alignment horizontal="center" wrapText="1"/>
    </xf>
    <xf numFmtId="0" fontId="88" fillId="0" borderId="5" xfId="0" applyFont="1" applyBorder="1" applyAlignment="1">
      <alignment horizontal="center" wrapText="1"/>
    </xf>
    <xf numFmtId="0" fontId="87" fillId="0" borderId="2" xfId="0" applyFont="1" applyBorder="1" applyAlignment="1">
      <alignment wrapText="1"/>
    </xf>
    <xf numFmtId="0" fontId="87" fillId="0" borderId="0" xfId="0" applyFont="1" applyAlignment="1">
      <alignment wrapText="1"/>
    </xf>
    <xf numFmtId="0" fontId="87" fillId="0" borderId="2" xfId="0" applyFont="1" applyBorder="1" applyAlignment="1">
      <alignment horizontal="center" wrapText="1"/>
    </xf>
    <xf numFmtId="0" fontId="87" fillId="0" borderId="3" xfId="0" applyFont="1" applyBorder="1" applyAlignment="1">
      <alignment horizontal="center" wrapText="1"/>
    </xf>
    <xf numFmtId="14" fontId="87" fillId="0" borderId="2" xfId="0" applyNumberFormat="1" applyFont="1" applyBorder="1" applyAlignment="1">
      <alignment horizontal="center" wrapText="1"/>
    </xf>
    <xf numFmtId="14" fontId="87" fillId="0" borderId="3" xfId="0" applyNumberFormat="1" applyFont="1" applyBorder="1" applyAlignment="1">
      <alignment horizontal="center" wrapText="1"/>
    </xf>
    <xf numFmtId="0" fontId="87" fillId="0" borderId="5" xfId="0" applyFont="1" applyBorder="1" applyAlignment="1">
      <alignment horizontal="center" wrapText="1"/>
    </xf>
    <xf numFmtId="0" fontId="86" fillId="0" borderId="2" xfId="0" applyFont="1" applyBorder="1" applyAlignment="1">
      <alignment wrapText="1"/>
    </xf>
    <xf numFmtId="0" fontId="86" fillId="0" borderId="0" xfId="0" applyFont="1" applyAlignment="1">
      <alignment wrapText="1"/>
    </xf>
    <xf numFmtId="0" fontId="86" fillId="0" borderId="2" xfId="0" applyFont="1" applyBorder="1" applyAlignment="1">
      <alignment horizontal="center" wrapText="1"/>
    </xf>
    <xf numFmtId="0" fontId="86" fillId="0" borderId="3" xfId="0" applyFont="1" applyBorder="1" applyAlignment="1">
      <alignment horizontal="center" wrapText="1"/>
    </xf>
    <xf numFmtId="14" fontId="86" fillId="0" borderId="2" xfId="0" applyNumberFormat="1" applyFont="1" applyBorder="1" applyAlignment="1">
      <alignment horizontal="center" wrapText="1"/>
    </xf>
    <xf numFmtId="14" fontId="86" fillId="0" borderId="3" xfId="0" applyNumberFormat="1" applyFont="1" applyBorder="1" applyAlignment="1">
      <alignment horizontal="center" wrapText="1"/>
    </xf>
    <xf numFmtId="0" fontId="86" fillId="0" borderId="5" xfId="0" applyFont="1" applyBorder="1" applyAlignment="1">
      <alignment horizontal="center" wrapText="1"/>
    </xf>
    <xf numFmtId="0" fontId="85" fillId="0" borderId="2" xfId="0" applyFont="1" applyBorder="1" applyAlignment="1">
      <alignment wrapText="1"/>
    </xf>
    <xf numFmtId="0" fontId="85" fillId="0" borderId="0" xfId="0" applyFont="1" applyAlignment="1">
      <alignment wrapText="1"/>
    </xf>
    <xf numFmtId="0" fontId="85" fillId="0" borderId="2" xfId="0" applyFont="1" applyBorder="1" applyAlignment="1">
      <alignment horizontal="center" wrapText="1"/>
    </xf>
    <xf numFmtId="0" fontId="85" fillId="0" borderId="3" xfId="0" applyFont="1" applyBorder="1" applyAlignment="1">
      <alignment horizontal="center" wrapText="1"/>
    </xf>
    <xf numFmtId="14" fontId="85" fillId="0" borderId="2" xfId="0" applyNumberFormat="1" applyFont="1" applyBorder="1" applyAlignment="1">
      <alignment horizontal="center" wrapText="1"/>
    </xf>
    <xf numFmtId="14" fontId="85" fillId="0" borderId="3" xfId="0" applyNumberFormat="1" applyFont="1" applyBorder="1" applyAlignment="1">
      <alignment horizontal="center" wrapText="1"/>
    </xf>
    <xf numFmtId="0" fontId="85" fillId="0" borderId="5" xfId="0" applyFont="1" applyBorder="1" applyAlignment="1">
      <alignment horizontal="center" wrapText="1"/>
    </xf>
    <xf numFmtId="0" fontId="84" fillId="0" borderId="2" xfId="0" applyFont="1" applyBorder="1" applyAlignment="1">
      <alignment wrapText="1"/>
    </xf>
    <xf numFmtId="0" fontId="84" fillId="0" borderId="0" xfId="0" applyFont="1" applyAlignment="1">
      <alignment wrapText="1"/>
    </xf>
    <xf numFmtId="0" fontId="84" fillId="0" borderId="2" xfId="0" applyFont="1" applyBorder="1" applyAlignment="1">
      <alignment horizontal="center" wrapText="1"/>
    </xf>
    <xf numFmtId="0" fontId="84" fillId="0" borderId="3" xfId="0" applyFont="1" applyBorder="1" applyAlignment="1">
      <alignment horizontal="center" wrapText="1"/>
    </xf>
    <xf numFmtId="14" fontId="84" fillId="0" borderId="2" xfId="0" applyNumberFormat="1" applyFont="1" applyBorder="1" applyAlignment="1">
      <alignment horizontal="center" wrapText="1"/>
    </xf>
    <xf numFmtId="14" fontId="84" fillId="0" borderId="3" xfId="0" applyNumberFormat="1" applyFont="1" applyBorder="1" applyAlignment="1">
      <alignment horizontal="center" wrapText="1"/>
    </xf>
    <xf numFmtId="0" fontId="84" fillId="0" borderId="5" xfId="0" applyFont="1" applyBorder="1" applyAlignment="1">
      <alignment horizontal="center" wrapText="1"/>
    </xf>
    <xf numFmtId="0" fontId="83" fillId="0" borderId="2" xfId="0" applyFont="1" applyBorder="1" applyAlignment="1">
      <alignment wrapText="1"/>
    </xf>
    <xf numFmtId="0" fontId="83" fillId="0" borderId="0" xfId="0" applyFont="1" applyAlignment="1">
      <alignment wrapText="1"/>
    </xf>
    <xf numFmtId="0" fontId="83" fillId="0" borderId="3" xfId="0" applyFont="1" applyBorder="1" applyAlignment="1">
      <alignment horizontal="center" wrapText="1"/>
    </xf>
    <xf numFmtId="14" fontId="83" fillId="0" borderId="2" xfId="0" applyNumberFormat="1" applyFont="1" applyBorder="1" applyAlignment="1">
      <alignment horizontal="center" wrapText="1"/>
    </xf>
    <xf numFmtId="14" fontId="83" fillId="0" borderId="3" xfId="0" applyNumberFormat="1" applyFont="1" applyBorder="1" applyAlignment="1">
      <alignment horizontal="center" wrapText="1"/>
    </xf>
    <xf numFmtId="0" fontId="83" fillId="0" borderId="5" xfId="0" applyFont="1" applyBorder="1" applyAlignment="1">
      <alignment horizontal="center" wrapText="1"/>
    </xf>
    <xf numFmtId="0" fontId="82" fillId="0" borderId="2" xfId="0" applyFont="1" applyBorder="1" applyAlignment="1">
      <alignment wrapText="1"/>
    </xf>
    <xf numFmtId="0" fontId="82" fillId="0" borderId="0" xfId="0" applyFont="1" applyAlignment="1">
      <alignment wrapText="1"/>
    </xf>
    <xf numFmtId="0" fontId="82" fillId="0" borderId="3" xfId="0" applyFont="1" applyBorder="1" applyAlignment="1">
      <alignment horizontal="center" wrapText="1"/>
    </xf>
    <xf numFmtId="14" fontId="82" fillId="0" borderId="2" xfId="0" applyNumberFormat="1" applyFont="1" applyBorder="1" applyAlignment="1">
      <alignment horizontal="center" wrapText="1"/>
    </xf>
    <xf numFmtId="14" fontId="82" fillId="0" borderId="3" xfId="0" applyNumberFormat="1" applyFont="1" applyBorder="1" applyAlignment="1">
      <alignment horizontal="center" wrapText="1"/>
    </xf>
    <xf numFmtId="0" fontId="82" fillId="0" borderId="5" xfId="0" applyFont="1" applyBorder="1" applyAlignment="1">
      <alignment horizontal="center" wrapText="1"/>
    </xf>
    <xf numFmtId="0" fontId="81" fillId="0" borderId="2" xfId="0" applyFont="1" applyBorder="1" applyAlignment="1">
      <alignment wrapText="1"/>
    </xf>
    <xf numFmtId="0" fontId="81" fillId="0" borderId="0" xfId="0" applyFont="1" applyAlignment="1">
      <alignment wrapText="1"/>
    </xf>
    <xf numFmtId="0" fontId="81" fillId="0" borderId="2" xfId="0" applyFont="1" applyBorder="1" applyAlignment="1">
      <alignment horizontal="center" wrapText="1"/>
    </xf>
    <xf numFmtId="0" fontId="81" fillId="0" borderId="3" xfId="0" applyFont="1" applyBorder="1" applyAlignment="1">
      <alignment horizontal="center" wrapText="1"/>
    </xf>
    <xf numFmtId="14" fontId="81" fillId="0" borderId="2" xfId="0" applyNumberFormat="1" applyFont="1" applyBorder="1" applyAlignment="1">
      <alignment horizontal="center" wrapText="1"/>
    </xf>
    <xf numFmtId="14" fontId="81" fillId="0" borderId="3" xfId="0" applyNumberFormat="1" applyFont="1" applyBorder="1" applyAlignment="1">
      <alignment horizontal="center" wrapText="1"/>
    </xf>
    <xf numFmtId="0" fontId="81" fillId="0" borderId="5" xfId="0" applyFont="1" applyBorder="1" applyAlignment="1">
      <alignment horizontal="center" wrapText="1"/>
    </xf>
    <xf numFmtId="0" fontId="80" fillId="0" borderId="2" xfId="0" applyFont="1" applyBorder="1" applyAlignment="1">
      <alignment wrapText="1"/>
    </xf>
    <xf numFmtId="0" fontId="80" fillId="0" borderId="0" xfId="0" applyFont="1" applyAlignment="1">
      <alignment wrapText="1"/>
    </xf>
    <xf numFmtId="0" fontId="80" fillId="0" borderId="2" xfId="0" applyFont="1" applyBorder="1" applyAlignment="1">
      <alignment horizontal="center" wrapText="1"/>
    </xf>
    <xf numFmtId="0" fontId="80" fillId="0" borderId="3" xfId="0" applyFont="1" applyBorder="1" applyAlignment="1">
      <alignment horizontal="center" wrapText="1"/>
    </xf>
    <xf numFmtId="14" fontId="80" fillId="0" borderId="2" xfId="0" applyNumberFormat="1" applyFont="1" applyBorder="1" applyAlignment="1">
      <alignment horizontal="center" wrapText="1"/>
    </xf>
    <xf numFmtId="14" fontId="80" fillId="0" borderId="3" xfId="0" applyNumberFormat="1" applyFont="1" applyBorder="1" applyAlignment="1">
      <alignment horizontal="center" wrapText="1"/>
    </xf>
    <xf numFmtId="0" fontId="80" fillId="0" borderId="5" xfId="0" applyFont="1" applyBorder="1" applyAlignment="1">
      <alignment horizontal="center" wrapText="1"/>
    </xf>
    <xf numFmtId="0" fontId="79" fillId="0" borderId="2" xfId="0" applyFont="1" applyBorder="1" applyAlignment="1">
      <alignment wrapText="1"/>
    </xf>
    <xf numFmtId="0" fontId="79" fillId="0" borderId="0" xfId="0" applyFont="1" applyAlignment="1">
      <alignment wrapText="1"/>
    </xf>
    <xf numFmtId="0" fontId="79" fillId="0" borderId="2" xfId="0" applyFont="1" applyBorder="1" applyAlignment="1">
      <alignment horizontal="center" wrapText="1"/>
    </xf>
    <xf numFmtId="0" fontId="79" fillId="0" borderId="3" xfId="0" applyFont="1" applyBorder="1" applyAlignment="1">
      <alignment horizontal="center" wrapText="1"/>
    </xf>
    <xf numFmtId="14" fontId="79" fillId="0" borderId="2" xfId="0" applyNumberFormat="1" applyFont="1" applyBorder="1" applyAlignment="1">
      <alignment horizontal="center" wrapText="1"/>
    </xf>
    <xf numFmtId="14" fontId="79" fillId="0" borderId="3" xfId="0" applyNumberFormat="1" applyFont="1" applyBorder="1" applyAlignment="1">
      <alignment horizontal="center" wrapText="1"/>
    </xf>
    <xf numFmtId="0" fontId="79" fillId="0" borderId="5" xfId="0" applyFont="1" applyBorder="1" applyAlignment="1">
      <alignment horizontal="center" wrapText="1"/>
    </xf>
    <xf numFmtId="0" fontId="78" fillId="0" borderId="2" xfId="0" applyFont="1" applyBorder="1" applyAlignment="1">
      <alignment wrapText="1"/>
    </xf>
    <xf numFmtId="0" fontId="78" fillId="0" borderId="0" xfId="0" applyFont="1" applyAlignment="1">
      <alignment wrapText="1"/>
    </xf>
    <xf numFmtId="0" fontId="78" fillId="0" borderId="2" xfId="0" applyFont="1" applyBorder="1" applyAlignment="1">
      <alignment horizontal="center" wrapText="1"/>
    </xf>
    <xf numFmtId="0" fontId="78" fillId="0" borderId="3" xfId="0" applyFont="1" applyBorder="1" applyAlignment="1">
      <alignment horizontal="center" wrapText="1"/>
    </xf>
    <xf numFmtId="14" fontId="78" fillId="0" borderId="2" xfId="0" applyNumberFormat="1" applyFont="1" applyBorder="1" applyAlignment="1">
      <alignment horizontal="center" wrapText="1"/>
    </xf>
    <xf numFmtId="14" fontId="78" fillId="0" borderId="3" xfId="0" applyNumberFormat="1" applyFont="1" applyBorder="1" applyAlignment="1">
      <alignment horizontal="center" wrapText="1"/>
    </xf>
    <xf numFmtId="0" fontId="78" fillId="0" borderId="5" xfId="0" applyFont="1" applyBorder="1" applyAlignment="1">
      <alignment horizontal="center" wrapText="1"/>
    </xf>
    <xf numFmtId="0" fontId="77" fillId="0" borderId="0" xfId="0" applyFont="1" applyAlignment="1">
      <alignment wrapText="1"/>
    </xf>
    <xf numFmtId="0" fontId="77" fillId="0" borderId="3" xfId="0" applyFont="1" applyBorder="1" applyAlignment="1">
      <alignment horizontal="center" wrapText="1"/>
    </xf>
    <xf numFmtId="14" fontId="77" fillId="0" borderId="3" xfId="0" applyNumberFormat="1" applyFont="1" applyBorder="1" applyAlignment="1">
      <alignment horizontal="center" wrapText="1"/>
    </xf>
    <xf numFmtId="0" fontId="77" fillId="0" borderId="2" xfId="0" applyFont="1" applyBorder="1" applyAlignment="1">
      <alignment wrapText="1"/>
    </xf>
    <xf numFmtId="0" fontId="77" fillId="0" borderId="2" xfId="0" applyFont="1" applyBorder="1" applyAlignment="1">
      <alignment horizontal="center" wrapText="1"/>
    </xf>
    <xf numFmtId="14" fontId="77" fillId="0" borderId="2" xfId="0" applyNumberFormat="1" applyFont="1" applyBorder="1" applyAlignment="1">
      <alignment horizontal="center" wrapText="1"/>
    </xf>
    <xf numFmtId="0" fontId="77" fillId="0" borderId="5" xfId="0" applyFont="1" applyBorder="1" applyAlignment="1">
      <alignment horizontal="center" wrapText="1"/>
    </xf>
    <xf numFmtId="0" fontId="76" fillId="0" borderId="2" xfId="0" applyFont="1" applyBorder="1" applyAlignment="1">
      <alignment wrapText="1"/>
    </xf>
    <xf numFmtId="0" fontId="76" fillId="0" borderId="0" xfId="0" applyFont="1" applyAlignment="1">
      <alignment wrapText="1"/>
    </xf>
    <xf numFmtId="0" fontId="76" fillId="0" borderId="3" xfId="0" applyFont="1" applyBorder="1" applyAlignment="1">
      <alignment horizontal="center" wrapText="1"/>
    </xf>
    <xf numFmtId="14" fontId="76" fillId="0" borderId="2" xfId="0" applyNumberFormat="1" applyFont="1" applyBorder="1" applyAlignment="1">
      <alignment horizontal="center" wrapText="1"/>
    </xf>
    <xf numFmtId="14" fontId="76" fillId="0" borderId="3" xfId="0" applyNumberFormat="1" applyFont="1" applyBorder="1" applyAlignment="1">
      <alignment horizontal="center" wrapText="1"/>
    </xf>
    <xf numFmtId="0" fontId="76" fillId="0" borderId="5" xfId="0" applyFont="1" applyBorder="1" applyAlignment="1">
      <alignment horizontal="center" wrapText="1"/>
    </xf>
    <xf numFmtId="0" fontId="75" fillId="0" borderId="2" xfId="0" applyFont="1" applyBorder="1" applyAlignment="1">
      <alignment horizontal="center" wrapText="1"/>
    </xf>
    <xf numFmtId="0" fontId="75" fillId="0" borderId="2" xfId="0" applyFont="1" applyBorder="1" applyAlignment="1">
      <alignment wrapText="1"/>
    </xf>
    <xf numFmtId="0" fontId="75" fillId="0" borderId="0" xfId="0" applyFont="1" applyAlignment="1">
      <alignment wrapText="1"/>
    </xf>
    <xf numFmtId="0" fontId="75" fillId="0" borderId="3" xfId="0" applyFont="1" applyBorder="1" applyAlignment="1">
      <alignment horizontal="center" wrapText="1"/>
    </xf>
    <xf numFmtId="14" fontId="75" fillId="0" borderId="2" xfId="0" applyNumberFormat="1" applyFont="1" applyBorder="1" applyAlignment="1">
      <alignment horizontal="center" wrapText="1"/>
    </xf>
    <xf numFmtId="14" fontId="75" fillId="0" borderId="3" xfId="0" applyNumberFormat="1" applyFont="1" applyBorder="1" applyAlignment="1">
      <alignment horizontal="center" wrapText="1"/>
    </xf>
    <xf numFmtId="0" fontId="75" fillId="0" borderId="5" xfId="0" applyFont="1" applyBorder="1" applyAlignment="1">
      <alignment horizontal="center" wrapText="1"/>
    </xf>
    <xf numFmtId="0" fontId="74" fillId="0" borderId="2" xfId="0" applyFont="1" applyBorder="1" applyAlignment="1">
      <alignment wrapText="1"/>
    </xf>
    <xf numFmtId="0" fontId="74" fillId="0" borderId="0" xfId="0" applyFont="1" applyAlignment="1">
      <alignment wrapText="1"/>
    </xf>
    <xf numFmtId="0" fontId="74" fillId="0" borderId="2" xfId="0" applyFont="1" applyBorder="1" applyAlignment="1">
      <alignment horizontal="center" wrapText="1"/>
    </xf>
    <xf numFmtId="0" fontId="74" fillId="0" borderId="3" xfId="0" applyFont="1" applyBorder="1" applyAlignment="1">
      <alignment horizontal="center" wrapText="1"/>
    </xf>
    <xf numFmtId="14" fontId="74" fillId="0" borderId="2" xfId="0" applyNumberFormat="1" applyFont="1" applyBorder="1" applyAlignment="1">
      <alignment horizontal="center" wrapText="1"/>
    </xf>
    <xf numFmtId="14" fontId="74" fillId="0" borderId="3" xfId="0" applyNumberFormat="1" applyFont="1" applyBorder="1" applyAlignment="1">
      <alignment horizontal="center" wrapText="1"/>
    </xf>
    <xf numFmtId="0" fontId="74" fillId="0" borderId="5" xfId="0" applyFont="1" applyBorder="1" applyAlignment="1">
      <alignment horizontal="center" wrapText="1"/>
    </xf>
    <xf numFmtId="0" fontId="73" fillId="0" borderId="2" xfId="0" applyFont="1" applyBorder="1" applyAlignment="1">
      <alignment wrapText="1"/>
    </xf>
    <xf numFmtId="0" fontId="73" fillId="0" borderId="0" xfId="0" applyFont="1" applyAlignment="1">
      <alignment wrapText="1"/>
    </xf>
    <xf numFmtId="0" fontId="73" fillId="0" borderId="2" xfId="0" applyFont="1" applyBorder="1" applyAlignment="1">
      <alignment horizontal="center" wrapText="1"/>
    </xf>
    <xf numFmtId="0" fontId="73" fillId="0" borderId="3" xfId="0" applyFont="1" applyBorder="1" applyAlignment="1">
      <alignment horizontal="center" wrapText="1"/>
    </xf>
    <xf numFmtId="14" fontId="73" fillId="0" borderId="2" xfId="0" applyNumberFormat="1" applyFont="1" applyBorder="1" applyAlignment="1">
      <alignment horizontal="center" wrapText="1"/>
    </xf>
    <xf numFmtId="14" fontId="73" fillId="0" borderId="3" xfId="0" applyNumberFormat="1" applyFont="1" applyBorder="1" applyAlignment="1">
      <alignment horizontal="center" wrapText="1"/>
    </xf>
    <xf numFmtId="0" fontId="73" fillId="0" borderId="5" xfId="0" applyFont="1" applyBorder="1" applyAlignment="1">
      <alignment horizontal="center" wrapText="1"/>
    </xf>
    <xf numFmtId="0" fontId="72" fillId="0" borderId="2" xfId="0" applyFont="1" applyBorder="1" applyAlignment="1">
      <alignment wrapText="1"/>
    </xf>
    <xf numFmtId="0" fontId="72" fillId="0" borderId="0" xfId="0" applyFont="1" applyAlignment="1">
      <alignment wrapText="1"/>
    </xf>
    <xf numFmtId="0" fontId="72" fillId="0" borderId="2" xfId="0" applyFont="1" applyBorder="1" applyAlignment="1">
      <alignment horizontal="center" wrapText="1"/>
    </xf>
    <xf numFmtId="0" fontId="72" fillId="0" borderId="3" xfId="0" applyFont="1" applyBorder="1" applyAlignment="1">
      <alignment horizontal="center" wrapText="1"/>
    </xf>
    <xf numFmtId="14" fontId="72" fillId="0" borderId="2" xfId="0" applyNumberFormat="1" applyFont="1" applyBorder="1" applyAlignment="1">
      <alignment horizontal="center" wrapText="1"/>
    </xf>
    <xf numFmtId="14" fontId="72" fillId="0" borderId="3" xfId="0" applyNumberFormat="1" applyFont="1" applyBorder="1" applyAlignment="1">
      <alignment horizontal="center" wrapText="1"/>
    </xf>
    <xf numFmtId="0" fontId="72" fillId="0" borderId="5" xfId="0" applyFont="1" applyBorder="1" applyAlignment="1">
      <alignment horizontal="center" wrapText="1"/>
    </xf>
    <xf numFmtId="0" fontId="71" fillId="0" borderId="5" xfId="0" applyFont="1" applyBorder="1" applyAlignment="1">
      <alignment horizontal="center" wrapText="1"/>
    </xf>
    <xf numFmtId="0" fontId="71" fillId="0" borderId="2" xfId="0" applyFont="1" applyBorder="1" applyAlignment="1">
      <alignment wrapText="1"/>
    </xf>
    <xf numFmtId="0" fontId="71" fillId="0" borderId="2" xfId="0" applyFont="1" applyBorder="1" applyAlignment="1">
      <alignment horizontal="center" wrapText="1"/>
    </xf>
    <xf numFmtId="0" fontId="71" fillId="0" borderId="2" xfId="0" applyFont="1" applyBorder="1" applyAlignment="1">
      <alignment horizontal="center"/>
    </xf>
    <xf numFmtId="0" fontId="71" fillId="0" borderId="3" xfId="0" applyFont="1" applyBorder="1" applyAlignment="1">
      <alignment horizontal="center"/>
    </xf>
    <xf numFmtId="0" fontId="71" fillId="0" borderId="0" xfId="0" applyFont="1" applyAlignment="1" applyProtection="1">
      <alignment horizontal="center"/>
      <protection locked="0"/>
    </xf>
    <xf numFmtId="0" fontId="71" fillId="0" borderId="5" xfId="0" applyFont="1" applyBorder="1" applyAlignment="1">
      <alignment horizontal="center"/>
    </xf>
    <xf numFmtId="0" fontId="212" fillId="0" borderId="2" xfId="0" applyFont="1" applyBorder="1" applyAlignment="1">
      <alignment horizontal="center"/>
    </xf>
    <xf numFmtId="0" fontId="71" fillId="0" borderId="0" xfId="0" applyFont="1" applyAlignment="1">
      <alignment wrapText="1"/>
    </xf>
    <xf numFmtId="0" fontId="71" fillId="0" borderId="3" xfId="0" applyFont="1" applyBorder="1" applyAlignment="1">
      <alignment horizontal="center" wrapText="1"/>
    </xf>
    <xf numFmtId="14" fontId="71" fillId="0" borderId="2" xfId="0" applyNumberFormat="1" applyFont="1" applyBorder="1" applyAlignment="1">
      <alignment horizontal="center" wrapText="1"/>
    </xf>
    <xf numFmtId="14" fontId="71" fillId="0" borderId="3" xfId="0" applyNumberFormat="1" applyFont="1" applyBorder="1" applyAlignment="1">
      <alignment horizontal="center" wrapText="1"/>
    </xf>
    <xf numFmtId="0" fontId="89" fillId="0" borderId="2" xfId="0" applyFont="1" applyBorder="1" applyAlignment="1">
      <alignment horizontal="center" wrapText="1"/>
    </xf>
    <xf numFmtId="0" fontId="83" fillId="0" borderId="2" xfId="0" applyFont="1" applyBorder="1" applyAlignment="1">
      <alignment horizontal="center" wrapText="1"/>
    </xf>
    <xf numFmtId="0" fontId="82" fillId="0" borderId="2" xfId="0" applyFont="1" applyBorder="1" applyAlignment="1">
      <alignment horizontal="center" wrapText="1"/>
    </xf>
    <xf numFmtId="0" fontId="76" fillId="0" borderId="2" xfId="0" applyFont="1" applyBorder="1" applyAlignment="1">
      <alignment horizontal="center" wrapText="1"/>
    </xf>
    <xf numFmtId="0" fontId="86" fillId="0" borderId="0" xfId="0" applyFont="1"/>
    <xf numFmtId="0" fontId="70" fillId="0" borderId="2" xfId="0" applyFont="1" applyBorder="1" applyAlignment="1">
      <alignment wrapText="1"/>
    </xf>
    <xf numFmtId="0" fontId="70" fillId="0" borderId="0" xfId="0" applyFont="1" applyAlignment="1">
      <alignment wrapText="1"/>
    </xf>
    <xf numFmtId="0" fontId="70" fillId="0" borderId="2" xfId="0" applyFont="1" applyBorder="1" applyAlignment="1">
      <alignment horizontal="center" wrapText="1"/>
    </xf>
    <xf numFmtId="0" fontId="70" fillId="0" borderId="3" xfId="0" applyFont="1" applyBorder="1" applyAlignment="1">
      <alignment horizontal="center" wrapText="1"/>
    </xf>
    <xf numFmtId="14" fontId="70" fillId="0" borderId="2" xfId="0" applyNumberFormat="1" applyFont="1" applyBorder="1" applyAlignment="1">
      <alignment horizontal="center" wrapText="1"/>
    </xf>
    <xf numFmtId="14" fontId="70" fillId="0" borderId="3" xfId="0" applyNumberFormat="1" applyFont="1" applyBorder="1" applyAlignment="1">
      <alignment horizontal="center" wrapText="1"/>
    </xf>
    <xf numFmtId="0" fontId="70" fillId="0" borderId="5" xfId="0" applyFont="1" applyBorder="1" applyAlignment="1">
      <alignment horizontal="center" wrapText="1"/>
    </xf>
    <xf numFmtId="0" fontId="69" fillId="0" borderId="2" xfId="0" applyFont="1" applyBorder="1" applyAlignment="1">
      <alignment horizontal="center" wrapText="1"/>
    </xf>
    <xf numFmtId="0" fontId="69" fillId="0" borderId="2" xfId="0" applyFont="1" applyBorder="1" applyAlignment="1">
      <alignment wrapText="1"/>
    </xf>
    <xf numFmtId="0" fontId="69" fillId="0" borderId="0" xfId="0" applyFont="1" applyAlignment="1">
      <alignment wrapText="1"/>
    </xf>
    <xf numFmtId="0" fontId="69" fillId="0" borderId="3" xfId="0" applyFont="1" applyBorder="1" applyAlignment="1">
      <alignment horizontal="center" wrapText="1"/>
    </xf>
    <xf numFmtId="14" fontId="69" fillId="0" borderId="2" xfId="0" applyNumberFormat="1" applyFont="1" applyBorder="1" applyAlignment="1">
      <alignment horizontal="center" wrapText="1"/>
    </xf>
    <xf numFmtId="14" fontId="69" fillId="0" borderId="3" xfId="0" applyNumberFormat="1" applyFont="1" applyBorder="1" applyAlignment="1">
      <alignment horizontal="center" wrapText="1"/>
    </xf>
    <xf numFmtId="0" fontId="69" fillId="0" borderId="5" xfId="0" applyFont="1" applyBorder="1" applyAlignment="1">
      <alignment horizontal="center" wrapText="1"/>
    </xf>
    <xf numFmtId="0" fontId="0" fillId="3" borderId="0" xfId="0" applyFill="1" applyAlignment="1">
      <alignment horizontal="center"/>
    </xf>
    <xf numFmtId="0" fontId="68" fillId="0" borderId="3" xfId="0" applyFont="1" applyBorder="1" applyAlignment="1">
      <alignment horizontal="center" wrapText="1"/>
    </xf>
    <xf numFmtId="0" fontId="68" fillId="0" borderId="2" xfId="0" applyFont="1" applyBorder="1" applyAlignment="1">
      <alignment horizontal="center" wrapText="1"/>
    </xf>
    <xf numFmtId="0" fontId="68" fillId="0" borderId="2" xfId="0" applyFont="1" applyBorder="1" applyAlignment="1">
      <alignment wrapText="1"/>
    </xf>
    <xf numFmtId="0" fontId="68" fillId="0" borderId="0" xfId="0" applyFont="1" applyAlignment="1">
      <alignment wrapText="1"/>
    </xf>
    <xf numFmtId="14" fontId="68" fillId="0" borderId="2" xfId="0" applyNumberFormat="1" applyFont="1" applyBorder="1" applyAlignment="1">
      <alignment horizontal="center" wrapText="1"/>
    </xf>
    <xf numFmtId="14" fontId="68" fillId="0" borderId="3" xfId="0" applyNumberFormat="1" applyFont="1" applyBorder="1" applyAlignment="1">
      <alignment horizontal="center" wrapText="1"/>
    </xf>
    <xf numFmtId="0" fontId="68" fillId="0" borderId="5" xfId="0" applyFont="1" applyBorder="1" applyAlignment="1">
      <alignment horizontal="center" wrapText="1"/>
    </xf>
    <xf numFmtId="0" fontId="67" fillId="0" borderId="2" xfId="0" applyFont="1" applyBorder="1" applyAlignment="1">
      <alignment wrapText="1"/>
    </xf>
    <xf numFmtId="0" fontId="67" fillId="0" borderId="0" xfId="0" applyFont="1" applyAlignment="1">
      <alignment wrapText="1"/>
    </xf>
    <xf numFmtId="0" fontId="67" fillId="0" borderId="3" xfId="0" applyFont="1" applyBorder="1" applyAlignment="1">
      <alignment horizontal="center" wrapText="1"/>
    </xf>
    <xf numFmtId="14" fontId="67" fillId="0" borderId="2" xfId="0" applyNumberFormat="1" applyFont="1" applyBorder="1" applyAlignment="1">
      <alignment horizontal="center" wrapText="1"/>
    </xf>
    <xf numFmtId="14" fontId="67" fillId="0" borderId="3" xfId="0" applyNumberFormat="1" applyFont="1" applyBorder="1" applyAlignment="1">
      <alignment horizontal="center" wrapText="1"/>
    </xf>
    <xf numFmtId="0" fontId="67" fillId="0" borderId="5" xfId="0" applyFont="1" applyBorder="1" applyAlignment="1">
      <alignment horizontal="center" wrapText="1"/>
    </xf>
    <xf numFmtId="0" fontId="66" fillId="0" borderId="2" xfId="0" applyFont="1" applyBorder="1" applyAlignment="1">
      <alignment horizontal="center" wrapText="1"/>
    </xf>
    <xf numFmtId="0" fontId="66" fillId="0" borderId="2" xfId="0" applyFont="1" applyBorder="1" applyAlignment="1">
      <alignment wrapText="1"/>
    </xf>
    <xf numFmtId="0" fontId="66" fillId="0" borderId="0" xfId="0" applyFont="1" applyAlignment="1">
      <alignment wrapText="1"/>
    </xf>
    <xf numFmtId="0" fontId="66" fillId="0" borderId="3" xfId="0" applyFont="1" applyBorder="1" applyAlignment="1">
      <alignment horizontal="center" wrapText="1"/>
    </xf>
    <xf numFmtId="14" fontId="66" fillId="0" borderId="2" xfId="0" applyNumberFormat="1" applyFont="1" applyBorder="1" applyAlignment="1">
      <alignment horizontal="center" wrapText="1"/>
    </xf>
    <xf numFmtId="0" fontId="66" fillId="0" borderId="5" xfId="0" applyFont="1" applyBorder="1" applyAlignment="1">
      <alignment horizontal="center" wrapText="1"/>
    </xf>
    <xf numFmtId="14" fontId="66" fillId="0" borderId="3" xfId="0" applyNumberFormat="1" applyFont="1" applyBorder="1" applyAlignment="1">
      <alignment horizontal="center" wrapText="1"/>
    </xf>
    <xf numFmtId="0" fontId="66" fillId="0" borderId="2" xfId="0" applyFont="1" applyBorder="1" applyAlignment="1">
      <alignment horizontal="center" vertical="center"/>
    </xf>
    <xf numFmtId="0" fontId="65" fillId="0" borderId="2" xfId="0" applyFont="1" applyBorder="1" applyAlignment="1">
      <alignment wrapText="1"/>
    </xf>
    <xf numFmtId="0" fontId="65" fillId="0" borderId="0" xfId="0" applyFont="1" applyAlignment="1">
      <alignment wrapText="1"/>
    </xf>
    <xf numFmtId="0" fontId="65" fillId="0" borderId="3" xfId="0" applyFont="1" applyBorder="1" applyAlignment="1">
      <alignment horizontal="center" wrapText="1"/>
    </xf>
    <xf numFmtId="14" fontId="65" fillId="0" borderId="2" xfId="0" applyNumberFormat="1" applyFont="1" applyBorder="1" applyAlignment="1">
      <alignment horizontal="center" wrapText="1"/>
    </xf>
    <xf numFmtId="14" fontId="65" fillId="0" borderId="3" xfId="0" applyNumberFormat="1" applyFont="1" applyBorder="1" applyAlignment="1">
      <alignment horizontal="center" wrapText="1"/>
    </xf>
    <xf numFmtId="0" fontId="65" fillId="0" borderId="5" xfId="0" applyFont="1" applyBorder="1" applyAlignment="1">
      <alignment horizontal="center" wrapText="1"/>
    </xf>
    <xf numFmtId="0" fontId="64" fillId="0" borderId="2" xfId="0" applyFont="1" applyBorder="1" applyAlignment="1">
      <alignment wrapText="1"/>
    </xf>
    <xf numFmtId="0" fontId="64" fillId="0" borderId="0" xfId="0" applyFont="1" applyAlignment="1">
      <alignment wrapText="1"/>
    </xf>
    <xf numFmtId="0" fontId="64" fillId="0" borderId="2" xfId="0" applyFont="1" applyBorder="1" applyAlignment="1">
      <alignment horizontal="center" wrapText="1"/>
    </xf>
    <xf numFmtId="0" fontId="64" fillId="0" borderId="3" xfId="0" applyFont="1" applyBorder="1" applyAlignment="1">
      <alignment horizontal="center" wrapText="1"/>
    </xf>
    <xf numFmtId="14" fontId="64" fillId="0" borderId="2" xfId="0" applyNumberFormat="1" applyFont="1" applyBorder="1" applyAlignment="1">
      <alignment horizontal="center" wrapText="1"/>
    </xf>
    <xf numFmtId="14" fontId="64" fillId="0" borderId="3" xfId="0" applyNumberFormat="1" applyFont="1" applyBorder="1" applyAlignment="1">
      <alignment horizontal="center" wrapText="1"/>
    </xf>
    <xf numFmtId="0" fontId="64" fillId="0" borderId="5" xfId="0" applyFont="1" applyBorder="1" applyAlignment="1">
      <alignment horizontal="center" wrapText="1"/>
    </xf>
    <xf numFmtId="0" fontId="95" fillId="3" borderId="0" xfId="0" applyFont="1" applyFill="1" applyAlignment="1">
      <alignment horizontal="center"/>
    </xf>
    <xf numFmtId="0" fontId="64" fillId="0" borderId="2" xfId="0" applyFont="1" applyBorder="1" applyAlignment="1">
      <alignment horizontal="center"/>
    </xf>
    <xf numFmtId="0" fontId="63" fillId="0" borderId="2" xfId="0" applyFont="1" applyBorder="1" applyAlignment="1">
      <alignment wrapText="1"/>
    </xf>
    <xf numFmtId="0" fontId="63" fillId="0" borderId="0" xfId="0" applyFont="1" applyAlignment="1">
      <alignment wrapText="1"/>
    </xf>
    <xf numFmtId="0" fontId="63" fillId="0" borderId="3" xfId="0" applyFont="1" applyBorder="1" applyAlignment="1">
      <alignment horizontal="center" wrapText="1"/>
    </xf>
    <xf numFmtId="14" fontId="63" fillId="0" borderId="2" xfId="0" applyNumberFormat="1" applyFont="1" applyBorder="1" applyAlignment="1">
      <alignment horizontal="center" wrapText="1"/>
    </xf>
    <xf numFmtId="14" fontId="63" fillId="0" borderId="3" xfId="0" applyNumberFormat="1" applyFont="1" applyBorder="1" applyAlignment="1">
      <alignment horizontal="center" wrapText="1"/>
    </xf>
    <xf numFmtId="0" fontId="63" fillId="0" borderId="5" xfId="0" applyFont="1" applyBorder="1" applyAlignment="1">
      <alignment horizontal="center" wrapText="1"/>
    </xf>
    <xf numFmtId="0" fontId="62" fillId="0" borderId="2" xfId="0" applyFont="1" applyBorder="1" applyAlignment="1">
      <alignment horizontal="center" wrapText="1"/>
    </xf>
    <xf numFmtId="0" fontId="62" fillId="0" borderId="0" xfId="0" applyFont="1" applyAlignment="1">
      <alignment horizontal="center"/>
    </xf>
    <xf numFmtId="0" fontId="61" fillId="0" borderId="2" xfId="0" applyFont="1" applyBorder="1" applyAlignment="1">
      <alignment horizontal="center" wrapText="1"/>
    </xf>
    <xf numFmtId="0" fontId="61" fillId="0" borderId="0" xfId="0" applyFont="1" applyAlignment="1">
      <alignment horizontal="center"/>
    </xf>
    <xf numFmtId="0" fontId="201" fillId="4" borderId="1" xfId="0" applyFont="1" applyFill="1" applyBorder="1" applyAlignment="1">
      <alignment horizontal="center" vertical="center"/>
    </xf>
    <xf numFmtId="0" fontId="201" fillId="4" borderId="25" xfId="0" applyFont="1" applyFill="1" applyBorder="1" applyAlignment="1">
      <alignment horizontal="center" vertical="center"/>
    </xf>
    <xf numFmtId="0" fontId="201" fillId="4" borderId="26" xfId="0" applyFont="1" applyFill="1" applyBorder="1" applyAlignment="1">
      <alignment horizontal="center" vertical="center"/>
    </xf>
    <xf numFmtId="0" fontId="201" fillId="4" borderId="27" xfId="0" applyFont="1" applyFill="1" applyBorder="1" applyAlignment="1">
      <alignment horizontal="center" vertical="center"/>
    </xf>
    <xf numFmtId="0" fontId="201" fillId="4" borderId="32" xfId="0" applyFont="1" applyFill="1" applyBorder="1" applyAlignment="1">
      <alignment horizontal="center"/>
    </xf>
    <xf numFmtId="0" fontId="201" fillId="6" borderId="28" xfId="0" applyFont="1" applyFill="1" applyBorder="1" applyAlignment="1">
      <alignment horizontal="center"/>
    </xf>
    <xf numFmtId="0" fontId="215" fillId="6" borderId="12" xfId="1" applyFont="1" applyFill="1" applyBorder="1" applyAlignment="1">
      <alignment horizontal="center" vertical="center"/>
    </xf>
    <xf numFmtId="0" fontId="60" fillId="0" borderId="2" xfId="0" applyFont="1" applyBorder="1" applyAlignment="1">
      <alignment wrapText="1"/>
    </xf>
    <xf numFmtId="0" fontId="60" fillId="0" borderId="0" xfId="0" applyFont="1" applyAlignment="1">
      <alignment wrapText="1"/>
    </xf>
    <xf numFmtId="0" fontId="60" fillId="0" borderId="2" xfId="0" applyFont="1" applyBorder="1" applyAlignment="1">
      <alignment horizontal="center" wrapText="1"/>
    </xf>
    <xf numFmtId="0" fontId="60" fillId="0" borderId="3" xfId="0" applyFont="1" applyBorder="1" applyAlignment="1">
      <alignment horizontal="center" wrapText="1"/>
    </xf>
    <xf numFmtId="14" fontId="60" fillId="0" borderId="2" xfId="0" applyNumberFormat="1" applyFont="1" applyBorder="1" applyAlignment="1">
      <alignment horizontal="center" wrapText="1"/>
    </xf>
    <xf numFmtId="14" fontId="60" fillId="0" borderId="3" xfId="0" applyNumberFormat="1" applyFont="1" applyBorder="1" applyAlignment="1">
      <alignment horizontal="center" wrapText="1"/>
    </xf>
    <xf numFmtId="0" fontId="60" fillId="0" borderId="5" xfId="0" applyFont="1" applyBorder="1" applyAlignment="1">
      <alignment horizontal="center" wrapText="1"/>
    </xf>
    <xf numFmtId="0" fontId="59" fillId="0" borderId="2" xfId="0" applyFont="1" applyBorder="1" applyAlignment="1">
      <alignment horizontal="center" wrapText="1"/>
    </xf>
    <xf numFmtId="0" fontId="59" fillId="0" borderId="2" xfId="0" applyFont="1" applyBorder="1" applyAlignment="1">
      <alignment wrapText="1"/>
    </xf>
    <xf numFmtId="0" fontId="59" fillId="0" borderId="0" xfId="0" applyFont="1" applyAlignment="1">
      <alignment wrapText="1"/>
    </xf>
    <xf numFmtId="0" fontId="59" fillId="0" borderId="3" xfId="0" applyFont="1" applyBorder="1" applyAlignment="1">
      <alignment horizontal="center" wrapText="1"/>
    </xf>
    <xf numFmtId="14" fontId="59" fillId="0" borderId="2" xfId="0" applyNumberFormat="1" applyFont="1" applyBorder="1" applyAlignment="1">
      <alignment horizontal="center" wrapText="1"/>
    </xf>
    <xf numFmtId="14" fontId="59" fillId="0" borderId="3" xfId="0" applyNumberFormat="1" applyFont="1" applyBorder="1" applyAlignment="1">
      <alignment horizontal="center" wrapText="1"/>
    </xf>
    <xf numFmtId="0" fontId="59" fillId="0" borderId="5" xfId="0" applyFont="1" applyBorder="1" applyAlignment="1">
      <alignment horizontal="center" wrapText="1"/>
    </xf>
    <xf numFmtId="0" fontId="59" fillId="0" borderId="0" xfId="0" applyFont="1" applyAlignment="1">
      <alignment horizontal="center"/>
    </xf>
    <xf numFmtId="0" fontId="58" fillId="0" borderId="2" xfId="0" applyFont="1" applyBorder="1" applyAlignment="1">
      <alignment wrapText="1"/>
    </xf>
    <xf numFmtId="0" fontId="58" fillId="0" borderId="0" xfId="0" applyFont="1" applyAlignment="1">
      <alignment wrapText="1"/>
    </xf>
    <xf numFmtId="0" fontId="58" fillId="0" borderId="2" xfId="0" applyFont="1" applyBorder="1" applyAlignment="1">
      <alignment horizontal="center" wrapText="1"/>
    </xf>
    <xf numFmtId="0" fontId="58" fillId="0" borderId="3" xfId="0" applyFont="1" applyBorder="1" applyAlignment="1">
      <alignment horizontal="center" wrapText="1"/>
    </xf>
    <xf numFmtId="14" fontId="58" fillId="0" borderId="2" xfId="0" applyNumberFormat="1" applyFont="1" applyBorder="1" applyAlignment="1">
      <alignment horizontal="center" wrapText="1"/>
    </xf>
    <xf numFmtId="14" fontId="58" fillId="0" borderId="3" xfId="0" applyNumberFormat="1" applyFont="1" applyBorder="1" applyAlignment="1">
      <alignment horizontal="center" wrapText="1"/>
    </xf>
    <xf numFmtId="0" fontId="58" fillId="0" borderId="5" xfId="0" applyFont="1" applyBorder="1" applyAlignment="1">
      <alignment horizontal="center" wrapText="1"/>
    </xf>
    <xf numFmtId="0" fontId="57" fillId="0" borderId="2" xfId="0" applyFont="1" applyBorder="1" applyAlignment="1">
      <alignment wrapText="1"/>
    </xf>
    <xf numFmtId="0" fontId="57" fillId="0" borderId="0" xfId="0" applyFont="1" applyAlignment="1">
      <alignment wrapText="1"/>
    </xf>
    <xf numFmtId="0" fontId="57" fillId="0" borderId="2" xfId="0" applyFont="1" applyBorder="1" applyAlignment="1">
      <alignment horizontal="center" wrapText="1"/>
    </xf>
    <xf numFmtId="0" fontId="57" fillId="0" borderId="3" xfId="0" applyFont="1" applyBorder="1" applyAlignment="1">
      <alignment horizontal="center" wrapText="1"/>
    </xf>
    <xf numFmtId="14" fontId="57" fillId="0" borderId="2" xfId="0" applyNumberFormat="1" applyFont="1" applyBorder="1" applyAlignment="1">
      <alignment horizontal="center" wrapText="1"/>
    </xf>
    <xf numFmtId="14" fontId="57" fillId="0" borderId="3" xfId="0" applyNumberFormat="1" applyFont="1" applyBorder="1" applyAlignment="1">
      <alignment horizontal="center" wrapText="1"/>
    </xf>
    <xf numFmtId="0" fontId="57" fillId="0" borderId="5" xfId="0" applyFont="1" applyBorder="1" applyAlignment="1">
      <alignment horizontal="center" wrapText="1"/>
    </xf>
    <xf numFmtId="0" fontId="57" fillId="0" borderId="2" xfId="0" applyFont="1" applyBorder="1" applyAlignment="1">
      <alignment horizontal="center"/>
    </xf>
    <xf numFmtId="0" fontId="56" fillId="0" borderId="0" xfId="0" applyFont="1" applyAlignment="1">
      <alignment horizontal="center"/>
    </xf>
    <xf numFmtId="0" fontId="56" fillId="0" borderId="3" xfId="0" applyFont="1" applyBorder="1" applyAlignment="1">
      <alignment horizontal="center" wrapText="1"/>
    </xf>
    <xf numFmtId="0" fontId="55" fillId="0" borderId="0" xfId="0" applyFont="1" applyAlignment="1">
      <alignment horizontal="center"/>
    </xf>
    <xf numFmtId="0" fontId="54" fillId="0" borderId="2" xfId="0" applyFont="1" applyBorder="1" applyAlignment="1">
      <alignment wrapText="1"/>
    </xf>
    <xf numFmtId="0" fontId="54" fillId="0" borderId="0" xfId="0" applyFont="1" applyAlignment="1">
      <alignment wrapText="1"/>
    </xf>
    <xf numFmtId="0" fontId="54" fillId="0" borderId="2" xfId="0" applyFont="1" applyBorder="1" applyAlignment="1">
      <alignment horizontal="center" wrapText="1"/>
    </xf>
    <xf numFmtId="0" fontId="54" fillId="0" borderId="3" xfId="0" applyFont="1" applyBorder="1" applyAlignment="1">
      <alignment horizontal="center" wrapText="1"/>
    </xf>
    <xf numFmtId="14" fontId="54" fillId="0" borderId="2" xfId="0" applyNumberFormat="1" applyFont="1" applyBorder="1" applyAlignment="1">
      <alignment horizontal="center" wrapText="1"/>
    </xf>
    <xf numFmtId="0" fontId="54" fillId="0" borderId="5" xfId="0" applyFont="1" applyBorder="1" applyAlignment="1">
      <alignment horizontal="center" wrapText="1"/>
    </xf>
    <xf numFmtId="14" fontId="54" fillId="0" borderId="3" xfId="0" applyNumberFormat="1" applyFont="1" applyBorder="1" applyAlignment="1">
      <alignment horizontal="center" wrapText="1"/>
    </xf>
    <xf numFmtId="0" fontId="54" fillId="0" borderId="0" xfId="0" applyFont="1" applyAlignment="1">
      <alignment horizontal="center"/>
    </xf>
    <xf numFmtId="0" fontId="53" fillId="0" borderId="0" xfId="0" applyFont="1" applyAlignment="1">
      <alignment horizontal="center"/>
    </xf>
    <xf numFmtId="0" fontId="53" fillId="0" borderId="2" xfId="0" applyFont="1" applyBorder="1" applyAlignment="1">
      <alignment wrapText="1"/>
    </xf>
    <xf numFmtId="0" fontId="53" fillId="0" borderId="0" xfId="0" applyFont="1" applyAlignment="1">
      <alignment wrapText="1"/>
    </xf>
    <xf numFmtId="0" fontId="53" fillId="0" borderId="2" xfId="0" applyFont="1" applyBorder="1" applyAlignment="1">
      <alignment horizontal="center" wrapText="1"/>
    </xf>
    <xf numFmtId="0" fontId="53" fillId="0" borderId="3" xfId="0" applyFont="1" applyBorder="1" applyAlignment="1">
      <alignment horizontal="center" wrapText="1"/>
    </xf>
    <xf numFmtId="14" fontId="53" fillId="0" borderId="2" xfId="0" applyNumberFormat="1" applyFont="1" applyBorder="1" applyAlignment="1">
      <alignment horizontal="center" wrapText="1"/>
    </xf>
    <xf numFmtId="14" fontId="53" fillId="0" borderId="3" xfId="0" applyNumberFormat="1" applyFont="1" applyBorder="1" applyAlignment="1">
      <alignment horizontal="center" wrapText="1"/>
    </xf>
    <xf numFmtId="0" fontId="53" fillId="0" borderId="5" xfId="0" applyFont="1" applyBorder="1" applyAlignment="1">
      <alignment horizontal="center" wrapText="1"/>
    </xf>
    <xf numFmtId="0" fontId="53" fillId="0" borderId="2" xfId="0" applyFont="1" applyBorder="1" applyAlignment="1">
      <alignment horizontal="center"/>
    </xf>
    <xf numFmtId="0" fontId="52" fillId="0" borderId="3" xfId="0" applyFont="1" applyBorder="1" applyAlignment="1">
      <alignment horizontal="center" wrapText="1"/>
    </xf>
    <xf numFmtId="0" fontId="52" fillId="0" borderId="0" xfId="0" applyFont="1" applyAlignment="1">
      <alignment horizontal="center"/>
    </xf>
    <xf numFmtId="0" fontId="52" fillId="0" borderId="0" xfId="0" applyFont="1" applyAlignment="1">
      <alignment wrapText="1"/>
    </xf>
    <xf numFmtId="0" fontId="52" fillId="0" borderId="2" xfId="0" applyFont="1" applyBorder="1" applyAlignment="1">
      <alignment horizontal="center" wrapText="1"/>
    </xf>
    <xf numFmtId="14" fontId="52" fillId="0" borderId="2" xfId="0" applyNumberFormat="1" applyFont="1" applyBorder="1" applyAlignment="1">
      <alignment horizontal="center" wrapText="1"/>
    </xf>
    <xf numFmtId="14" fontId="52" fillId="0" borderId="3" xfId="0" applyNumberFormat="1" applyFont="1" applyBorder="1" applyAlignment="1">
      <alignment horizontal="center" wrapText="1"/>
    </xf>
    <xf numFmtId="0" fontId="52" fillId="0" borderId="5" xfId="0" applyFont="1" applyBorder="1" applyAlignment="1">
      <alignment horizontal="center" wrapText="1"/>
    </xf>
    <xf numFmtId="0" fontId="52" fillId="0" borderId="2" xfId="0" applyFont="1" applyBorder="1" applyAlignment="1">
      <alignment horizontal="center"/>
    </xf>
    <xf numFmtId="0" fontId="51" fillId="0" borderId="0" xfId="0" applyFont="1" applyAlignment="1">
      <alignment wrapText="1"/>
    </xf>
    <xf numFmtId="0" fontId="51" fillId="0" borderId="2" xfId="0" applyFont="1" applyBorder="1" applyAlignment="1">
      <alignment horizontal="center" wrapText="1"/>
    </xf>
    <xf numFmtId="0" fontId="51" fillId="0" borderId="3" xfId="0" applyFont="1" applyBorder="1" applyAlignment="1">
      <alignment horizontal="center" wrapText="1"/>
    </xf>
    <xf numFmtId="14" fontId="51" fillId="0" borderId="2" xfId="0" applyNumberFormat="1" applyFont="1" applyBorder="1" applyAlignment="1">
      <alignment horizontal="center" wrapText="1"/>
    </xf>
    <xf numFmtId="14" fontId="51" fillId="0" borderId="3" xfId="0" applyNumberFormat="1" applyFont="1" applyBorder="1" applyAlignment="1">
      <alignment horizontal="center" wrapText="1"/>
    </xf>
    <xf numFmtId="0" fontId="51" fillId="0" borderId="5" xfId="0" applyFont="1" applyBorder="1" applyAlignment="1">
      <alignment horizontal="center" wrapText="1"/>
    </xf>
    <xf numFmtId="0" fontId="50" fillId="0" borderId="2" xfId="0" applyFont="1" applyBorder="1" applyAlignment="1">
      <alignment wrapText="1"/>
    </xf>
    <xf numFmtId="0" fontId="50" fillId="0" borderId="0" xfId="0" applyFont="1" applyAlignment="1">
      <alignment wrapText="1"/>
    </xf>
    <xf numFmtId="0" fontId="50" fillId="0" borderId="2" xfId="0" applyFont="1" applyBorder="1" applyAlignment="1">
      <alignment horizontal="center" wrapText="1"/>
    </xf>
    <xf numFmtId="0" fontId="50" fillId="0" borderId="3" xfId="0" applyFont="1" applyBorder="1" applyAlignment="1">
      <alignment horizontal="center" wrapText="1"/>
    </xf>
    <xf numFmtId="14" fontId="50" fillId="0" borderId="2" xfId="0" applyNumberFormat="1" applyFont="1" applyBorder="1" applyAlignment="1">
      <alignment horizontal="center" wrapText="1"/>
    </xf>
    <xf numFmtId="14" fontId="50" fillId="0" borderId="3" xfId="0" applyNumberFormat="1" applyFont="1" applyBorder="1" applyAlignment="1">
      <alignment horizontal="center" wrapText="1"/>
    </xf>
    <xf numFmtId="0" fontId="50" fillId="0" borderId="5" xfId="0" applyFont="1" applyBorder="1" applyAlignment="1">
      <alignment horizontal="center" wrapText="1"/>
    </xf>
    <xf numFmtId="0" fontId="50" fillId="0" borderId="2" xfId="0" applyFont="1" applyBorder="1" applyAlignment="1">
      <alignment horizontal="center" vertical="center" wrapText="1"/>
    </xf>
    <xf numFmtId="0" fontId="49" fillId="0" borderId="3" xfId="0" applyFont="1" applyBorder="1" applyAlignment="1">
      <alignment horizontal="center" wrapText="1"/>
    </xf>
    <xf numFmtId="0" fontId="48" fillId="0" borderId="2" xfId="0" applyFont="1" applyBorder="1" applyAlignment="1">
      <alignment wrapText="1"/>
    </xf>
    <xf numFmtId="0" fontId="48" fillId="0" borderId="0" xfId="0" applyFont="1" applyAlignment="1">
      <alignment wrapText="1"/>
    </xf>
    <xf numFmtId="0" fontId="48" fillId="0" borderId="2" xfId="0" applyFont="1" applyBorder="1" applyAlignment="1">
      <alignment horizontal="center" wrapText="1"/>
    </xf>
    <xf numFmtId="0" fontId="48" fillId="0" borderId="3" xfId="0" applyFont="1" applyBorder="1" applyAlignment="1">
      <alignment horizontal="center" wrapText="1"/>
    </xf>
    <xf numFmtId="14" fontId="48" fillId="0" borderId="2" xfId="0" applyNumberFormat="1" applyFont="1" applyBorder="1" applyAlignment="1">
      <alignment horizontal="center" wrapText="1"/>
    </xf>
    <xf numFmtId="14" fontId="48" fillId="0" borderId="3" xfId="0" applyNumberFormat="1" applyFont="1" applyBorder="1" applyAlignment="1">
      <alignment horizontal="center" wrapText="1"/>
    </xf>
    <xf numFmtId="0" fontId="48" fillId="0" borderId="5" xfId="0" applyFont="1" applyBorder="1" applyAlignment="1">
      <alignment horizontal="center" wrapText="1"/>
    </xf>
    <xf numFmtId="0" fontId="48" fillId="0" borderId="0" xfId="0" applyFont="1" applyAlignment="1">
      <alignment horizontal="center"/>
    </xf>
    <xf numFmtId="0" fontId="47" fillId="0" borderId="2" xfId="0" applyFont="1" applyBorder="1" applyAlignment="1">
      <alignment wrapText="1"/>
    </xf>
    <xf numFmtId="0" fontId="47" fillId="0" borderId="0" xfId="0" applyFont="1" applyAlignment="1">
      <alignment wrapText="1"/>
    </xf>
    <xf numFmtId="0" fontId="47" fillId="0" borderId="3" xfId="0" applyFont="1" applyBorder="1" applyAlignment="1">
      <alignment horizontal="center" wrapText="1"/>
    </xf>
    <xf numFmtId="14" fontId="47" fillId="0" borderId="2" xfId="0" applyNumberFormat="1" applyFont="1" applyBorder="1" applyAlignment="1">
      <alignment horizontal="center" wrapText="1"/>
    </xf>
    <xf numFmtId="14" fontId="47" fillId="0" borderId="3" xfId="0" applyNumberFormat="1" applyFont="1" applyBorder="1" applyAlignment="1">
      <alignment horizontal="center" wrapText="1"/>
    </xf>
    <xf numFmtId="0" fontId="47" fillId="0" borderId="5" xfId="0" applyFont="1" applyBorder="1" applyAlignment="1">
      <alignment horizontal="center" wrapText="1"/>
    </xf>
    <xf numFmtId="0" fontId="0" fillId="3" borderId="0" xfId="0" applyFill="1" applyAlignment="1">
      <alignment horizontal="center" vertical="center"/>
    </xf>
    <xf numFmtId="14" fontId="60" fillId="0" borderId="2" xfId="0" applyNumberFormat="1" applyFont="1" applyBorder="1" applyAlignment="1">
      <alignment horizontal="center" vertical="center" wrapText="1"/>
    </xf>
    <xf numFmtId="14" fontId="59" fillId="0" borderId="2" xfId="0" applyNumberFormat="1" applyFont="1" applyBorder="1" applyAlignment="1">
      <alignment horizontal="center" vertical="center" wrapText="1"/>
    </xf>
    <xf numFmtId="14" fontId="58" fillId="0" borderId="2" xfId="0" applyNumberFormat="1" applyFont="1" applyBorder="1" applyAlignment="1">
      <alignment horizontal="center" vertical="center" wrapText="1"/>
    </xf>
    <xf numFmtId="14" fontId="57" fillId="0" borderId="2" xfId="0" applyNumberFormat="1" applyFont="1" applyBorder="1" applyAlignment="1">
      <alignment horizontal="center" vertical="center" wrapText="1"/>
    </xf>
    <xf numFmtId="14" fontId="54" fillId="0" borderId="2" xfId="0" applyNumberFormat="1" applyFont="1" applyBorder="1" applyAlignment="1">
      <alignment horizontal="center" vertical="center" wrapText="1"/>
    </xf>
    <xf numFmtId="14" fontId="53" fillId="0" borderId="2" xfId="0" applyNumberFormat="1" applyFont="1" applyBorder="1" applyAlignment="1">
      <alignment horizontal="center" vertical="center" wrapText="1"/>
    </xf>
    <xf numFmtId="14" fontId="52" fillId="0" borderId="2" xfId="0" applyNumberFormat="1" applyFont="1" applyBorder="1" applyAlignment="1">
      <alignment horizontal="center" vertical="center" wrapText="1"/>
    </xf>
    <xf numFmtId="14" fontId="51" fillId="0" borderId="2" xfId="0" applyNumberFormat="1" applyFont="1" applyBorder="1" applyAlignment="1">
      <alignment horizontal="center" vertical="center" wrapText="1"/>
    </xf>
    <xf numFmtId="14" fontId="50" fillId="0" borderId="2" xfId="0" applyNumberFormat="1" applyFont="1" applyBorder="1" applyAlignment="1">
      <alignment horizontal="center" vertical="center" wrapText="1"/>
    </xf>
    <xf numFmtId="14" fontId="48" fillId="0" borderId="2" xfId="0" applyNumberFormat="1" applyFont="1" applyBorder="1" applyAlignment="1">
      <alignment horizontal="center" vertical="center" wrapText="1"/>
    </xf>
    <xf numFmtId="14" fontId="47" fillId="0" borderId="2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46" fillId="0" borderId="2" xfId="0" applyFont="1" applyBorder="1" applyAlignment="1">
      <alignment wrapText="1"/>
    </xf>
    <xf numFmtId="0" fontId="46" fillId="0" borderId="0" xfId="0" applyFont="1" applyAlignment="1">
      <alignment wrapText="1"/>
    </xf>
    <xf numFmtId="0" fontId="46" fillId="0" borderId="2" xfId="0" applyFont="1" applyBorder="1" applyAlignment="1">
      <alignment horizontal="center" wrapText="1"/>
    </xf>
    <xf numFmtId="0" fontId="46" fillId="0" borderId="3" xfId="0" applyFont="1" applyBorder="1" applyAlignment="1">
      <alignment horizontal="center" wrapText="1"/>
    </xf>
    <xf numFmtId="14" fontId="46" fillId="0" borderId="2" xfId="0" applyNumberFormat="1" applyFont="1" applyBorder="1" applyAlignment="1">
      <alignment horizontal="center" wrapText="1"/>
    </xf>
    <xf numFmtId="14" fontId="46" fillId="0" borderId="3" xfId="0" applyNumberFormat="1" applyFont="1" applyBorder="1" applyAlignment="1">
      <alignment horizontal="center" wrapText="1"/>
    </xf>
    <xf numFmtId="0" fontId="46" fillId="0" borderId="5" xfId="0" applyFont="1" applyBorder="1" applyAlignment="1">
      <alignment horizontal="center" wrapText="1"/>
    </xf>
    <xf numFmtId="0" fontId="45" fillId="0" borderId="2" xfId="0" applyFont="1" applyBorder="1" applyAlignment="1">
      <alignment wrapText="1"/>
    </xf>
    <xf numFmtId="0" fontId="45" fillId="0" borderId="0" xfId="0" applyFont="1" applyAlignment="1">
      <alignment wrapText="1"/>
    </xf>
    <xf numFmtId="0" fontId="45" fillId="0" borderId="2" xfId="0" applyFont="1" applyBorder="1" applyAlignment="1">
      <alignment horizontal="center" wrapText="1"/>
    </xf>
    <xf numFmtId="0" fontId="45" fillId="0" borderId="3" xfId="0" applyFont="1" applyBorder="1" applyAlignment="1">
      <alignment horizontal="center" wrapText="1"/>
    </xf>
    <xf numFmtId="14" fontId="45" fillId="0" borderId="2" xfId="0" applyNumberFormat="1" applyFont="1" applyBorder="1" applyAlignment="1">
      <alignment horizontal="center" wrapText="1"/>
    </xf>
    <xf numFmtId="14" fontId="45" fillId="0" borderId="3" xfId="0" applyNumberFormat="1" applyFont="1" applyBorder="1" applyAlignment="1">
      <alignment horizontal="center" wrapText="1"/>
    </xf>
    <xf numFmtId="0" fontId="45" fillId="0" borderId="5" xfId="0" applyFont="1" applyBorder="1" applyAlignment="1">
      <alignment horizontal="center" wrapText="1"/>
    </xf>
    <xf numFmtId="0" fontId="44" fillId="0" borderId="2" xfId="0" applyFont="1" applyBorder="1" applyAlignment="1">
      <alignment wrapText="1"/>
    </xf>
    <xf numFmtId="0" fontId="44" fillId="0" borderId="0" xfId="0" applyFont="1" applyAlignment="1">
      <alignment wrapText="1"/>
    </xf>
    <xf numFmtId="0" fontId="44" fillId="0" borderId="2" xfId="0" applyFont="1" applyBorder="1" applyAlignment="1">
      <alignment horizontal="center" wrapText="1"/>
    </xf>
    <xf numFmtId="0" fontId="44" fillId="0" borderId="3" xfId="0" applyFont="1" applyBorder="1" applyAlignment="1">
      <alignment horizontal="center" wrapText="1"/>
    </xf>
    <xf numFmtId="14" fontId="44" fillId="0" borderId="2" xfId="0" applyNumberFormat="1" applyFont="1" applyBorder="1" applyAlignment="1">
      <alignment horizontal="center" wrapText="1"/>
    </xf>
    <xf numFmtId="14" fontId="44" fillId="0" borderId="3" xfId="0" applyNumberFormat="1" applyFont="1" applyBorder="1" applyAlignment="1">
      <alignment horizontal="center" wrapText="1"/>
    </xf>
    <xf numFmtId="0" fontId="44" fillId="0" borderId="5" xfId="0" applyFont="1" applyBorder="1" applyAlignment="1">
      <alignment horizontal="center" wrapText="1"/>
    </xf>
    <xf numFmtId="0" fontId="43" fillId="0" borderId="3" xfId="0" applyFont="1" applyBorder="1" applyAlignment="1">
      <alignment horizontal="center" wrapText="1"/>
    </xf>
    <xf numFmtId="0" fontId="43" fillId="0" borderId="2" xfId="0" applyFont="1" applyBorder="1" applyAlignment="1">
      <alignment wrapText="1"/>
    </xf>
    <xf numFmtId="0" fontId="43" fillId="0" borderId="0" xfId="0" applyFont="1" applyAlignment="1">
      <alignment wrapText="1"/>
    </xf>
    <xf numFmtId="0" fontId="43" fillId="0" borderId="2" xfId="0" applyFont="1" applyBorder="1" applyAlignment="1">
      <alignment horizontal="center" wrapText="1"/>
    </xf>
    <xf numFmtId="14" fontId="43" fillId="0" borderId="2" xfId="0" applyNumberFormat="1" applyFont="1" applyBorder="1" applyAlignment="1">
      <alignment horizontal="center" wrapText="1"/>
    </xf>
    <xf numFmtId="14" fontId="43" fillId="0" borderId="3" xfId="0" applyNumberFormat="1" applyFont="1" applyBorder="1" applyAlignment="1">
      <alignment horizontal="center" wrapText="1"/>
    </xf>
    <xf numFmtId="0" fontId="43" fillId="0" borderId="5" xfId="0" applyFont="1" applyBorder="1" applyAlignment="1">
      <alignment horizontal="center" wrapText="1"/>
    </xf>
    <xf numFmtId="0" fontId="42" fillId="0" borderId="2" xfId="0" applyFont="1" applyBorder="1" applyAlignment="1">
      <alignment wrapText="1"/>
    </xf>
    <xf numFmtId="0" fontId="42" fillId="0" borderId="0" xfId="0" applyFont="1" applyAlignment="1">
      <alignment wrapText="1"/>
    </xf>
    <xf numFmtId="0" fontId="42" fillId="0" borderId="2" xfId="0" applyFont="1" applyBorder="1" applyAlignment="1">
      <alignment horizontal="center" wrapText="1"/>
    </xf>
    <xf numFmtId="0" fontId="42" fillId="0" borderId="3" xfId="0" applyFont="1" applyBorder="1" applyAlignment="1">
      <alignment horizontal="center" wrapText="1"/>
    </xf>
    <xf numFmtId="14" fontId="42" fillId="0" borderId="2" xfId="0" applyNumberFormat="1" applyFont="1" applyBorder="1" applyAlignment="1">
      <alignment horizontal="center" wrapText="1"/>
    </xf>
    <xf numFmtId="0" fontId="42" fillId="0" borderId="5" xfId="0" applyFont="1" applyBorder="1" applyAlignment="1">
      <alignment horizontal="center" wrapText="1"/>
    </xf>
    <xf numFmtId="14" fontId="42" fillId="0" borderId="3" xfId="0" applyNumberFormat="1" applyFont="1" applyBorder="1" applyAlignment="1">
      <alignment horizontal="center" wrapText="1"/>
    </xf>
    <xf numFmtId="0" fontId="41" fillId="0" borderId="2" xfId="0" applyFont="1" applyBorder="1" applyAlignment="1">
      <alignment wrapText="1"/>
    </xf>
    <xf numFmtId="0" fontId="41" fillId="0" borderId="0" xfId="0" applyFont="1" applyAlignment="1">
      <alignment wrapText="1"/>
    </xf>
    <xf numFmtId="0" fontId="41" fillId="0" borderId="2" xfId="0" applyFont="1" applyBorder="1" applyAlignment="1">
      <alignment horizontal="center" wrapText="1"/>
    </xf>
    <xf numFmtId="0" fontId="41" fillId="0" borderId="3" xfId="0" applyFont="1" applyBorder="1" applyAlignment="1">
      <alignment horizontal="center" wrapText="1"/>
    </xf>
    <xf numFmtId="14" fontId="41" fillId="0" borderId="2" xfId="0" applyNumberFormat="1" applyFont="1" applyBorder="1" applyAlignment="1">
      <alignment horizontal="center" wrapText="1"/>
    </xf>
    <xf numFmtId="14" fontId="41" fillId="0" borderId="3" xfId="0" applyNumberFormat="1" applyFont="1" applyBorder="1" applyAlignment="1">
      <alignment horizontal="center" wrapText="1"/>
    </xf>
    <xf numFmtId="0" fontId="41" fillId="0" borderId="5" xfId="0" applyFont="1" applyBorder="1" applyAlignment="1">
      <alignment horizontal="center" wrapText="1"/>
    </xf>
    <xf numFmtId="165" fontId="0" fillId="0" borderId="2" xfId="0" applyNumberFormat="1" applyBorder="1" applyAlignment="1">
      <alignment horizontal="center"/>
    </xf>
    <xf numFmtId="0" fontId="40" fillId="0" borderId="0" xfId="0" applyFont="1" applyAlignment="1">
      <alignment horizontal="center"/>
    </xf>
    <xf numFmtId="0" fontId="40" fillId="0" borderId="2" xfId="0" applyFont="1" applyBorder="1" applyAlignment="1">
      <alignment wrapText="1"/>
    </xf>
    <xf numFmtId="0" fontId="40" fillId="0" borderId="0" xfId="0" applyFont="1" applyAlignment="1">
      <alignment wrapText="1"/>
    </xf>
    <xf numFmtId="0" fontId="40" fillId="0" borderId="2" xfId="0" applyFont="1" applyBorder="1" applyAlignment="1">
      <alignment horizontal="center" wrapText="1"/>
    </xf>
    <xf numFmtId="0" fontId="40" fillId="0" borderId="3" xfId="0" applyFont="1" applyBorder="1" applyAlignment="1">
      <alignment horizontal="center" wrapText="1"/>
    </xf>
    <xf numFmtId="14" fontId="40" fillId="0" borderId="2" xfId="0" applyNumberFormat="1" applyFont="1" applyBorder="1" applyAlignment="1">
      <alignment horizontal="center" wrapText="1"/>
    </xf>
    <xf numFmtId="14" fontId="40" fillId="0" borderId="3" xfId="0" applyNumberFormat="1" applyFont="1" applyBorder="1" applyAlignment="1">
      <alignment horizontal="center" wrapText="1"/>
    </xf>
    <xf numFmtId="0" fontId="40" fillId="0" borderId="5" xfId="0" applyFont="1" applyBorder="1" applyAlignment="1">
      <alignment horizontal="center" wrapText="1"/>
    </xf>
    <xf numFmtId="0" fontId="39" fillId="0" borderId="2" xfId="0" applyFont="1" applyBorder="1" applyAlignment="1">
      <alignment wrapText="1"/>
    </xf>
    <xf numFmtId="0" fontId="39" fillId="0" borderId="0" xfId="0" applyFont="1" applyAlignment="1">
      <alignment wrapText="1"/>
    </xf>
    <xf numFmtId="0" fontId="39" fillId="0" borderId="2" xfId="0" applyFont="1" applyBorder="1" applyAlignment="1">
      <alignment horizontal="center" wrapText="1"/>
    </xf>
    <xf numFmtId="0" fontId="39" fillId="0" borderId="3" xfId="0" applyFont="1" applyBorder="1" applyAlignment="1">
      <alignment horizontal="center" wrapText="1"/>
    </xf>
    <xf numFmtId="14" fontId="39" fillId="0" borderId="2" xfId="0" applyNumberFormat="1" applyFont="1" applyBorder="1" applyAlignment="1">
      <alignment horizontal="center" wrapText="1"/>
    </xf>
    <xf numFmtId="0" fontId="39" fillId="0" borderId="5" xfId="0" applyFont="1" applyBorder="1" applyAlignment="1">
      <alignment horizontal="center" wrapText="1"/>
    </xf>
    <xf numFmtId="14" fontId="39" fillId="0" borderId="3" xfId="0" applyNumberFormat="1" applyFont="1" applyBorder="1" applyAlignment="1">
      <alignment horizontal="center" wrapText="1"/>
    </xf>
    <xf numFmtId="0" fontId="38" fillId="0" borderId="2" xfId="0" applyFont="1" applyBorder="1" applyAlignment="1">
      <alignment wrapText="1"/>
    </xf>
    <xf numFmtId="0" fontId="38" fillId="0" borderId="0" xfId="0" applyFont="1" applyAlignment="1">
      <alignment wrapText="1"/>
    </xf>
    <xf numFmtId="0" fontId="38" fillId="0" borderId="2" xfId="0" applyFont="1" applyBorder="1" applyAlignment="1">
      <alignment horizontal="center" wrapText="1"/>
    </xf>
    <xf numFmtId="0" fontId="38" fillId="0" borderId="3" xfId="0" applyFont="1" applyBorder="1" applyAlignment="1">
      <alignment horizontal="center" wrapText="1"/>
    </xf>
    <xf numFmtId="14" fontId="38" fillId="0" borderId="2" xfId="0" applyNumberFormat="1" applyFont="1" applyBorder="1" applyAlignment="1">
      <alignment horizontal="center" wrapText="1"/>
    </xf>
    <xf numFmtId="14" fontId="38" fillId="0" borderId="3" xfId="0" applyNumberFormat="1" applyFont="1" applyBorder="1" applyAlignment="1">
      <alignment horizontal="center" wrapText="1"/>
    </xf>
    <xf numFmtId="0" fontId="38" fillId="0" borderId="5" xfId="0" applyFont="1" applyBorder="1" applyAlignment="1">
      <alignment horizontal="center" wrapText="1"/>
    </xf>
    <xf numFmtId="0" fontId="37" fillId="0" borderId="0" xfId="0" applyFont="1" applyAlignment="1">
      <alignment horizontal="center"/>
    </xf>
    <xf numFmtId="0" fontId="37" fillId="0" borderId="2" xfId="0" applyFont="1" applyBorder="1" applyAlignment="1">
      <alignment wrapText="1"/>
    </xf>
    <xf numFmtId="0" fontId="37" fillId="0" borderId="0" xfId="0" applyFont="1" applyAlignment="1">
      <alignment wrapText="1"/>
    </xf>
    <xf numFmtId="0" fontId="37" fillId="0" borderId="2" xfId="0" applyFont="1" applyBorder="1" applyAlignment="1">
      <alignment horizontal="center" wrapText="1"/>
    </xf>
    <xf numFmtId="0" fontId="37" fillId="0" borderId="3" xfId="0" applyFont="1" applyBorder="1" applyAlignment="1">
      <alignment horizontal="center" wrapText="1"/>
    </xf>
    <xf numFmtId="14" fontId="37" fillId="0" borderId="2" xfId="0" applyNumberFormat="1" applyFont="1" applyBorder="1" applyAlignment="1">
      <alignment horizontal="center" wrapText="1"/>
    </xf>
    <xf numFmtId="14" fontId="37" fillId="0" borderId="3" xfId="0" applyNumberFormat="1" applyFont="1" applyBorder="1" applyAlignment="1">
      <alignment horizontal="center" wrapText="1"/>
    </xf>
    <xf numFmtId="0" fontId="37" fillId="0" borderId="5" xfId="0" applyFont="1" applyBorder="1" applyAlignment="1">
      <alignment horizontal="center" wrapText="1"/>
    </xf>
    <xf numFmtId="0" fontId="36" fillId="0" borderId="2" xfId="0" applyFont="1" applyBorder="1" applyAlignment="1">
      <alignment wrapText="1"/>
    </xf>
    <xf numFmtId="0" fontId="36" fillId="0" borderId="0" xfId="0" applyFont="1" applyAlignment="1">
      <alignment wrapText="1"/>
    </xf>
    <xf numFmtId="0" fontId="36" fillId="0" borderId="2" xfId="0" applyFont="1" applyBorder="1" applyAlignment="1">
      <alignment horizontal="center" wrapText="1"/>
    </xf>
    <xf numFmtId="0" fontId="36" fillId="0" borderId="3" xfId="0" applyFont="1" applyBorder="1" applyAlignment="1">
      <alignment horizontal="center" wrapText="1"/>
    </xf>
    <xf numFmtId="14" fontId="36" fillId="0" borderId="2" xfId="0" applyNumberFormat="1" applyFont="1" applyBorder="1" applyAlignment="1">
      <alignment horizontal="center" wrapText="1"/>
    </xf>
    <xf numFmtId="14" fontId="36" fillId="0" borderId="3" xfId="0" applyNumberFormat="1" applyFont="1" applyBorder="1" applyAlignment="1">
      <alignment horizontal="center" wrapText="1"/>
    </xf>
    <xf numFmtId="0" fontId="36" fillId="0" borderId="5" xfId="0" applyFont="1" applyBorder="1" applyAlignment="1">
      <alignment horizontal="center" wrapText="1"/>
    </xf>
    <xf numFmtId="0" fontId="35" fillId="0" borderId="2" xfId="0" applyFont="1" applyBorder="1" applyAlignment="1">
      <alignment wrapText="1"/>
    </xf>
    <xf numFmtId="0" fontId="35" fillId="0" borderId="0" xfId="0" applyFont="1" applyAlignment="1">
      <alignment wrapText="1"/>
    </xf>
    <xf numFmtId="0" fontId="35" fillId="0" borderId="2" xfId="0" applyFont="1" applyBorder="1" applyAlignment="1">
      <alignment horizontal="center" wrapText="1"/>
    </xf>
    <xf numFmtId="0" fontId="35" fillId="0" borderId="3" xfId="0" applyFont="1" applyBorder="1" applyAlignment="1">
      <alignment horizontal="center" wrapText="1"/>
    </xf>
    <xf numFmtId="14" fontId="35" fillId="0" borderId="2" xfId="0" applyNumberFormat="1" applyFont="1" applyBorder="1" applyAlignment="1">
      <alignment horizontal="center" wrapText="1"/>
    </xf>
    <xf numFmtId="0" fontId="35" fillId="0" borderId="5" xfId="0" applyFont="1" applyBorder="1" applyAlignment="1">
      <alignment horizontal="center" wrapText="1"/>
    </xf>
    <xf numFmtId="14" fontId="35" fillId="0" borderId="3" xfId="0" applyNumberFormat="1" applyFont="1" applyBorder="1" applyAlignment="1">
      <alignment horizontal="center" wrapText="1"/>
    </xf>
    <xf numFmtId="0" fontId="34" fillId="0" borderId="2" xfId="0" applyFont="1" applyBorder="1" applyAlignment="1">
      <alignment wrapText="1"/>
    </xf>
    <xf numFmtId="0" fontId="34" fillId="0" borderId="0" xfId="0" applyFont="1" applyAlignment="1">
      <alignment wrapText="1"/>
    </xf>
    <xf numFmtId="0" fontId="34" fillId="0" borderId="2" xfId="0" applyFont="1" applyBorder="1" applyAlignment="1">
      <alignment horizontal="center" wrapText="1"/>
    </xf>
    <xf numFmtId="0" fontId="34" fillId="0" borderId="3" xfId="0" applyFont="1" applyBorder="1" applyAlignment="1">
      <alignment horizontal="center" wrapText="1"/>
    </xf>
    <xf numFmtId="14" fontId="34" fillId="0" borderId="2" xfId="0" applyNumberFormat="1" applyFont="1" applyBorder="1" applyAlignment="1">
      <alignment horizontal="center" wrapText="1"/>
    </xf>
    <xf numFmtId="14" fontId="34" fillId="0" borderId="3" xfId="0" applyNumberFormat="1" applyFont="1" applyBorder="1" applyAlignment="1">
      <alignment horizontal="center" wrapText="1"/>
    </xf>
    <xf numFmtId="0" fontId="34" fillId="0" borderId="5" xfId="0" applyFont="1" applyBorder="1" applyAlignment="1">
      <alignment horizontal="center" wrapText="1"/>
    </xf>
    <xf numFmtId="0" fontId="33" fillId="0" borderId="2" xfId="0" applyFont="1" applyBorder="1" applyAlignment="1">
      <alignment wrapText="1"/>
    </xf>
    <xf numFmtId="0" fontId="33" fillId="0" borderId="0" xfId="0" applyFont="1" applyAlignment="1">
      <alignment wrapText="1"/>
    </xf>
    <xf numFmtId="0" fontId="33" fillId="0" borderId="2" xfId="0" applyFont="1" applyBorder="1" applyAlignment="1">
      <alignment horizontal="center" wrapText="1"/>
    </xf>
    <xf numFmtId="0" fontId="33" fillId="0" borderId="3" xfId="0" applyFont="1" applyBorder="1" applyAlignment="1">
      <alignment horizontal="center" wrapText="1"/>
    </xf>
    <xf numFmtId="14" fontId="33" fillId="0" borderId="2" xfId="0" applyNumberFormat="1" applyFont="1" applyBorder="1" applyAlignment="1">
      <alignment horizontal="center" wrapText="1"/>
    </xf>
    <xf numFmtId="14" fontId="33" fillId="0" borderId="3" xfId="0" applyNumberFormat="1" applyFont="1" applyBorder="1" applyAlignment="1">
      <alignment horizontal="center" wrapText="1"/>
    </xf>
    <xf numFmtId="0" fontId="33" fillId="0" borderId="5" xfId="0" applyFont="1" applyBorder="1" applyAlignment="1">
      <alignment horizontal="center" wrapText="1"/>
    </xf>
    <xf numFmtId="0" fontId="32" fillId="0" borderId="2" xfId="0" applyFont="1" applyBorder="1" applyAlignment="1">
      <alignment wrapText="1"/>
    </xf>
    <xf numFmtId="0" fontId="32" fillId="0" borderId="0" xfId="0" applyFont="1" applyAlignment="1">
      <alignment wrapText="1"/>
    </xf>
    <xf numFmtId="0" fontId="32" fillId="0" borderId="2" xfId="0" applyFont="1" applyBorder="1" applyAlignment="1">
      <alignment horizontal="center" wrapText="1"/>
    </xf>
    <xf numFmtId="0" fontId="32" fillId="0" borderId="3" xfId="0" applyFont="1" applyBorder="1" applyAlignment="1">
      <alignment horizontal="center" wrapText="1"/>
    </xf>
    <xf numFmtId="14" fontId="32" fillId="0" borderId="2" xfId="0" applyNumberFormat="1" applyFont="1" applyBorder="1" applyAlignment="1">
      <alignment horizontal="center" wrapText="1"/>
    </xf>
    <xf numFmtId="0" fontId="32" fillId="0" borderId="5" xfId="0" applyFont="1" applyBorder="1" applyAlignment="1">
      <alignment horizontal="center" wrapText="1"/>
    </xf>
    <xf numFmtId="14" fontId="32" fillId="0" borderId="3" xfId="0" applyNumberFormat="1" applyFont="1" applyBorder="1" applyAlignment="1">
      <alignment horizontal="center" wrapText="1"/>
    </xf>
    <xf numFmtId="0" fontId="31" fillId="0" borderId="2" xfId="0" applyFont="1" applyBorder="1" applyAlignment="1">
      <alignment wrapText="1"/>
    </xf>
    <xf numFmtId="0" fontId="31" fillId="0" borderId="0" xfId="0" applyFont="1" applyAlignment="1">
      <alignment wrapText="1"/>
    </xf>
    <xf numFmtId="0" fontId="31" fillId="0" borderId="2" xfId="0" applyFont="1" applyBorder="1" applyAlignment="1">
      <alignment horizontal="center" wrapText="1"/>
    </xf>
    <xf numFmtId="0" fontId="31" fillId="0" borderId="3" xfId="0" applyFont="1" applyBorder="1" applyAlignment="1">
      <alignment horizontal="center" wrapText="1"/>
    </xf>
    <xf numFmtId="14" fontId="31" fillId="0" borderId="2" xfId="0" applyNumberFormat="1" applyFont="1" applyBorder="1" applyAlignment="1">
      <alignment horizontal="center" wrapText="1"/>
    </xf>
    <xf numFmtId="14" fontId="31" fillId="0" borderId="3" xfId="0" applyNumberFormat="1" applyFont="1" applyBorder="1" applyAlignment="1">
      <alignment horizontal="center" wrapText="1"/>
    </xf>
    <xf numFmtId="0" fontId="31" fillId="0" borderId="5" xfId="0" applyFont="1" applyBorder="1" applyAlignment="1">
      <alignment horizontal="center" wrapText="1"/>
    </xf>
    <xf numFmtId="0" fontId="30" fillId="0" borderId="2" xfId="0" applyFont="1" applyBorder="1" applyAlignment="1">
      <alignment wrapText="1"/>
    </xf>
    <xf numFmtId="0" fontId="30" fillId="0" borderId="0" xfId="0" applyFont="1" applyAlignment="1">
      <alignment wrapText="1"/>
    </xf>
    <xf numFmtId="0" fontId="30" fillId="0" borderId="2" xfId="0" applyFont="1" applyBorder="1" applyAlignment="1">
      <alignment horizontal="center" wrapText="1"/>
    </xf>
    <xf numFmtId="0" fontId="30" fillId="0" borderId="3" xfId="0" applyFont="1" applyBorder="1" applyAlignment="1">
      <alignment horizontal="center" wrapText="1"/>
    </xf>
    <xf numFmtId="14" fontId="30" fillId="0" borderId="2" xfId="0" applyNumberFormat="1" applyFont="1" applyBorder="1" applyAlignment="1">
      <alignment horizontal="center" wrapText="1"/>
    </xf>
    <xf numFmtId="14" fontId="30" fillId="0" borderId="3" xfId="0" applyNumberFormat="1" applyFont="1" applyBorder="1" applyAlignment="1">
      <alignment horizontal="center" wrapText="1"/>
    </xf>
    <xf numFmtId="0" fontId="30" fillId="0" borderId="5" xfId="0" applyFont="1" applyBorder="1" applyAlignment="1">
      <alignment horizontal="center" wrapText="1"/>
    </xf>
    <xf numFmtId="0" fontId="29" fillId="0" borderId="2" xfId="0" applyFont="1" applyBorder="1" applyAlignment="1">
      <alignment wrapText="1"/>
    </xf>
    <xf numFmtId="0" fontId="29" fillId="0" borderId="0" xfId="0" applyFont="1" applyAlignment="1">
      <alignment wrapText="1"/>
    </xf>
    <xf numFmtId="0" fontId="29" fillId="0" borderId="2" xfId="0" applyFont="1" applyBorder="1" applyAlignment="1">
      <alignment horizontal="center" wrapText="1"/>
    </xf>
    <xf numFmtId="0" fontId="29" fillId="0" borderId="3" xfId="0" applyFont="1" applyBorder="1" applyAlignment="1">
      <alignment horizontal="center" wrapText="1"/>
    </xf>
    <xf numFmtId="14" fontId="29" fillId="0" borderId="2" xfId="0" applyNumberFormat="1" applyFont="1" applyBorder="1" applyAlignment="1">
      <alignment horizontal="center" wrapText="1"/>
    </xf>
    <xf numFmtId="14" fontId="29" fillId="0" borderId="3" xfId="0" applyNumberFormat="1" applyFont="1" applyBorder="1" applyAlignment="1">
      <alignment horizontal="center" wrapText="1"/>
    </xf>
    <xf numFmtId="0" fontId="29" fillId="0" borderId="5" xfId="0" applyFont="1" applyBorder="1" applyAlignment="1">
      <alignment horizontal="center" wrapText="1"/>
    </xf>
    <xf numFmtId="0" fontId="28" fillId="0" borderId="2" xfId="0" applyFont="1" applyBorder="1" applyAlignment="1">
      <alignment wrapText="1"/>
    </xf>
    <xf numFmtId="0" fontId="28" fillId="0" borderId="0" xfId="0" applyFont="1" applyAlignment="1">
      <alignment wrapText="1"/>
    </xf>
    <xf numFmtId="0" fontId="28" fillId="0" borderId="2" xfId="0" applyFont="1" applyBorder="1" applyAlignment="1">
      <alignment horizontal="center" wrapText="1"/>
    </xf>
    <xf numFmtId="0" fontId="28" fillId="0" borderId="3" xfId="0" applyFont="1" applyBorder="1" applyAlignment="1">
      <alignment horizontal="center" wrapText="1"/>
    </xf>
    <xf numFmtId="14" fontId="28" fillId="0" borderId="2" xfId="0" applyNumberFormat="1" applyFont="1" applyBorder="1" applyAlignment="1">
      <alignment horizontal="center" wrapText="1"/>
    </xf>
    <xf numFmtId="0" fontId="28" fillId="0" borderId="5" xfId="0" applyFont="1" applyBorder="1" applyAlignment="1">
      <alignment horizontal="center" wrapText="1"/>
    </xf>
    <xf numFmtId="14" fontId="28" fillId="0" borderId="3" xfId="0" applyNumberFormat="1" applyFont="1" applyBorder="1" applyAlignment="1">
      <alignment horizontal="center" wrapText="1"/>
    </xf>
    <xf numFmtId="0" fontId="28" fillId="0" borderId="0" xfId="0" applyFont="1" applyAlignment="1">
      <alignment horizontal="center"/>
    </xf>
    <xf numFmtId="0" fontId="27" fillId="0" borderId="2" xfId="0" applyFont="1" applyBorder="1" applyAlignment="1">
      <alignment wrapText="1"/>
    </xf>
    <xf numFmtId="0" fontId="27" fillId="0" borderId="0" xfId="0" applyFont="1" applyAlignment="1">
      <alignment wrapText="1"/>
    </xf>
    <xf numFmtId="0" fontId="27" fillId="0" borderId="2" xfId="0" applyFont="1" applyBorder="1" applyAlignment="1">
      <alignment horizontal="center" wrapText="1"/>
    </xf>
    <xf numFmtId="0" fontId="27" fillId="0" borderId="3" xfId="0" applyFont="1" applyBorder="1" applyAlignment="1">
      <alignment horizontal="center" wrapText="1"/>
    </xf>
    <xf numFmtId="14" fontId="27" fillId="0" borderId="2" xfId="0" applyNumberFormat="1" applyFont="1" applyBorder="1" applyAlignment="1">
      <alignment horizontal="center" wrapText="1"/>
    </xf>
    <xf numFmtId="14" fontId="27" fillId="0" borderId="3" xfId="0" applyNumberFormat="1" applyFont="1" applyBorder="1" applyAlignment="1">
      <alignment horizontal="center" wrapText="1"/>
    </xf>
    <xf numFmtId="0" fontId="27" fillId="0" borderId="5" xfId="0" applyFont="1" applyBorder="1" applyAlignment="1">
      <alignment horizontal="center" wrapText="1"/>
    </xf>
    <xf numFmtId="0" fontId="26" fillId="0" borderId="2" xfId="0" applyFont="1" applyBorder="1" applyAlignment="1">
      <alignment wrapText="1"/>
    </xf>
    <xf numFmtId="0" fontId="26" fillId="0" borderId="0" xfId="0" applyFont="1" applyAlignment="1">
      <alignment wrapText="1"/>
    </xf>
    <xf numFmtId="0" fontId="26" fillId="0" borderId="2" xfId="0" applyFont="1" applyBorder="1" applyAlignment="1">
      <alignment horizontal="center" wrapText="1"/>
    </xf>
    <xf numFmtId="0" fontId="26" fillId="0" borderId="3" xfId="0" applyFont="1" applyBorder="1" applyAlignment="1">
      <alignment horizontal="center" wrapText="1"/>
    </xf>
    <xf numFmtId="14" fontId="26" fillId="0" borderId="2" xfId="0" applyNumberFormat="1" applyFont="1" applyBorder="1" applyAlignment="1">
      <alignment horizontal="center" wrapText="1"/>
    </xf>
    <xf numFmtId="14" fontId="26" fillId="0" borderId="3" xfId="0" applyNumberFormat="1" applyFont="1" applyBorder="1" applyAlignment="1">
      <alignment horizontal="center" wrapText="1"/>
    </xf>
    <xf numFmtId="0" fontId="26" fillId="0" borderId="5" xfId="0" applyFont="1" applyBorder="1" applyAlignment="1">
      <alignment horizontal="center" wrapText="1"/>
    </xf>
    <xf numFmtId="0" fontId="26" fillId="0" borderId="0" xfId="0" applyFont="1" applyAlignment="1">
      <alignment horizontal="center"/>
    </xf>
    <xf numFmtId="0" fontId="25" fillId="0" borderId="2" xfId="0" applyFont="1" applyBorder="1" applyAlignment="1">
      <alignment wrapText="1"/>
    </xf>
    <xf numFmtId="0" fontId="25" fillId="0" borderId="0" xfId="0" applyFont="1" applyAlignment="1">
      <alignment wrapText="1"/>
    </xf>
    <xf numFmtId="0" fontId="25" fillId="0" borderId="2" xfId="0" applyFont="1" applyBorder="1" applyAlignment="1">
      <alignment horizontal="center" wrapText="1"/>
    </xf>
    <xf numFmtId="0" fontId="25" fillId="0" borderId="3" xfId="0" applyFont="1" applyBorder="1" applyAlignment="1">
      <alignment horizontal="center" wrapText="1"/>
    </xf>
    <xf numFmtId="14" fontId="25" fillId="0" borderId="2" xfId="0" applyNumberFormat="1" applyFont="1" applyBorder="1" applyAlignment="1">
      <alignment horizontal="center" wrapText="1"/>
    </xf>
    <xf numFmtId="14" fontId="25" fillId="0" borderId="3" xfId="0" applyNumberFormat="1" applyFont="1" applyBorder="1" applyAlignment="1">
      <alignment horizontal="center" wrapText="1"/>
    </xf>
    <xf numFmtId="0" fontId="25" fillId="0" borderId="5" xfId="0" applyFont="1" applyBorder="1" applyAlignment="1">
      <alignment horizontal="center" wrapText="1"/>
    </xf>
    <xf numFmtId="0" fontId="24" fillId="0" borderId="2" xfId="0" applyFont="1" applyBorder="1" applyAlignment="1">
      <alignment wrapText="1"/>
    </xf>
    <xf numFmtId="0" fontId="24" fillId="0" borderId="0" xfId="0" applyFont="1" applyAlignment="1">
      <alignment wrapText="1"/>
    </xf>
    <xf numFmtId="0" fontId="24" fillId="0" borderId="3" xfId="0" applyFont="1" applyBorder="1" applyAlignment="1">
      <alignment horizontal="center" wrapText="1"/>
    </xf>
    <xf numFmtId="14" fontId="24" fillId="0" borderId="2" xfId="0" applyNumberFormat="1" applyFont="1" applyBorder="1" applyAlignment="1">
      <alignment horizontal="center" wrapText="1"/>
    </xf>
    <xf numFmtId="14" fontId="24" fillId="0" borderId="3" xfId="0" applyNumberFormat="1" applyFont="1" applyBorder="1" applyAlignment="1">
      <alignment horizontal="center" wrapText="1"/>
    </xf>
    <xf numFmtId="0" fontId="24" fillId="0" borderId="5" xfId="0" applyFont="1" applyBorder="1" applyAlignment="1">
      <alignment horizontal="center" wrapText="1"/>
    </xf>
    <xf numFmtId="0" fontId="23" fillId="0" borderId="2" xfId="0" applyFont="1" applyBorder="1" applyAlignment="1">
      <alignment wrapText="1"/>
    </xf>
    <xf numFmtId="0" fontId="23" fillId="0" borderId="0" xfId="0" applyFont="1" applyAlignment="1">
      <alignment wrapText="1"/>
    </xf>
    <xf numFmtId="0" fontId="23" fillId="0" borderId="2" xfId="0" applyFont="1" applyBorder="1" applyAlignment="1">
      <alignment horizontal="center" wrapText="1"/>
    </xf>
    <xf numFmtId="0" fontId="23" fillId="0" borderId="3" xfId="0" applyFont="1" applyBorder="1" applyAlignment="1">
      <alignment horizontal="center" wrapText="1"/>
    </xf>
    <xf numFmtId="14" fontId="23" fillId="0" borderId="2" xfId="0" applyNumberFormat="1" applyFont="1" applyBorder="1" applyAlignment="1">
      <alignment horizontal="center" wrapText="1"/>
    </xf>
    <xf numFmtId="14" fontId="23" fillId="0" borderId="3" xfId="0" applyNumberFormat="1" applyFont="1" applyBorder="1" applyAlignment="1">
      <alignment horizontal="center" wrapText="1"/>
    </xf>
    <xf numFmtId="0" fontId="23" fillId="0" borderId="5" xfId="0" applyFont="1" applyBorder="1" applyAlignment="1">
      <alignment horizontal="center" wrapText="1"/>
    </xf>
    <xf numFmtId="0" fontId="22" fillId="0" borderId="2" xfId="0" applyFont="1" applyBorder="1" applyAlignment="1">
      <alignment wrapText="1"/>
    </xf>
    <xf numFmtId="0" fontId="22" fillId="0" borderId="0" xfId="0" applyFont="1" applyAlignment="1">
      <alignment wrapText="1"/>
    </xf>
    <xf numFmtId="0" fontId="22" fillId="0" borderId="2" xfId="0" applyFont="1" applyBorder="1" applyAlignment="1">
      <alignment horizontal="center" wrapText="1"/>
    </xf>
    <xf numFmtId="0" fontId="22" fillId="0" borderId="3" xfId="0" applyFont="1" applyBorder="1" applyAlignment="1">
      <alignment horizontal="center" wrapText="1"/>
    </xf>
    <xf numFmtId="14" fontId="22" fillId="0" borderId="2" xfId="0" applyNumberFormat="1" applyFont="1" applyBorder="1" applyAlignment="1">
      <alignment horizontal="center" wrapText="1"/>
    </xf>
    <xf numFmtId="0" fontId="22" fillId="0" borderId="5" xfId="0" applyFont="1" applyBorder="1" applyAlignment="1">
      <alignment horizontal="center" wrapText="1"/>
    </xf>
    <xf numFmtId="14" fontId="22" fillId="0" borderId="3" xfId="0" applyNumberFormat="1" applyFont="1" applyBorder="1" applyAlignment="1">
      <alignment horizontal="center" wrapText="1"/>
    </xf>
    <xf numFmtId="0" fontId="22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216" fillId="0" borderId="0" xfId="0" applyFont="1" applyAlignment="1">
      <alignment horizontal="center"/>
    </xf>
    <xf numFmtId="0" fontId="201" fillId="4" borderId="18" xfId="0" applyFont="1" applyFill="1" applyBorder="1" applyAlignment="1">
      <alignment horizontal="center"/>
    </xf>
    <xf numFmtId="0" fontId="216" fillId="0" borderId="35" xfId="0" applyFont="1" applyBorder="1" applyAlignment="1">
      <alignment horizontal="center"/>
    </xf>
    <xf numFmtId="0" fontId="0" fillId="0" borderId="24" xfId="0" applyBorder="1"/>
    <xf numFmtId="0" fontId="0" fillId="0" borderId="36" xfId="0" applyBorder="1"/>
    <xf numFmtId="0" fontId="20" fillId="0" borderId="2" xfId="0" applyFont="1" applyBorder="1" applyAlignment="1">
      <alignment wrapText="1"/>
    </xf>
    <xf numFmtId="0" fontId="20" fillId="0" borderId="0" xfId="0" applyFont="1" applyAlignment="1">
      <alignment wrapText="1"/>
    </xf>
    <xf numFmtId="0" fontId="20" fillId="0" borderId="2" xfId="0" applyFont="1" applyBorder="1" applyAlignment="1">
      <alignment horizontal="center" wrapText="1"/>
    </xf>
    <xf numFmtId="0" fontId="20" fillId="0" borderId="3" xfId="0" applyFont="1" applyBorder="1" applyAlignment="1">
      <alignment horizontal="center" wrapText="1"/>
    </xf>
    <xf numFmtId="14" fontId="20" fillId="0" borderId="2" xfId="0" applyNumberFormat="1" applyFont="1" applyBorder="1" applyAlignment="1">
      <alignment horizontal="center" wrapText="1"/>
    </xf>
    <xf numFmtId="14" fontId="20" fillId="0" borderId="3" xfId="0" applyNumberFormat="1" applyFont="1" applyBorder="1" applyAlignment="1">
      <alignment horizontal="center" wrapText="1"/>
    </xf>
    <xf numFmtId="0" fontId="20" fillId="0" borderId="5" xfId="0" applyFont="1" applyBorder="1" applyAlignment="1">
      <alignment horizontal="center" wrapText="1"/>
    </xf>
    <xf numFmtId="0" fontId="20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18" fillId="0" borderId="2" xfId="0" applyFont="1" applyBorder="1" applyAlignment="1">
      <alignment wrapText="1"/>
    </xf>
    <xf numFmtId="0" fontId="18" fillId="0" borderId="0" xfId="0" applyFont="1" applyAlignment="1">
      <alignment wrapText="1"/>
    </xf>
    <xf numFmtId="0" fontId="18" fillId="0" borderId="3" xfId="0" applyFont="1" applyBorder="1" applyAlignment="1">
      <alignment horizontal="center" wrapText="1"/>
    </xf>
    <xf numFmtId="14" fontId="18" fillId="0" borderId="2" xfId="0" applyNumberFormat="1" applyFont="1" applyBorder="1" applyAlignment="1">
      <alignment horizontal="center" wrapText="1"/>
    </xf>
    <xf numFmtId="14" fontId="18" fillId="0" borderId="3" xfId="0" applyNumberFormat="1" applyFont="1" applyBorder="1" applyAlignment="1">
      <alignment horizontal="center" wrapText="1"/>
    </xf>
    <xf numFmtId="0" fontId="18" fillId="0" borderId="5" xfId="0" applyFont="1" applyBorder="1" applyAlignment="1">
      <alignment horizontal="center" wrapText="1"/>
    </xf>
    <xf numFmtId="0" fontId="18" fillId="0" borderId="2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 wrapText="1"/>
    </xf>
    <xf numFmtId="0" fontId="17" fillId="0" borderId="2" xfId="0" applyFont="1" applyBorder="1" applyAlignment="1">
      <alignment wrapText="1"/>
    </xf>
    <xf numFmtId="0" fontId="17" fillId="0" borderId="0" xfId="0" applyFont="1" applyAlignment="1">
      <alignment wrapText="1"/>
    </xf>
    <xf numFmtId="0" fontId="17" fillId="0" borderId="2" xfId="0" applyFont="1" applyBorder="1" applyAlignment="1">
      <alignment horizontal="center" wrapText="1"/>
    </xf>
    <xf numFmtId="0" fontId="17" fillId="0" borderId="3" xfId="0" applyFont="1" applyBorder="1" applyAlignment="1">
      <alignment horizontal="center" wrapText="1"/>
    </xf>
    <xf numFmtId="14" fontId="17" fillId="0" borderId="2" xfId="0" applyNumberFormat="1" applyFont="1" applyBorder="1" applyAlignment="1">
      <alignment horizontal="center" wrapText="1"/>
    </xf>
    <xf numFmtId="14" fontId="17" fillId="0" borderId="3" xfId="0" applyNumberFormat="1" applyFont="1" applyBorder="1" applyAlignment="1">
      <alignment horizontal="center" wrapText="1"/>
    </xf>
    <xf numFmtId="0" fontId="17" fillId="0" borderId="5" xfId="0" applyFont="1" applyBorder="1" applyAlignment="1">
      <alignment horizontal="center" wrapText="1"/>
    </xf>
    <xf numFmtId="0" fontId="16" fillId="0" borderId="2" xfId="0" applyFont="1" applyBorder="1" applyAlignment="1">
      <alignment wrapText="1"/>
    </xf>
    <xf numFmtId="0" fontId="16" fillId="0" borderId="0" xfId="0" applyFont="1" applyAlignment="1">
      <alignment wrapText="1"/>
    </xf>
    <xf numFmtId="0" fontId="16" fillId="0" borderId="2" xfId="0" applyFont="1" applyBorder="1" applyAlignment="1">
      <alignment horizontal="center" wrapText="1"/>
    </xf>
    <xf numFmtId="0" fontId="16" fillId="0" borderId="3" xfId="0" applyFont="1" applyBorder="1" applyAlignment="1">
      <alignment horizontal="center" wrapText="1"/>
    </xf>
    <xf numFmtId="14" fontId="16" fillId="0" borderId="2" xfId="0" applyNumberFormat="1" applyFont="1" applyBorder="1" applyAlignment="1">
      <alignment horizontal="center" wrapText="1"/>
    </xf>
    <xf numFmtId="14" fontId="16" fillId="0" borderId="3" xfId="0" applyNumberFormat="1" applyFont="1" applyBorder="1" applyAlignment="1">
      <alignment horizontal="center" wrapText="1"/>
    </xf>
    <xf numFmtId="0" fontId="16" fillId="0" borderId="5" xfId="0" applyFont="1" applyBorder="1" applyAlignment="1">
      <alignment horizontal="center" wrapText="1"/>
    </xf>
    <xf numFmtId="0" fontId="16" fillId="0" borderId="0" xfId="0" applyFont="1" applyAlignment="1">
      <alignment horizontal="center"/>
    </xf>
    <xf numFmtId="0" fontId="15" fillId="0" borderId="2" xfId="0" applyFont="1" applyBorder="1" applyAlignment="1">
      <alignment wrapText="1"/>
    </xf>
    <xf numFmtId="0" fontId="15" fillId="0" borderId="0" xfId="0" applyFont="1" applyAlignment="1">
      <alignment wrapText="1"/>
    </xf>
    <xf numFmtId="0" fontId="15" fillId="0" borderId="3" xfId="0" applyFont="1" applyBorder="1" applyAlignment="1">
      <alignment horizontal="center" wrapText="1"/>
    </xf>
    <xf numFmtId="14" fontId="15" fillId="0" borderId="2" xfId="0" applyNumberFormat="1" applyFont="1" applyBorder="1" applyAlignment="1">
      <alignment horizontal="center" wrapText="1"/>
    </xf>
    <xf numFmtId="14" fontId="15" fillId="0" borderId="3" xfId="0" applyNumberFormat="1" applyFont="1" applyBorder="1" applyAlignment="1">
      <alignment horizontal="center" wrapText="1"/>
    </xf>
    <xf numFmtId="0" fontId="15" fillId="0" borderId="5" xfId="0" applyFont="1" applyBorder="1" applyAlignment="1">
      <alignment horizontal="center" wrapText="1"/>
    </xf>
    <xf numFmtId="0" fontId="14" fillId="0" borderId="2" xfId="0" applyFont="1" applyBorder="1" applyAlignment="1">
      <alignment wrapText="1"/>
    </xf>
    <xf numFmtId="0" fontId="14" fillId="0" borderId="0" xfId="0" applyFont="1" applyAlignment="1">
      <alignment wrapText="1"/>
    </xf>
    <xf numFmtId="0" fontId="14" fillId="0" borderId="2" xfId="0" applyFont="1" applyBorder="1" applyAlignment="1">
      <alignment horizontal="center" wrapText="1"/>
    </xf>
    <xf numFmtId="0" fontId="14" fillId="0" borderId="3" xfId="0" applyFont="1" applyBorder="1" applyAlignment="1">
      <alignment horizontal="center" wrapText="1"/>
    </xf>
    <xf numFmtId="14" fontId="14" fillId="0" borderId="2" xfId="0" applyNumberFormat="1" applyFont="1" applyBorder="1" applyAlignment="1">
      <alignment horizontal="center" wrapText="1"/>
    </xf>
    <xf numFmtId="14" fontId="14" fillId="0" borderId="3" xfId="0" applyNumberFormat="1" applyFont="1" applyBorder="1" applyAlignment="1">
      <alignment horizontal="center" wrapText="1"/>
    </xf>
    <xf numFmtId="0" fontId="14" fillId="0" borderId="5" xfId="0" applyFont="1" applyBorder="1" applyAlignment="1">
      <alignment horizontal="center" wrapText="1"/>
    </xf>
    <xf numFmtId="0" fontId="13" fillId="0" borderId="2" xfId="0" applyFont="1" applyBorder="1" applyAlignment="1">
      <alignment wrapText="1"/>
    </xf>
    <xf numFmtId="0" fontId="13" fillId="0" borderId="0" xfId="0" applyFont="1" applyAlignment="1">
      <alignment wrapText="1"/>
    </xf>
    <xf numFmtId="0" fontId="13" fillId="0" borderId="3" xfId="0" applyFont="1" applyBorder="1" applyAlignment="1">
      <alignment horizontal="center" wrapText="1"/>
    </xf>
    <xf numFmtId="14" fontId="13" fillId="0" borderId="2" xfId="0" applyNumberFormat="1" applyFont="1" applyBorder="1" applyAlignment="1">
      <alignment horizontal="center" wrapText="1"/>
    </xf>
    <xf numFmtId="14" fontId="13" fillId="0" borderId="3" xfId="0" applyNumberFormat="1" applyFont="1" applyBorder="1" applyAlignment="1">
      <alignment horizontal="center" wrapText="1"/>
    </xf>
    <xf numFmtId="0" fontId="13" fillId="0" borderId="5" xfId="0" applyFont="1" applyBorder="1" applyAlignment="1">
      <alignment horizontal="center" wrapText="1"/>
    </xf>
    <xf numFmtId="0" fontId="13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12" fillId="0" borderId="2" xfId="0" applyFont="1" applyBorder="1" applyAlignment="1">
      <alignment wrapText="1"/>
    </xf>
    <xf numFmtId="0" fontId="12" fillId="0" borderId="0" xfId="0" applyFont="1" applyAlignment="1">
      <alignment wrapText="1"/>
    </xf>
    <xf numFmtId="0" fontId="12" fillId="0" borderId="2" xfId="0" applyFont="1" applyBorder="1" applyAlignment="1">
      <alignment horizontal="center" wrapText="1"/>
    </xf>
    <xf numFmtId="0" fontId="12" fillId="0" borderId="3" xfId="0" applyFont="1" applyBorder="1" applyAlignment="1">
      <alignment horizontal="center" wrapText="1"/>
    </xf>
    <xf numFmtId="14" fontId="12" fillId="0" borderId="2" xfId="0" applyNumberFormat="1" applyFont="1" applyBorder="1" applyAlignment="1">
      <alignment horizontal="center" wrapText="1"/>
    </xf>
    <xf numFmtId="14" fontId="12" fillId="0" borderId="3" xfId="0" applyNumberFormat="1" applyFont="1" applyBorder="1" applyAlignment="1">
      <alignment horizontal="center" wrapText="1"/>
    </xf>
    <xf numFmtId="0" fontId="12" fillId="0" borderId="5" xfId="0" applyFont="1" applyBorder="1" applyAlignment="1">
      <alignment horizontal="center" wrapText="1"/>
    </xf>
    <xf numFmtId="0" fontId="11" fillId="0" borderId="2" xfId="0" applyFont="1" applyBorder="1" applyAlignment="1">
      <alignment wrapText="1"/>
    </xf>
    <xf numFmtId="0" fontId="11" fillId="0" borderId="0" xfId="0" applyFont="1" applyAlignment="1">
      <alignment wrapText="1"/>
    </xf>
    <xf numFmtId="0" fontId="11" fillId="0" borderId="3" xfId="0" applyFont="1" applyBorder="1" applyAlignment="1">
      <alignment horizontal="center" wrapText="1"/>
    </xf>
    <xf numFmtId="14" fontId="11" fillId="0" borderId="2" xfId="0" applyNumberFormat="1" applyFont="1" applyBorder="1" applyAlignment="1">
      <alignment horizontal="center" wrapText="1"/>
    </xf>
    <xf numFmtId="0" fontId="11" fillId="0" borderId="5" xfId="0" applyFont="1" applyBorder="1" applyAlignment="1">
      <alignment horizontal="center" wrapText="1"/>
    </xf>
    <xf numFmtId="0" fontId="10" fillId="0" borderId="2" xfId="0" applyFont="1" applyBorder="1" applyAlignment="1">
      <alignment wrapText="1"/>
    </xf>
    <xf numFmtId="0" fontId="10" fillId="0" borderId="0" xfId="0" applyFont="1" applyAlignment="1">
      <alignment wrapText="1"/>
    </xf>
    <xf numFmtId="0" fontId="10" fillId="0" borderId="2" xfId="0" applyFont="1" applyBorder="1" applyAlignment="1">
      <alignment horizontal="center" wrapText="1"/>
    </xf>
    <xf numFmtId="0" fontId="10" fillId="0" borderId="3" xfId="0" applyFont="1" applyBorder="1" applyAlignment="1">
      <alignment horizontal="center" wrapText="1"/>
    </xf>
    <xf numFmtId="14" fontId="10" fillId="0" borderId="2" xfId="0" applyNumberFormat="1" applyFont="1" applyBorder="1" applyAlignment="1">
      <alignment horizontal="center" wrapText="1"/>
    </xf>
    <xf numFmtId="14" fontId="10" fillId="0" borderId="3" xfId="0" applyNumberFormat="1" applyFont="1" applyBorder="1" applyAlignment="1">
      <alignment horizontal="center" wrapText="1"/>
    </xf>
    <xf numFmtId="0" fontId="10" fillId="0" borderId="5" xfId="0" applyFont="1" applyBorder="1" applyAlignment="1">
      <alignment horizontal="center" wrapText="1"/>
    </xf>
    <xf numFmtId="0" fontId="9" fillId="0" borderId="2" xfId="0" applyFont="1" applyBorder="1" applyAlignment="1">
      <alignment wrapText="1"/>
    </xf>
    <xf numFmtId="0" fontId="9" fillId="0" borderId="0" xfId="0" applyFont="1" applyAlignment="1">
      <alignment wrapText="1"/>
    </xf>
    <xf numFmtId="0" fontId="9" fillId="0" borderId="2" xfId="0" applyFont="1" applyBorder="1" applyAlignment="1">
      <alignment horizontal="center" wrapText="1"/>
    </xf>
    <xf numFmtId="0" fontId="9" fillId="0" borderId="3" xfId="0" applyFont="1" applyBorder="1" applyAlignment="1">
      <alignment horizontal="center" wrapText="1"/>
    </xf>
    <xf numFmtId="14" fontId="9" fillId="0" borderId="2" xfId="0" applyNumberFormat="1" applyFont="1" applyBorder="1" applyAlignment="1">
      <alignment horizontal="center" wrapText="1"/>
    </xf>
    <xf numFmtId="14" fontId="9" fillId="0" borderId="3" xfId="0" applyNumberFormat="1" applyFont="1" applyBorder="1" applyAlignment="1">
      <alignment horizontal="center" wrapText="1"/>
    </xf>
    <xf numFmtId="0" fontId="9" fillId="0" borderId="5" xfId="0" applyFont="1" applyBorder="1" applyAlignment="1">
      <alignment horizontal="center" wrapText="1"/>
    </xf>
    <xf numFmtId="0" fontId="8" fillId="0" borderId="2" xfId="0" applyFont="1" applyBorder="1" applyAlignment="1">
      <alignment wrapText="1"/>
    </xf>
    <xf numFmtId="0" fontId="8" fillId="0" borderId="0" xfId="0" applyFont="1" applyAlignment="1">
      <alignment wrapText="1"/>
    </xf>
    <xf numFmtId="0" fontId="8" fillId="0" borderId="2" xfId="0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4" fontId="8" fillId="0" borderId="2" xfId="0" applyNumberFormat="1" applyFont="1" applyBorder="1" applyAlignment="1">
      <alignment horizontal="center" wrapText="1"/>
    </xf>
    <xf numFmtId="14" fontId="8" fillId="0" borderId="3" xfId="0" applyNumberFormat="1" applyFont="1" applyBorder="1" applyAlignment="1">
      <alignment horizontal="center" wrapText="1"/>
    </xf>
    <xf numFmtId="0" fontId="8" fillId="0" borderId="5" xfId="0" applyFont="1" applyBorder="1" applyAlignment="1">
      <alignment horizontal="center" wrapText="1"/>
    </xf>
    <xf numFmtId="0" fontId="7" fillId="0" borderId="2" xfId="0" applyFont="1" applyBorder="1" applyAlignment="1">
      <alignment wrapText="1"/>
    </xf>
    <xf numFmtId="0" fontId="7" fillId="0" borderId="0" xfId="0" applyFont="1" applyAlignment="1">
      <alignment wrapText="1"/>
    </xf>
    <xf numFmtId="0" fontId="7" fillId="0" borderId="2" xfId="0" applyFont="1" applyBorder="1" applyAlignment="1">
      <alignment horizontal="center" wrapText="1"/>
    </xf>
    <xf numFmtId="0" fontId="7" fillId="0" borderId="3" xfId="0" applyFont="1" applyBorder="1" applyAlignment="1">
      <alignment horizontal="center" wrapText="1"/>
    </xf>
    <xf numFmtId="14" fontId="7" fillId="0" borderId="2" xfId="0" applyNumberFormat="1" applyFont="1" applyBorder="1" applyAlignment="1">
      <alignment horizontal="center" wrapText="1"/>
    </xf>
    <xf numFmtId="14" fontId="7" fillId="0" borderId="3" xfId="0" applyNumberFormat="1" applyFont="1" applyBorder="1" applyAlignment="1">
      <alignment horizontal="center" wrapText="1"/>
    </xf>
    <xf numFmtId="0" fontId="7" fillId="0" borderId="5" xfId="0" applyFont="1" applyBorder="1" applyAlignment="1">
      <alignment horizontal="center" wrapText="1"/>
    </xf>
    <xf numFmtId="0" fontId="6" fillId="0" borderId="0" xfId="0" applyFont="1" applyAlignment="1">
      <alignment horizontal="center"/>
    </xf>
    <xf numFmtId="0" fontId="6" fillId="0" borderId="2" xfId="0" applyFont="1" applyBorder="1" applyAlignment="1">
      <alignment wrapText="1"/>
    </xf>
    <xf numFmtId="0" fontId="6" fillId="0" borderId="0" xfId="0" applyFont="1" applyAlignment="1">
      <alignment wrapText="1"/>
    </xf>
    <xf numFmtId="0" fontId="6" fillId="0" borderId="2" xfId="0" applyFont="1" applyBorder="1" applyAlignment="1">
      <alignment horizontal="center" wrapText="1"/>
    </xf>
    <xf numFmtId="0" fontId="6" fillId="0" borderId="3" xfId="0" applyFont="1" applyBorder="1" applyAlignment="1">
      <alignment horizontal="center" wrapText="1"/>
    </xf>
    <xf numFmtId="14" fontId="6" fillId="0" borderId="2" xfId="0" applyNumberFormat="1" applyFont="1" applyBorder="1" applyAlignment="1">
      <alignment horizontal="center" wrapText="1"/>
    </xf>
    <xf numFmtId="0" fontId="6" fillId="0" borderId="5" xfId="0" applyFont="1" applyBorder="1" applyAlignment="1">
      <alignment horizontal="center" wrapText="1"/>
    </xf>
    <xf numFmtId="14" fontId="6" fillId="0" borderId="3" xfId="0" applyNumberFormat="1" applyFont="1" applyBorder="1" applyAlignment="1">
      <alignment horizontal="center" wrapText="1"/>
    </xf>
    <xf numFmtId="0" fontId="5" fillId="0" borderId="2" xfId="0" applyFont="1" applyBorder="1" applyAlignment="1">
      <alignment wrapText="1"/>
    </xf>
    <xf numFmtId="0" fontId="5" fillId="0" borderId="0" xfId="0" applyFont="1" applyAlignment="1">
      <alignment wrapText="1"/>
    </xf>
    <xf numFmtId="0" fontId="5" fillId="0" borderId="2" xfId="0" applyFont="1" applyBorder="1" applyAlignment="1">
      <alignment horizontal="center" wrapText="1"/>
    </xf>
    <xf numFmtId="0" fontId="5" fillId="0" borderId="3" xfId="0" applyFont="1" applyBorder="1" applyAlignment="1">
      <alignment horizontal="center" wrapText="1"/>
    </xf>
    <xf numFmtId="14" fontId="5" fillId="0" borderId="2" xfId="0" applyNumberFormat="1" applyFont="1" applyBorder="1" applyAlignment="1">
      <alignment horizontal="center" wrapText="1"/>
    </xf>
    <xf numFmtId="14" fontId="5" fillId="0" borderId="3" xfId="0" applyNumberFormat="1" applyFont="1" applyBorder="1" applyAlignment="1">
      <alignment horizontal="center" wrapText="1"/>
    </xf>
    <xf numFmtId="0" fontId="5" fillId="0" borderId="5" xfId="0" applyFont="1" applyBorder="1" applyAlignment="1">
      <alignment horizontal="center" wrapText="1"/>
    </xf>
    <xf numFmtId="0" fontId="4" fillId="0" borderId="2" xfId="0" applyFont="1" applyBorder="1" applyAlignment="1">
      <alignment wrapText="1"/>
    </xf>
    <xf numFmtId="0" fontId="4" fillId="0" borderId="0" xfId="0" applyFont="1" applyAlignment="1">
      <alignment wrapText="1"/>
    </xf>
    <xf numFmtId="0" fontId="4" fillId="0" borderId="2" xfId="0" applyFont="1" applyBorder="1" applyAlignment="1">
      <alignment horizontal="center" wrapText="1"/>
    </xf>
    <xf numFmtId="0" fontId="4" fillId="0" borderId="3" xfId="0" applyFont="1" applyBorder="1" applyAlignment="1">
      <alignment horizontal="center" wrapText="1"/>
    </xf>
    <xf numFmtId="14" fontId="4" fillId="0" borderId="2" xfId="0" applyNumberFormat="1" applyFont="1" applyBorder="1" applyAlignment="1">
      <alignment horizontal="center" wrapText="1"/>
    </xf>
    <xf numFmtId="14" fontId="4" fillId="0" borderId="3" xfId="0" applyNumberFormat="1" applyFont="1" applyBorder="1" applyAlignment="1">
      <alignment horizontal="center" wrapText="1"/>
    </xf>
    <xf numFmtId="0" fontId="4" fillId="0" borderId="5" xfId="0" applyFont="1" applyBorder="1" applyAlignment="1">
      <alignment horizontal="center" wrapText="1"/>
    </xf>
    <xf numFmtId="0" fontId="3" fillId="0" borderId="2" xfId="0" applyFont="1" applyBorder="1" applyAlignment="1">
      <alignment wrapText="1"/>
    </xf>
    <xf numFmtId="0" fontId="3" fillId="0" borderId="0" xfId="0" applyFont="1" applyAlignment="1">
      <alignment wrapText="1"/>
    </xf>
    <xf numFmtId="0" fontId="3" fillId="0" borderId="3" xfId="0" applyFont="1" applyBorder="1" applyAlignment="1">
      <alignment horizontal="center" wrapText="1"/>
    </xf>
    <xf numFmtId="14" fontId="3" fillId="0" borderId="2" xfId="0" applyNumberFormat="1" applyFont="1" applyBorder="1" applyAlignment="1">
      <alignment horizontal="center" wrapText="1"/>
    </xf>
    <xf numFmtId="14" fontId="3" fillId="0" borderId="3" xfId="0" applyNumberFormat="1" applyFont="1" applyBorder="1" applyAlignment="1">
      <alignment horizontal="center" wrapText="1"/>
    </xf>
    <xf numFmtId="0" fontId="3" fillId="0" borderId="5" xfId="0" applyFont="1" applyBorder="1" applyAlignment="1">
      <alignment horizontal="center" wrapText="1"/>
    </xf>
    <xf numFmtId="0" fontId="2" fillId="0" borderId="2" xfId="0" applyFont="1" applyBorder="1" applyAlignment="1">
      <alignment wrapText="1"/>
    </xf>
    <xf numFmtId="0" fontId="2" fillId="0" borderId="0" xfId="0" applyFont="1" applyAlignment="1">
      <alignment wrapText="1"/>
    </xf>
    <xf numFmtId="0" fontId="2" fillId="0" borderId="3" xfId="0" applyFont="1" applyBorder="1" applyAlignment="1">
      <alignment horizontal="center" wrapText="1"/>
    </xf>
    <xf numFmtId="14" fontId="2" fillId="0" borderId="2" xfId="0" applyNumberFormat="1" applyFont="1" applyBorder="1" applyAlignment="1">
      <alignment horizontal="center" wrapText="1"/>
    </xf>
    <xf numFmtId="0" fontId="2" fillId="0" borderId="5" xfId="0" applyFont="1" applyBorder="1" applyAlignment="1">
      <alignment horizontal="center" wrapText="1"/>
    </xf>
    <xf numFmtId="0" fontId="1" fillId="0" borderId="2" xfId="0" applyFont="1" applyBorder="1" applyAlignment="1">
      <alignment wrapText="1"/>
    </xf>
    <xf numFmtId="0" fontId="1" fillId="0" borderId="0" xfId="0" applyFont="1" applyAlignment="1">
      <alignment wrapText="1"/>
    </xf>
    <xf numFmtId="0" fontId="1" fillId="0" borderId="2" xfId="0" applyFont="1" applyBorder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14" fontId="1" fillId="0" borderId="2" xfId="0" applyNumberFormat="1" applyFont="1" applyBorder="1" applyAlignment="1">
      <alignment horizontal="center" wrapText="1"/>
    </xf>
    <xf numFmtId="14" fontId="1" fillId="0" borderId="3" xfId="0" applyNumberFormat="1" applyFont="1" applyBorder="1" applyAlignment="1">
      <alignment horizontal="center" wrapText="1"/>
    </xf>
    <xf numFmtId="0" fontId="1" fillId="0" borderId="5" xfId="0" applyFont="1" applyBorder="1" applyAlignment="1">
      <alignment horizontal="center" wrapText="1"/>
    </xf>
    <xf numFmtId="0" fontId="208" fillId="4" borderId="8" xfId="0" applyFont="1" applyFill="1" applyBorder="1" applyAlignment="1" applyProtection="1">
      <alignment horizontal="center" vertical="top" wrapText="1"/>
      <protection locked="0"/>
    </xf>
    <xf numFmtId="0" fontId="208" fillId="4" borderId="4" xfId="0" applyFont="1" applyFill="1" applyBorder="1" applyAlignment="1" applyProtection="1">
      <alignment horizontal="center" vertical="top" wrapText="1"/>
      <protection locked="0"/>
    </xf>
    <xf numFmtId="0" fontId="208" fillId="4" borderId="9" xfId="0" applyFont="1" applyFill="1" applyBorder="1" applyAlignment="1" applyProtection="1">
      <alignment horizontal="center" vertical="top" wrapText="1"/>
      <protection locked="0"/>
    </xf>
    <xf numFmtId="0" fontId="201" fillId="4" borderId="29" xfId="0" applyFont="1" applyFill="1" applyBorder="1" applyAlignment="1">
      <alignment horizontal="center"/>
    </xf>
    <xf numFmtId="0" fontId="201" fillId="4" borderId="30" xfId="0" applyFont="1" applyFill="1" applyBorder="1" applyAlignment="1">
      <alignment horizontal="center"/>
    </xf>
    <xf numFmtId="0" fontId="201" fillId="4" borderId="31" xfId="0" applyFont="1" applyFill="1" applyBorder="1" applyAlignment="1">
      <alignment horizontal="center"/>
    </xf>
    <xf numFmtId="0" fontId="213" fillId="0" borderId="28" xfId="0" applyFont="1" applyBorder="1" applyAlignment="1">
      <alignment horizontal="center"/>
    </xf>
    <xf numFmtId="0" fontId="213" fillId="0" borderId="11" xfId="0" applyFont="1" applyBorder="1" applyAlignment="1">
      <alignment horizontal="center"/>
    </xf>
    <xf numFmtId="0" fontId="214" fillId="0" borderId="11" xfId="0" applyFont="1" applyBorder="1" applyAlignment="1">
      <alignment horizontal="center"/>
    </xf>
    <xf numFmtId="0" fontId="201" fillId="4" borderId="33" xfId="0" applyFont="1" applyFill="1" applyBorder="1" applyAlignment="1">
      <alignment horizontal="center" vertical="center" wrapText="1"/>
    </xf>
    <xf numFmtId="0" fontId="201" fillId="4" borderId="34" xfId="0" applyFont="1" applyFill="1" applyBorder="1" applyAlignment="1">
      <alignment horizontal="center" vertical="center" wrapText="1"/>
    </xf>
  </cellXfs>
  <cellStyles count="2">
    <cellStyle name="Hipervínculo" xfId="1" builtinId="8"/>
    <cellStyle name="Normal" xfId="0" builtinId="0"/>
  </cellStyles>
  <dxfs count="216"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1515"/>
        </patternFill>
      </fill>
    </dxf>
    <dxf>
      <font>
        <b/>
        <i val="0"/>
        <color auto="1"/>
      </font>
      <fill>
        <patternFill>
          <bgColor rgb="FFFF6699"/>
        </patternFill>
      </fill>
    </dxf>
    <dxf>
      <font>
        <b/>
        <i val="0"/>
        <color theme="0"/>
      </font>
      <fill>
        <patternFill>
          <bgColor rgb="FF993366"/>
        </patternFill>
      </fill>
    </dxf>
    <dxf>
      <font>
        <b/>
        <i val="0"/>
        <color theme="0"/>
      </font>
      <fill>
        <patternFill>
          <bgColor rgb="FFFF0066"/>
        </patternFill>
      </fill>
    </dxf>
    <dxf>
      <font>
        <b/>
        <i val="0"/>
      </font>
      <fill>
        <patternFill>
          <bgColor rgb="FFFF6600"/>
        </patternFill>
      </fill>
    </dxf>
    <dxf>
      <font>
        <b/>
        <i val="0"/>
        <color auto="1"/>
      </font>
      <fill>
        <patternFill>
          <bgColor rgb="FFFF9933"/>
        </patternFill>
      </fill>
    </dxf>
    <dxf>
      <font>
        <b/>
        <i val="0"/>
      </font>
      <fill>
        <patternFill>
          <bgColor rgb="FFFFCC00"/>
        </patternFill>
      </fill>
    </dxf>
    <dxf>
      <font>
        <b/>
        <i val="0"/>
      </font>
      <fill>
        <patternFill>
          <bgColor rgb="FFFFFF89"/>
        </patternFill>
      </fill>
    </dxf>
    <dxf>
      <font>
        <b/>
        <i val="0"/>
      </font>
      <fill>
        <patternFill>
          <bgColor rgb="FF9C5BCD"/>
        </patternFill>
      </fill>
    </dxf>
    <dxf>
      <font>
        <b/>
        <i val="0"/>
      </font>
      <fill>
        <patternFill>
          <bgColor rgb="FFFF7325"/>
        </patternFill>
      </fill>
    </dxf>
    <dxf>
      <font>
        <b/>
        <i val="0"/>
      </font>
      <fill>
        <patternFill>
          <bgColor rgb="FFFFCC66"/>
        </patternFill>
      </fill>
    </dxf>
    <dxf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</font>
      <fill>
        <patternFill>
          <bgColor rgb="FF9C5BCD"/>
        </patternFill>
      </fill>
    </dxf>
    <dxf>
      <font>
        <b/>
        <i val="0"/>
      </font>
      <fill>
        <patternFill>
          <bgColor rgb="FFFF7325"/>
        </patternFill>
      </fill>
    </dxf>
    <dxf>
      <font>
        <b/>
        <i val="0"/>
      </font>
      <fill>
        <patternFill>
          <bgColor rgb="FFFFCC66"/>
        </patternFill>
      </fill>
    </dxf>
    <dxf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9C5BCD"/>
        </patternFill>
      </fill>
    </dxf>
    <dxf>
      <font>
        <b/>
        <i val="0"/>
      </font>
      <fill>
        <patternFill>
          <bgColor rgb="FFFF7325"/>
        </patternFill>
      </fill>
    </dxf>
    <dxf>
      <font>
        <b/>
        <i val="0"/>
      </font>
      <fill>
        <patternFill>
          <bgColor rgb="FFFFCC66"/>
        </patternFill>
      </fill>
    </dxf>
    <dxf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</font>
      <fill>
        <patternFill>
          <bgColor rgb="FF9C5BCD"/>
        </patternFill>
      </fill>
    </dxf>
    <dxf>
      <font>
        <b/>
        <i val="0"/>
      </font>
      <fill>
        <patternFill>
          <bgColor rgb="FFFF7325"/>
        </patternFill>
      </fill>
    </dxf>
    <dxf>
      <font>
        <b/>
        <i val="0"/>
      </font>
      <fill>
        <patternFill>
          <bgColor rgb="FFFFCC66"/>
        </patternFill>
      </fill>
    </dxf>
    <dxf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</font>
      <fill>
        <patternFill>
          <bgColor rgb="FFFF99FF"/>
        </patternFill>
      </fill>
    </dxf>
    <dxf>
      <font>
        <b/>
        <i val="0"/>
      </font>
      <fill>
        <patternFill>
          <bgColor rgb="FFFF99FF"/>
        </patternFill>
      </fill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</font>
      <fill>
        <patternFill>
          <bgColor rgb="FF9C5BCD"/>
        </patternFill>
      </fill>
    </dxf>
    <dxf>
      <font>
        <b/>
        <i val="0"/>
      </font>
      <fill>
        <patternFill>
          <bgColor rgb="FFFF7325"/>
        </patternFill>
      </fill>
    </dxf>
    <dxf>
      <font>
        <b/>
        <i val="0"/>
      </font>
      <fill>
        <patternFill>
          <bgColor rgb="FFFFCC66"/>
        </patternFill>
      </fill>
    </dxf>
    <dxf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</font>
      <fill>
        <patternFill>
          <bgColor rgb="FFFF99FF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1515"/>
        </patternFill>
      </fill>
    </dxf>
    <dxf>
      <font>
        <b/>
        <i val="0"/>
        <color auto="1"/>
      </font>
      <fill>
        <patternFill>
          <bgColor rgb="FFFF6699"/>
        </patternFill>
      </fill>
    </dxf>
    <dxf>
      <font>
        <b/>
        <i val="0"/>
        <color theme="0"/>
      </font>
      <fill>
        <patternFill>
          <bgColor rgb="FF993366"/>
        </patternFill>
      </fill>
    </dxf>
    <dxf>
      <font>
        <b/>
        <i val="0"/>
        <color theme="0"/>
      </font>
      <fill>
        <patternFill>
          <bgColor rgb="FFFF0066"/>
        </patternFill>
      </fill>
    </dxf>
    <dxf>
      <font>
        <b/>
        <i val="0"/>
      </font>
      <fill>
        <patternFill>
          <bgColor rgb="FFFF6600"/>
        </patternFill>
      </fill>
    </dxf>
    <dxf>
      <font>
        <b/>
        <i val="0"/>
        <color auto="1"/>
      </font>
      <fill>
        <patternFill>
          <bgColor rgb="FFFF9933"/>
        </patternFill>
      </fill>
    </dxf>
    <dxf>
      <font>
        <b/>
        <i val="0"/>
      </font>
      <fill>
        <patternFill>
          <bgColor rgb="FFFFCC00"/>
        </patternFill>
      </fill>
    </dxf>
    <dxf>
      <font>
        <b/>
        <i val="0"/>
      </font>
      <fill>
        <patternFill>
          <bgColor rgb="FFFFFF89"/>
        </patternFill>
      </fill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</dxfs>
  <tableStyles count="0" defaultTableStyle="TableStyleMedium2" defaultPivotStyle="PivotStyleLight16"/>
  <colors>
    <mruColors>
      <color rgb="FFFF99FF"/>
      <color rgb="FF993366"/>
      <color rgb="FF9C5BCD"/>
      <color rgb="FFFF0066"/>
      <color rgb="FFFFC1FF"/>
      <color rgb="FFFFAFFF"/>
      <color rgb="FFBC8FDD"/>
      <color rgb="FFE3C1FF"/>
      <color rgb="FFD60093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total  años</a:t>
            </a:r>
          </a:p>
        </c:rich>
      </c:tx>
      <c:layout>
        <c:manualLayout>
          <c:xMode val="edge"/>
          <c:yMode val="edge"/>
          <c:x val="0.37715844053646413"/>
          <c:y val="2.48483251992613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FE2-41FA-B09B-8EA1CF58315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AFE2-41FA-B09B-8EA1CF58315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AFE2-41FA-B09B-8EA1CF58315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FE2-41FA-B09B-8EA1CF583156}"/>
              </c:ext>
            </c:extLst>
          </c:dPt>
          <c:dPt>
            <c:idx val="4"/>
            <c:bubble3D val="0"/>
            <c:spPr>
              <a:solidFill>
                <a:srgbClr val="9C5BCD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FE2-41FA-B09B-8EA1CF58315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AFE2-41FA-B09B-8EA1CF58315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44EC-44FF-8481-90DCB989E59E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dLblPos val="outEnd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AFE2-41FA-B09B-8EA1CF583156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dLblPos val="outEnd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AFE2-41FA-B09B-8EA1CF583156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dLblPos val="outEnd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AFE2-41FA-B09B-8EA1CF583156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dLblPos val="outEnd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AFE2-41FA-B09B-8EA1CF583156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spc="0" baseline="0">
                      <a:solidFill>
                        <a:srgbClr val="7030A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dLblPos val="outEnd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AFE2-41FA-B09B-8EA1CF583156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dLblPos val="outEnd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6-AFE2-41FA-B09B-8EA1CF583156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spc="0" baseline="0">
                      <a:solidFill>
                        <a:srgbClr val="00206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dLblPos val="outEnd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C-44EC-44FF-8481-90DCB989E5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'TOTAL PACIENTES'!$A$4:$A$10</c:f>
              <c:numCache>
                <c:formatCode>General</c:formatCode>
                <c:ptCount val="7"/>
                <c:pt idx="0">
                  <c:v>2023</c:v>
                </c:pt>
                <c:pt idx="1">
                  <c:v>2022</c:v>
                </c:pt>
                <c:pt idx="2">
                  <c:v>2021</c:v>
                </c:pt>
                <c:pt idx="3">
                  <c:v>2020</c:v>
                </c:pt>
                <c:pt idx="4">
                  <c:v>2019</c:v>
                </c:pt>
                <c:pt idx="5">
                  <c:v>2018</c:v>
                </c:pt>
                <c:pt idx="6">
                  <c:v>2017</c:v>
                </c:pt>
              </c:numCache>
            </c:numRef>
          </c:cat>
          <c:val>
            <c:numRef>
              <c:f>'TOTAL PACIENTES'!$N$4:$N$10</c:f>
              <c:numCache>
                <c:formatCode>General</c:formatCode>
                <c:ptCount val="7"/>
                <c:pt idx="0">
                  <c:v>446</c:v>
                </c:pt>
                <c:pt idx="1">
                  <c:v>1181</c:v>
                </c:pt>
                <c:pt idx="2">
                  <c:v>424</c:v>
                </c:pt>
                <c:pt idx="3">
                  <c:v>398</c:v>
                </c:pt>
                <c:pt idx="4">
                  <c:v>2092</c:v>
                </c:pt>
                <c:pt idx="5">
                  <c:v>864</c:v>
                </c:pt>
                <c:pt idx="6">
                  <c:v>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E2-41FA-B09B-8EA1CF583156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bg2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s-CL" sz="1600" b="1">
                <a:solidFill>
                  <a:schemeClr val="bg2">
                    <a:lumMod val="50000"/>
                  </a:schemeClr>
                </a:solidFill>
              </a:rPr>
              <a:t>2021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bg2">
                  <a:lumMod val="50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bg2">
                <a:lumMod val="50000"/>
              </a:schemeClr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9B8C-4489-B726-B49532BF99CC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9B8C-4489-B726-B49532BF99CC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9B8C-4489-B726-B49532BF99CC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9B8C-4489-B726-B49532BF99CC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9B8C-4489-B726-B49532BF99C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PACIENTES'!$B$3:$M$3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'TOTAL PACIENTES'!$B$6:$M$6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85</c:v>
                </c:pt>
                <c:pt idx="5">
                  <c:v>0</c:v>
                </c:pt>
                <c:pt idx="6">
                  <c:v>0</c:v>
                </c:pt>
                <c:pt idx="7">
                  <c:v>12</c:v>
                </c:pt>
                <c:pt idx="8">
                  <c:v>63</c:v>
                </c:pt>
                <c:pt idx="9">
                  <c:v>106</c:v>
                </c:pt>
                <c:pt idx="10">
                  <c:v>57</c:v>
                </c:pt>
                <c:pt idx="11">
                  <c:v>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87-453E-AA95-11BCE3BC13A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311037168"/>
        <c:axId val="311034256"/>
      </c:barChart>
      <c:catAx>
        <c:axId val="311037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s-CL"/>
          </a:p>
        </c:txPr>
        <c:crossAx val="311034256"/>
        <c:crosses val="autoZero"/>
        <c:auto val="1"/>
        <c:lblAlgn val="ctr"/>
        <c:lblOffset val="100"/>
        <c:noMultiLvlLbl val="0"/>
      </c:catAx>
      <c:valAx>
        <c:axId val="3110342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11037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accent2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s-CL" sz="1600" b="1">
                <a:solidFill>
                  <a:schemeClr val="accent2"/>
                </a:solidFill>
              </a:rPr>
              <a:t>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accent2"/>
              </a:solidFill>
              <a:effectLst/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2600-42C3-95B1-C4A660AA0D7E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2600-42C3-95B1-C4A660AA0D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PACIENTES'!$B$3:$M$3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'TOTAL PACIENTES'!$B$5:$M$5</c:f>
              <c:numCache>
                <c:formatCode>General</c:formatCode>
                <c:ptCount val="12"/>
                <c:pt idx="0">
                  <c:v>0</c:v>
                </c:pt>
                <c:pt idx="1">
                  <c:v>11</c:v>
                </c:pt>
                <c:pt idx="2">
                  <c:v>130</c:v>
                </c:pt>
                <c:pt idx="3">
                  <c:v>143</c:v>
                </c:pt>
                <c:pt idx="4">
                  <c:v>137</c:v>
                </c:pt>
                <c:pt idx="5">
                  <c:v>65</c:v>
                </c:pt>
                <c:pt idx="6">
                  <c:v>84</c:v>
                </c:pt>
                <c:pt idx="7">
                  <c:v>154</c:v>
                </c:pt>
                <c:pt idx="8">
                  <c:v>91</c:v>
                </c:pt>
                <c:pt idx="9">
                  <c:v>106</c:v>
                </c:pt>
                <c:pt idx="10">
                  <c:v>174</c:v>
                </c:pt>
                <c:pt idx="11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6-4E22-8ED5-0931ACF7842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816929968"/>
        <c:axId val="816930384"/>
      </c:barChart>
      <c:catAx>
        <c:axId val="816929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6930384"/>
        <c:crosses val="autoZero"/>
        <c:auto val="1"/>
        <c:lblAlgn val="ctr"/>
        <c:lblOffset val="100"/>
        <c:noMultiLvlLbl val="0"/>
      </c:catAx>
      <c:valAx>
        <c:axId val="81693038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16929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rgbClr val="002060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s-CL" sz="1600" b="1">
                <a:solidFill>
                  <a:srgbClr val="002060"/>
                </a:solidFill>
              </a:rPr>
              <a:t>2017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rgbClr val="002060"/>
              </a:solidFill>
              <a:effectLst/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EE9B-4331-ACF5-51914332A066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EE9B-4331-ACF5-51914332A066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EE9B-4331-ACF5-51914332A0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PACIENTES'!$B$3:$M$3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'TOTAL PACIENTES'!$B$10:$M$10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82</c:v>
                </c:pt>
                <c:pt idx="4">
                  <c:v>56</c:v>
                </c:pt>
                <c:pt idx="5">
                  <c:v>84</c:v>
                </c:pt>
                <c:pt idx="6">
                  <c:v>92</c:v>
                </c:pt>
                <c:pt idx="7">
                  <c:v>75</c:v>
                </c:pt>
                <c:pt idx="8">
                  <c:v>62</c:v>
                </c:pt>
                <c:pt idx="9">
                  <c:v>77</c:v>
                </c:pt>
                <c:pt idx="10">
                  <c:v>91</c:v>
                </c:pt>
                <c:pt idx="11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1F-40F7-8336-726A9E85A09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311035088"/>
        <c:axId val="311034672"/>
      </c:barChart>
      <c:catAx>
        <c:axId val="311035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s-CL"/>
          </a:p>
        </c:txPr>
        <c:crossAx val="311034672"/>
        <c:crosses val="autoZero"/>
        <c:auto val="1"/>
        <c:lblAlgn val="ctr"/>
        <c:lblOffset val="100"/>
        <c:noMultiLvlLbl val="0"/>
      </c:catAx>
      <c:valAx>
        <c:axId val="3110346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11035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accent6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s-CL" sz="1600" b="1">
                <a:solidFill>
                  <a:schemeClr val="accent6"/>
                </a:solidFill>
              </a:rPr>
              <a:t>2018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PACIENTES'!$B$3:$M$3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'TOTAL PACIENTES'!$B$9:$M$9</c:f>
              <c:numCache>
                <c:formatCode>General</c:formatCode>
                <c:ptCount val="12"/>
                <c:pt idx="0">
                  <c:v>74</c:v>
                </c:pt>
                <c:pt idx="1">
                  <c:v>72</c:v>
                </c:pt>
                <c:pt idx="2">
                  <c:v>83</c:v>
                </c:pt>
                <c:pt idx="3">
                  <c:v>88</c:v>
                </c:pt>
                <c:pt idx="4">
                  <c:v>88</c:v>
                </c:pt>
                <c:pt idx="5">
                  <c:v>36</c:v>
                </c:pt>
                <c:pt idx="6">
                  <c:v>51</c:v>
                </c:pt>
                <c:pt idx="7">
                  <c:v>60</c:v>
                </c:pt>
                <c:pt idx="8">
                  <c:v>43</c:v>
                </c:pt>
                <c:pt idx="9">
                  <c:v>91</c:v>
                </c:pt>
                <c:pt idx="10">
                  <c:v>97</c:v>
                </c:pt>
                <c:pt idx="11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36-4AF5-808F-553F77BBEF1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975001728"/>
        <c:axId val="1975004640"/>
      </c:barChart>
      <c:catAx>
        <c:axId val="1975001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75004640"/>
        <c:crosses val="autoZero"/>
        <c:auto val="1"/>
        <c:lblAlgn val="ctr"/>
        <c:lblOffset val="100"/>
        <c:noMultiLvlLbl val="0"/>
      </c:catAx>
      <c:valAx>
        <c:axId val="197500464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75001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accent4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s-CL" sz="1600" b="1">
                <a:solidFill>
                  <a:schemeClr val="accent4"/>
                </a:solidFill>
              </a:rPr>
              <a:t>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accent4"/>
              </a:solidFill>
              <a:effectLst/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AAE6-4C87-A7D4-37E1B706873F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AAE6-4C87-A7D4-37E1B706873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PACIENTES'!$B$3:$M$3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'TOTAL PACIENTES'!$B$7:$M$7</c:f>
              <c:numCache>
                <c:formatCode>General</c:formatCode>
                <c:ptCount val="12"/>
                <c:pt idx="0">
                  <c:v>294</c:v>
                </c:pt>
                <c:pt idx="1">
                  <c:v>104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AA-4ADF-9E39-3876CF15F1B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900611728"/>
        <c:axId val="900603824"/>
      </c:barChart>
      <c:catAx>
        <c:axId val="900611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s-CL"/>
          </a:p>
        </c:txPr>
        <c:crossAx val="900603824"/>
        <c:crosses val="autoZero"/>
        <c:auto val="1"/>
        <c:lblAlgn val="ctr"/>
        <c:lblOffset val="100"/>
        <c:noMultiLvlLbl val="0"/>
      </c:catAx>
      <c:valAx>
        <c:axId val="90060382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00611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rgbClr val="7030A0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s-CL" sz="1600" b="1">
                <a:solidFill>
                  <a:srgbClr val="7030A0"/>
                </a:solidFill>
              </a:rPr>
              <a:t>2019</a:t>
            </a:r>
          </a:p>
        </c:rich>
      </c:tx>
      <c:layout>
        <c:manualLayout>
          <c:xMode val="edge"/>
          <c:yMode val="edge"/>
          <c:x val="0.45585820827704021"/>
          <c:y val="3.70369207847863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rgbClr val="7030A0"/>
              </a:solidFill>
              <a:effectLst/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030A0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PACIENTES'!$B$3:$M$3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'TOTAL PACIENTES'!$B$8:$M$8</c:f>
              <c:numCache>
                <c:formatCode>General</c:formatCode>
                <c:ptCount val="12"/>
                <c:pt idx="0">
                  <c:v>97</c:v>
                </c:pt>
                <c:pt idx="1">
                  <c:v>212</c:v>
                </c:pt>
                <c:pt idx="2">
                  <c:v>137</c:v>
                </c:pt>
                <c:pt idx="3">
                  <c:v>103</c:v>
                </c:pt>
                <c:pt idx="4">
                  <c:v>186</c:v>
                </c:pt>
                <c:pt idx="5">
                  <c:v>196</c:v>
                </c:pt>
                <c:pt idx="6">
                  <c:v>216</c:v>
                </c:pt>
                <c:pt idx="7">
                  <c:v>260</c:v>
                </c:pt>
                <c:pt idx="8">
                  <c:v>175</c:v>
                </c:pt>
                <c:pt idx="9">
                  <c:v>173</c:v>
                </c:pt>
                <c:pt idx="10">
                  <c:v>171</c:v>
                </c:pt>
                <c:pt idx="11">
                  <c:v>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33-4FEB-9B04-CDE0291A3B8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79398128"/>
        <c:axId val="79408944"/>
      </c:barChart>
      <c:catAx>
        <c:axId val="79398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s-CL"/>
          </a:p>
        </c:txPr>
        <c:crossAx val="79408944"/>
        <c:crosses val="autoZero"/>
        <c:auto val="1"/>
        <c:lblAlgn val="ctr"/>
        <c:lblOffset val="100"/>
        <c:noMultiLvlLbl val="0"/>
      </c:catAx>
      <c:valAx>
        <c:axId val="7940894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9398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accent1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s-CL" sz="1600" b="1">
                <a:solidFill>
                  <a:schemeClr val="accent1"/>
                </a:solidFill>
              </a:rPr>
              <a:t>2023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PACIENTES'!$B$3:$M$3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'TOTAL PACIENTES'!$B$4:$M$4</c:f>
              <c:numCache>
                <c:formatCode>General</c:formatCode>
                <c:ptCount val="12"/>
                <c:pt idx="0">
                  <c:v>125</c:v>
                </c:pt>
                <c:pt idx="1">
                  <c:v>169</c:v>
                </c:pt>
                <c:pt idx="2">
                  <c:v>119</c:v>
                </c:pt>
                <c:pt idx="3">
                  <c:v>32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33-497D-B33D-30DFD5BB76C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278447200"/>
        <c:axId val="278448448"/>
      </c:barChart>
      <c:catAx>
        <c:axId val="27844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s-CL"/>
          </a:p>
        </c:txPr>
        <c:crossAx val="278448448"/>
        <c:crosses val="autoZero"/>
        <c:auto val="1"/>
        <c:lblAlgn val="ctr"/>
        <c:lblOffset val="100"/>
        <c:noMultiLvlLbl val="0"/>
      </c:catAx>
      <c:valAx>
        <c:axId val="2784484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7844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7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TOTAL PACIENTES'!A1"/><Relationship Id="rId2" Type="http://schemas.openxmlformats.org/officeDocument/2006/relationships/hyperlink" Target="#'2022'!A1"/><Relationship Id="rId1" Type="http://schemas.openxmlformats.org/officeDocument/2006/relationships/hyperlink" Target="#'2023'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2021'!A1"/><Relationship Id="rId2" Type="http://schemas.openxmlformats.org/officeDocument/2006/relationships/hyperlink" Target="#'2023'!A1"/><Relationship Id="rId1" Type="http://schemas.openxmlformats.org/officeDocument/2006/relationships/hyperlink" Target="#'TOTAL PACIENTES'!A1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TOTAL PACIENTES'!A1"/><Relationship Id="rId2" Type="http://schemas.openxmlformats.org/officeDocument/2006/relationships/hyperlink" Target="#'2022'!A1"/><Relationship Id="rId1" Type="http://schemas.openxmlformats.org/officeDocument/2006/relationships/hyperlink" Target="#'2021'!A1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13" Type="http://schemas.openxmlformats.org/officeDocument/2006/relationships/image" Target="../media/image3.png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12" Type="http://schemas.openxmlformats.org/officeDocument/2006/relationships/chart" Target="../charts/chart8.xml"/><Relationship Id="rId2" Type="http://schemas.openxmlformats.org/officeDocument/2006/relationships/chart" Target="../charts/chart1.xml"/><Relationship Id="rId1" Type="http://schemas.openxmlformats.org/officeDocument/2006/relationships/hyperlink" Target="#'2021'!A1"/><Relationship Id="rId6" Type="http://schemas.openxmlformats.org/officeDocument/2006/relationships/chart" Target="../charts/chart5.xml"/><Relationship Id="rId11" Type="http://schemas.openxmlformats.org/officeDocument/2006/relationships/hyperlink" Target="#'TOTAL PACIENTES'!A1"/><Relationship Id="rId5" Type="http://schemas.openxmlformats.org/officeDocument/2006/relationships/chart" Target="../charts/chart4.xml"/><Relationship Id="rId10" Type="http://schemas.openxmlformats.org/officeDocument/2006/relationships/hyperlink" Target="#'2023'!A1"/><Relationship Id="rId4" Type="http://schemas.openxmlformats.org/officeDocument/2006/relationships/chart" Target="../charts/chart3.xml"/><Relationship Id="rId9" Type="http://schemas.openxmlformats.org/officeDocument/2006/relationships/hyperlink" Target="#'2022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104775</xdr:colOff>
      <xdr:row>0</xdr:row>
      <xdr:rowOff>0</xdr:rowOff>
    </xdr:from>
    <xdr:to>
      <xdr:col>2</xdr:col>
      <xdr:colOff>1066800</xdr:colOff>
      <xdr:row>1</xdr:row>
      <xdr:rowOff>114300</xdr:rowOff>
    </xdr:to>
    <xdr:sp macro="" textlink="">
      <xdr:nvSpPr>
        <xdr:cNvPr id="11" name="Diagrama de flujo: operación manual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115A222-88DF-4BF2-9E65-DB0184B54027}"/>
            </a:ext>
          </a:extLst>
        </xdr:cNvPr>
        <xdr:cNvSpPr/>
      </xdr:nvSpPr>
      <xdr:spPr>
        <a:xfrm>
          <a:off x="1628775" y="0"/>
          <a:ext cx="962025" cy="295275"/>
        </a:xfrm>
        <a:prstGeom prst="flowChartManualOperation">
          <a:avLst/>
        </a:prstGeom>
        <a:solidFill>
          <a:srgbClr val="9C5BCD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CL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cs typeface="Calibri"/>
            </a:rPr>
            <a:t>2023</a:t>
          </a:r>
        </a:p>
      </xdr:txBody>
    </xdr:sp>
    <xdr:clientData/>
  </xdr:twoCellAnchor>
  <xdr:twoCellAnchor>
    <xdr:from>
      <xdr:col>1</xdr:col>
      <xdr:colOff>7620</xdr:colOff>
      <xdr:row>0</xdr:row>
      <xdr:rowOff>0</xdr:rowOff>
    </xdr:from>
    <xdr:to>
      <xdr:col>2</xdr:col>
      <xdr:colOff>327660</xdr:colOff>
      <xdr:row>1</xdr:row>
      <xdr:rowOff>106680</xdr:rowOff>
    </xdr:to>
    <xdr:sp macro="" textlink="">
      <xdr:nvSpPr>
        <xdr:cNvPr id="4" name="Diagrama de flujo: operación manual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EDA9835-D49C-42CB-B6F5-464B1D8A79C0}"/>
            </a:ext>
          </a:extLst>
        </xdr:cNvPr>
        <xdr:cNvSpPr/>
      </xdr:nvSpPr>
      <xdr:spPr>
        <a:xfrm>
          <a:off x="792480" y="0"/>
          <a:ext cx="1104900" cy="281940"/>
        </a:xfrm>
        <a:prstGeom prst="flowChartManualOperation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050" b="1"/>
            <a:t> </a:t>
          </a:r>
          <a:r>
            <a:rPr lang="es-CL" sz="1050" b="1">
              <a:solidFill>
                <a:sysClr val="windowText" lastClr="000000"/>
              </a:solidFill>
            </a:rPr>
            <a:t>2022</a:t>
          </a:r>
        </a:p>
      </xdr:txBody>
    </xdr:sp>
    <xdr:clientData/>
  </xdr:twoCellAnchor>
  <xdr:twoCellAnchor>
    <xdr:from>
      <xdr:col>0</xdr:col>
      <xdr:colOff>0</xdr:colOff>
      <xdr:row>0</xdr:row>
      <xdr:rowOff>7620</xdr:rowOff>
    </xdr:from>
    <xdr:to>
      <xdr:col>1</xdr:col>
      <xdr:colOff>281940</xdr:colOff>
      <xdr:row>1</xdr:row>
      <xdr:rowOff>114300</xdr:rowOff>
    </xdr:to>
    <xdr:sp macro="" textlink="">
      <xdr:nvSpPr>
        <xdr:cNvPr id="3" name="Diagrama de flujo: operación manual 2">
          <a:extLst>
            <a:ext uri="{FF2B5EF4-FFF2-40B4-BE49-F238E27FC236}">
              <a16:creationId xmlns:a16="http://schemas.microsoft.com/office/drawing/2014/main" id="{B28A37DF-7DA5-4920-B1DC-C95D356B5642}"/>
            </a:ext>
          </a:extLst>
        </xdr:cNvPr>
        <xdr:cNvSpPr/>
      </xdr:nvSpPr>
      <xdr:spPr>
        <a:xfrm>
          <a:off x="0" y="7620"/>
          <a:ext cx="1066800" cy="281940"/>
        </a:xfrm>
        <a:prstGeom prst="flowChartManualOperation">
          <a:avLst/>
        </a:prstGeom>
        <a:solidFill>
          <a:srgbClr val="FFA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900">
              <a:solidFill>
                <a:sysClr val="windowText" lastClr="000000"/>
              </a:solidFill>
            </a:rPr>
            <a:t> </a:t>
          </a:r>
          <a:r>
            <a:rPr lang="es-CL" sz="1000" b="1">
              <a:solidFill>
                <a:sysClr val="windowText" lastClr="000000"/>
              </a:solidFill>
            </a:rPr>
            <a:t>2021</a:t>
          </a:r>
          <a:endParaRPr lang="es-CL" sz="9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885825</xdr:colOff>
      <xdr:row>0</xdr:row>
      <xdr:rowOff>0</xdr:rowOff>
    </xdr:from>
    <xdr:to>
      <xdr:col>2</xdr:col>
      <xdr:colOff>2204085</xdr:colOff>
      <xdr:row>1</xdr:row>
      <xdr:rowOff>104103</xdr:rowOff>
    </xdr:to>
    <xdr:sp macro="" textlink="">
      <xdr:nvSpPr>
        <xdr:cNvPr id="6" name="Diagrama de flujo: operación manual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2A5DC66-08EB-4091-8E56-F11154BF8898}"/>
            </a:ext>
          </a:extLst>
        </xdr:cNvPr>
        <xdr:cNvSpPr/>
      </xdr:nvSpPr>
      <xdr:spPr>
        <a:xfrm>
          <a:off x="2409825" y="0"/>
          <a:ext cx="1318260" cy="285078"/>
        </a:xfrm>
        <a:prstGeom prst="flowChartManualOperation">
          <a:avLst/>
        </a:prstGeom>
        <a:solidFill>
          <a:srgbClr val="0070C0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CL" sz="9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cs typeface="Calibri"/>
            </a:rPr>
            <a:t>RESUMEN</a:t>
          </a:r>
        </a:p>
      </xdr:txBody>
    </xdr:sp>
    <xdr:clientData/>
  </xdr:twoCellAnchor>
  <xdr:twoCellAnchor editAs="absolute">
    <xdr:from>
      <xdr:col>2</xdr:col>
      <xdr:colOff>2367280</xdr:colOff>
      <xdr:row>0</xdr:row>
      <xdr:rowOff>0</xdr:rowOff>
    </xdr:from>
    <xdr:to>
      <xdr:col>4</xdr:col>
      <xdr:colOff>605342</xdr:colOff>
      <xdr:row>2</xdr:row>
      <xdr:rowOff>134620</xdr:rowOff>
    </xdr:to>
    <xdr:pic>
      <xdr:nvPicPr>
        <xdr:cNvPr id="5" name="LogoMariaCisterna">
          <a:extLst>
            <a:ext uri="{FF2B5EF4-FFF2-40B4-BE49-F238E27FC236}">
              <a16:creationId xmlns:a16="http://schemas.microsoft.com/office/drawing/2014/main" id="{7A999D84-87EF-DE2C-CA5E-40183E45AE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37000" y="0"/>
          <a:ext cx="1583242" cy="508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676275</xdr:colOff>
      <xdr:row>0</xdr:row>
      <xdr:rowOff>0</xdr:rowOff>
    </xdr:from>
    <xdr:to>
      <xdr:col>2</xdr:col>
      <xdr:colOff>1994535</xdr:colOff>
      <xdr:row>1</xdr:row>
      <xdr:rowOff>0</xdr:rowOff>
    </xdr:to>
    <xdr:sp macro="" textlink="">
      <xdr:nvSpPr>
        <xdr:cNvPr id="7" name="Diagrama de flujo: operación manual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D78EA4C-B7B2-482D-BAE5-BAEEBBBCB985}"/>
            </a:ext>
          </a:extLst>
        </xdr:cNvPr>
        <xdr:cNvSpPr/>
      </xdr:nvSpPr>
      <xdr:spPr>
        <a:xfrm>
          <a:off x="2152650" y="0"/>
          <a:ext cx="1318260" cy="352425"/>
        </a:xfrm>
        <a:prstGeom prst="flowChartManualOperation">
          <a:avLst/>
        </a:prstGeom>
        <a:solidFill>
          <a:srgbClr val="0070C0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CL" sz="9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cs typeface="Calibri"/>
            </a:rPr>
            <a:t>RESUMEN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504825</xdr:colOff>
      <xdr:row>0</xdr:row>
      <xdr:rowOff>342900</xdr:rowOff>
    </xdr:to>
    <xdr:sp macro="" textlink="">
      <xdr:nvSpPr>
        <xdr:cNvPr id="2" name="Diagrama de flujo: operación manual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2211F9C-B3EE-CC5A-6059-5CBB50BD2478}"/>
            </a:ext>
          </a:extLst>
        </xdr:cNvPr>
        <xdr:cNvSpPr/>
      </xdr:nvSpPr>
      <xdr:spPr>
        <a:xfrm>
          <a:off x="0" y="0"/>
          <a:ext cx="847725" cy="342900"/>
        </a:xfrm>
        <a:prstGeom prst="flowChartManualOperation">
          <a:avLst/>
        </a:prstGeom>
        <a:solidFill>
          <a:srgbClr val="9C5BC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1100" b="1">
              <a:solidFill>
                <a:sysClr val="windowText" lastClr="000000"/>
              </a:solidFill>
            </a:rPr>
            <a:t>2023</a:t>
          </a:r>
        </a:p>
      </xdr:txBody>
    </xdr:sp>
    <xdr:clientData/>
  </xdr:twoCellAnchor>
  <xdr:twoCellAnchor>
    <xdr:from>
      <xdr:col>1</xdr:col>
      <xdr:colOff>1066800</xdr:colOff>
      <xdr:row>0</xdr:row>
      <xdr:rowOff>0</xdr:rowOff>
    </xdr:from>
    <xdr:to>
      <xdr:col>2</xdr:col>
      <xdr:colOff>878766</xdr:colOff>
      <xdr:row>1</xdr:row>
      <xdr:rowOff>0</xdr:rowOff>
    </xdr:to>
    <xdr:sp macro="" textlink="">
      <xdr:nvSpPr>
        <xdr:cNvPr id="4" name="Diagrama de flujo: operación manual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F02F4FC-BA6B-4B1B-B627-C20B2938328D}"/>
            </a:ext>
          </a:extLst>
        </xdr:cNvPr>
        <xdr:cNvSpPr/>
      </xdr:nvSpPr>
      <xdr:spPr>
        <a:xfrm>
          <a:off x="1409700" y="0"/>
          <a:ext cx="945441" cy="352425"/>
        </a:xfrm>
        <a:prstGeom prst="flowChartManualOperation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CL" sz="9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cs typeface="Calibri"/>
            </a:rPr>
            <a:t> </a:t>
          </a:r>
          <a:r>
            <a:rPr kumimoji="0" lang="es-CL" sz="10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cs typeface="Calibri"/>
            </a:rPr>
            <a:t>2021</a:t>
          </a:r>
          <a:endParaRPr kumimoji="0" lang="es-CL" sz="9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266701</xdr:colOff>
      <xdr:row>0</xdr:row>
      <xdr:rowOff>0</xdr:rowOff>
    </xdr:from>
    <xdr:to>
      <xdr:col>2</xdr:col>
      <xdr:colOff>104776</xdr:colOff>
      <xdr:row>1</xdr:row>
      <xdr:rowOff>0</xdr:rowOff>
    </xdr:to>
    <xdr:sp macro="" textlink="">
      <xdr:nvSpPr>
        <xdr:cNvPr id="8" name="Diagrama de flujo: operación manual 7">
          <a:extLst>
            <a:ext uri="{FF2B5EF4-FFF2-40B4-BE49-F238E27FC236}">
              <a16:creationId xmlns:a16="http://schemas.microsoft.com/office/drawing/2014/main" id="{271E4A82-84F4-E77C-B35D-7ECAFE913006}"/>
            </a:ext>
          </a:extLst>
        </xdr:cNvPr>
        <xdr:cNvSpPr/>
      </xdr:nvSpPr>
      <xdr:spPr>
        <a:xfrm>
          <a:off x="609601" y="0"/>
          <a:ext cx="971550" cy="352425"/>
        </a:xfrm>
        <a:prstGeom prst="flowChartManualOperation">
          <a:avLst/>
        </a:prstGeom>
        <a:solidFill>
          <a:srgbClr val="FFA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100" b="1">
              <a:solidFill>
                <a:sysClr val="windowText" lastClr="000000"/>
              </a:solidFill>
            </a:rPr>
            <a:t>2022</a:t>
          </a:r>
        </a:p>
      </xdr:txBody>
    </xdr:sp>
    <xdr:clientData/>
  </xdr:twoCellAnchor>
  <xdr:twoCellAnchor editAs="absolute">
    <xdr:from>
      <xdr:col>2</xdr:col>
      <xdr:colOff>1912620</xdr:colOff>
      <xdr:row>0</xdr:row>
      <xdr:rowOff>0</xdr:rowOff>
    </xdr:from>
    <xdr:to>
      <xdr:col>4</xdr:col>
      <xdr:colOff>417382</xdr:colOff>
      <xdr:row>2</xdr:row>
      <xdr:rowOff>50800</xdr:rowOff>
    </xdr:to>
    <xdr:pic>
      <xdr:nvPicPr>
        <xdr:cNvPr id="5" name="LogoMariaCisterna">
          <a:extLst>
            <a:ext uri="{FF2B5EF4-FFF2-40B4-BE49-F238E27FC236}">
              <a16:creationId xmlns:a16="http://schemas.microsoft.com/office/drawing/2014/main" id="{71DF6270-39AF-1CD9-B72A-9CC7A60C78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0" y="0"/>
          <a:ext cx="1583242" cy="508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130886</xdr:colOff>
      <xdr:row>0</xdr:row>
      <xdr:rowOff>0</xdr:rowOff>
    </xdr:from>
    <xdr:to>
      <xdr:col>16</xdr:col>
      <xdr:colOff>952502</xdr:colOff>
      <xdr:row>1</xdr:row>
      <xdr:rowOff>60960</xdr:rowOff>
    </xdr:to>
    <xdr:sp macro="" textlink="">
      <xdr:nvSpPr>
        <xdr:cNvPr id="26" name="Diagrama de flujo: operación manual 2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3184275-435D-4F8F-8D56-CE57B958C93B}"/>
            </a:ext>
          </a:extLst>
        </xdr:cNvPr>
        <xdr:cNvSpPr/>
      </xdr:nvSpPr>
      <xdr:spPr>
        <a:xfrm>
          <a:off x="12468562" y="0"/>
          <a:ext cx="821616" cy="285078"/>
        </a:xfrm>
        <a:prstGeom prst="flowChartManualOperation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900" b="1"/>
            <a:t> </a:t>
          </a:r>
          <a:r>
            <a:rPr lang="es-CL" sz="1000" b="1">
              <a:solidFill>
                <a:sysClr val="windowText" lastClr="000000"/>
              </a:solidFill>
            </a:rPr>
            <a:t>2021</a:t>
          </a:r>
          <a:endParaRPr lang="es-CL" sz="9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15</xdr:col>
      <xdr:colOff>313764</xdr:colOff>
      <xdr:row>0</xdr:row>
      <xdr:rowOff>0</xdr:rowOff>
    </xdr:from>
    <xdr:to>
      <xdr:col>16</xdr:col>
      <xdr:colOff>373380</xdr:colOff>
      <xdr:row>1</xdr:row>
      <xdr:rowOff>60960</xdr:rowOff>
    </xdr:to>
    <xdr:sp macro="" textlink="">
      <xdr:nvSpPr>
        <xdr:cNvPr id="4" name="Diagrama de flujo: operación manual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5DD7609-9E56-4AA5-A491-115CDE67BB04}"/>
            </a:ext>
          </a:extLst>
        </xdr:cNvPr>
        <xdr:cNvSpPr/>
      </xdr:nvSpPr>
      <xdr:spPr>
        <a:xfrm>
          <a:off x="11889440" y="0"/>
          <a:ext cx="821616" cy="285078"/>
        </a:xfrm>
        <a:prstGeom prst="flowChartManualOperation">
          <a:avLst/>
        </a:prstGeom>
        <a:solidFill>
          <a:schemeClr val="accent1">
            <a:lumMod val="60000"/>
            <a:lumOff val="40000"/>
          </a:schemeClr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CL" sz="9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cs typeface="Calibri"/>
            </a:rPr>
            <a:t> </a:t>
          </a:r>
          <a:r>
            <a:rPr kumimoji="0" lang="es-CL" sz="10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cs typeface="Calibri"/>
            </a:rPr>
            <a:t>2022</a:t>
          </a:r>
          <a:endParaRPr kumimoji="0" lang="es-CL" sz="9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cs typeface="Calibri"/>
          </a:endParaRPr>
        </a:p>
      </xdr:txBody>
    </xdr:sp>
    <xdr:clientData/>
  </xdr:twoCellAnchor>
  <xdr:twoCellAnchor>
    <xdr:from>
      <xdr:col>13</xdr:col>
      <xdr:colOff>276560</xdr:colOff>
      <xdr:row>0</xdr:row>
      <xdr:rowOff>0</xdr:rowOff>
    </xdr:from>
    <xdr:to>
      <xdr:col>15</xdr:col>
      <xdr:colOff>496644</xdr:colOff>
      <xdr:row>1</xdr:row>
      <xdr:rowOff>60960</xdr:rowOff>
    </xdr:to>
    <xdr:sp macro="" textlink="">
      <xdr:nvSpPr>
        <xdr:cNvPr id="24" name="Diagrama de flujo: operación manual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082DB9F-D136-42ED-B08D-0334DFFAEA2F}"/>
            </a:ext>
          </a:extLst>
        </xdr:cNvPr>
        <xdr:cNvSpPr/>
      </xdr:nvSpPr>
      <xdr:spPr>
        <a:xfrm>
          <a:off x="10754060" y="0"/>
          <a:ext cx="1318260" cy="285078"/>
        </a:xfrm>
        <a:prstGeom prst="flowChartManualOperation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900" b="1"/>
            <a:t>RESUMEN</a:t>
          </a:r>
        </a:p>
      </xdr:txBody>
    </xdr:sp>
    <xdr:clientData/>
  </xdr:twoCellAnchor>
  <xdr:twoCellAnchor>
    <xdr:from>
      <xdr:col>0</xdr:col>
      <xdr:colOff>0</xdr:colOff>
      <xdr:row>1</xdr:row>
      <xdr:rowOff>95250</xdr:rowOff>
    </xdr:from>
    <xdr:to>
      <xdr:col>1</xdr:col>
      <xdr:colOff>1019175</xdr:colOff>
      <xdr:row>1</xdr:row>
      <xdr:rowOff>369570</xdr:rowOff>
    </xdr:to>
    <xdr:sp macro="[0]!INGRESAR.INGRESAR" textlink="">
      <xdr:nvSpPr>
        <xdr:cNvPr id="10" name="Trapecio 9">
          <a:extLst>
            <a:ext uri="{FF2B5EF4-FFF2-40B4-BE49-F238E27FC236}">
              <a16:creationId xmlns:a16="http://schemas.microsoft.com/office/drawing/2014/main" id="{A832925F-BFB5-45B9-89CD-AC11B1B83026}"/>
            </a:ext>
          </a:extLst>
        </xdr:cNvPr>
        <xdr:cNvSpPr/>
      </xdr:nvSpPr>
      <xdr:spPr>
        <a:xfrm>
          <a:off x="0" y="323850"/>
          <a:ext cx="1285875" cy="274320"/>
        </a:xfrm>
        <a:prstGeom prst="trapezoid">
          <a:avLst/>
        </a:prstGeom>
        <a:solidFill>
          <a:srgbClr val="FF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1200" b="1"/>
            <a:t>   </a:t>
          </a:r>
          <a:r>
            <a:rPr lang="es-CL" sz="1600" b="1"/>
            <a:t>INGRESAR</a:t>
          </a:r>
        </a:p>
      </xdr:txBody>
    </xdr:sp>
    <xdr:clientData/>
  </xdr:twoCellAnchor>
  <xdr:twoCellAnchor>
    <xdr:from>
      <xdr:col>1</xdr:col>
      <xdr:colOff>457200</xdr:colOff>
      <xdr:row>0</xdr:row>
      <xdr:rowOff>0</xdr:rowOff>
    </xdr:from>
    <xdr:to>
      <xdr:col>2</xdr:col>
      <xdr:colOff>579120</xdr:colOff>
      <xdr:row>1</xdr:row>
      <xdr:rowOff>60960</xdr:rowOff>
    </xdr:to>
    <xdr:sp macro="" textlink="">
      <xdr:nvSpPr>
        <xdr:cNvPr id="12" name="Diagrama de flujo: operación manual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5002D9F-C9DA-426D-829C-E07025D9881E}"/>
            </a:ext>
          </a:extLst>
        </xdr:cNvPr>
        <xdr:cNvSpPr/>
      </xdr:nvSpPr>
      <xdr:spPr>
        <a:xfrm>
          <a:off x="731520" y="0"/>
          <a:ext cx="1104900" cy="297180"/>
        </a:xfrm>
        <a:prstGeom prst="flowChartManualOperation">
          <a:avLst/>
        </a:prstGeom>
        <a:solidFill>
          <a:srgbClr val="FF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050" b="1">
              <a:solidFill>
                <a:sysClr val="windowText" lastClr="000000"/>
              </a:solidFill>
            </a:rPr>
            <a:t> 2023</a:t>
          </a:r>
        </a:p>
      </xdr:txBody>
    </xdr:sp>
    <xdr:clientData/>
  </xdr:twoCellAnchor>
  <xdr:twoCellAnchor editAs="absolute">
    <xdr:from>
      <xdr:col>16</xdr:col>
      <xdr:colOff>1173481</xdr:colOff>
      <xdr:row>0</xdr:row>
      <xdr:rowOff>0</xdr:rowOff>
    </xdr:from>
    <xdr:to>
      <xdr:col>17</xdr:col>
      <xdr:colOff>2004876</xdr:colOff>
      <xdr:row>2</xdr:row>
      <xdr:rowOff>43180</xdr:rowOff>
    </xdr:to>
    <xdr:pic>
      <xdr:nvPicPr>
        <xdr:cNvPr id="3" name="LogoMariaCisterna">
          <a:extLst>
            <a:ext uri="{FF2B5EF4-FFF2-40B4-BE49-F238E27FC236}">
              <a16:creationId xmlns:a16="http://schemas.microsoft.com/office/drawing/2014/main" id="{6DDDB4D4-F064-9A44-83B6-62EC198B41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06501" y="0"/>
          <a:ext cx="2058215" cy="660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725142</xdr:colOff>
      <xdr:row>0</xdr:row>
      <xdr:rowOff>0</xdr:rowOff>
    </xdr:from>
    <xdr:to>
      <xdr:col>5</xdr:col>
      <xdr:colOff>341586</xdr:colOff>
      <xdr:row>1</xdr:row>
      <xdr:rowOff>113249</xdr:rowOff>
    </xdr:to>
    <xdr:sp macro="" textlink="">
      <xdr:nvSpPr>
        <xdr:cNvPr id="11" name="Diagrama de flujo: operación manual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91FC800-FCF3-4BC7-97F9-0FF3FF69AE0C}"/>
            </a:ext>
          </a:extLst>
        </xdr:cNvPr>
        <xdr:cNvSpPr/>
      </xdr:nvSpPr>
      <xdr:spPr>
        <a:xfrm>
          <a:off x="3021725" y="0"/>
          <a:ext cx="1140444" cy="303749"/>
        </a:xfrm>
        <a:prstGeom prst="flowChartManualOperation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900" b="1">
              <a:solidFill>
                <a:sysClr val="windowText" lastClr="000000"/>
              </a:solidFill>
            </a:rPr>
            <a:t> </a:t>
          </a:r>
          <a:r>
            <a:rPr lang="es-CL" sz="1000" b="1">
              <a:solidFill>
                <a:sysClr val="windowText" lastClr="000000"/>
              </a:solidFill>
            </a:rPr>
            <a:t>2021</a:t>
          </a:r>
          <a:endParaRPr lang="es-CL" sz="9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329747</xdr:colOff>
      <xdr:row>11</xdr:row>
      <xdr:rowOff>185286</xdr:rowOff>
    </xdr:from>
    <xdr:to>
      <xdr:col>21</xdr:col>
      <xdr:colOff>0</xdr:colOff>
      <xdr:row>35</xdr:row>
      <xdr:rowOff>15955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C73CDF4-5FB9-ACDC-F66D-010F4BADD3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187461</xdr:colOff>
      <xdr:row>25</xdr:row>
      <xdr:rowOff>187687</xdr:rowOff>
    </xdr:from>
    <xdr:to>
      <xdr:col>5</xdr:col>
      <xdr:colOff>759585</xdr:colOff>
      <xdr:row>40</xdr:row>
      <xdr:rowOff>189305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4F14C9E-73AB-0834-2044-DBB35A693B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161767</xdr:colOff>
      <xdr:row>10</xdr:row>
      <xdr:rowOff>84818</xdr:rowOff>
    </xdr:from>
    <xdr:to>
      <xdr:col>12</xdr:col>
      <xdr:colOff>16363</xdr:colOff>
      <xdr:row>25</xdr:row>
      <xdr:rowOff>75853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753EA98-05EF-D144-B2F3-A53BD6EB8C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497790</xdr:colOff>
      <xdr:row>41</xdr:row>
      <xdr:rowOff>188928</xdr:rowOff>
    </xdr:from>
    <xdr:to>
      <xdr:col>19</xdr:col>
      <xdr:colOff>476250</xdr:colOff>
      <xdr:row>57</xdr:row>
      <xdr:rowOff>60492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829B54AF-9B09-AE02-F711-E6D578A7CA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493805</xdr:colOff>
      <xdr:row>41</xdr:row>
      <xdr:rowOff>186200</xdr:rowOff>
    </xdr:from>
    <xdr:to>
      <xdr:col>12</xdr:col>
      <xdr:colOff>369917</xdr:colOff>
      <xdr:row>57</xdr:row>
      <xdr:rowOff>57764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41343C77-F466-403F-4875-D8EF42CE22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155139</xdr:colOff>
      <xdr:row>25</xdr:row>
      <xdr:rowOff>164976</xdr:rowOff>
    </xdr:from>
    <xdr:to>
      <xdr:col>12</xdr:col>
      <xdr:colOff>31251</xdr:colOff>
      <xdr:row>41</xdr:row>
      <xdr:rowOff>28265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2B5C6CBE-D8F4-B7A6-B90C-664DF82ACF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466039</xdr:colOff>
      <xdr:row>41</xdr:row>
      <xdr:rowOff>186142</xdr:rowOff>
    </xdr:from>
    <xdr:to>
      <xdr:col>6</xdr:col>
      <xdr:colOff>294092</xdr:colOff>
      <xdr:row>57</xdr:row>
      <xdr:rowOff>49431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1020EDB5-69FF-3247-971A-C707F14C7C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670764</xdr:colOff>
      <xdr:row>0</xdr:row>
      <xdr:rowOff>0</xdr:rowOff>
    </xdr:from>
    <xdr:to>
      <xdr:col>4</xdr:col>
      <xdr:colOff>214805</xdr:colOff>
      <xdr:row>1</xdr:row>
      <xdr:rowOff>113249</xdr:rowOff>
    </xdr:to>
    <xdr:sp macro="" textlink="">
      <xdr:nvSpPr>
        <xdr:cNvPr id="10" name="Diagrama de flujo: operación manual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CC6C3D35-71E2-426E-8EDE-B372E91CF9EB}"/>
            </a:ext>
          </a:extLst>
        </xdr:cNvPr>
        <xdr:cNvSpPr/>
      </xdr:nvSpPr>
      <xdr:spPr>
        <a:xfrm>
          <a:off x="2194764" y="0"/>
          <a:ext cx="1078624" cy="303749"/>
        </a:xfrm>
        <a:prstGeom prst="flowChartManualOperation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050" b="1">
              <a:solidFill>
                <a:sysClr val="windowText" lastClr="000000"/>
              </a:solidFill>
            </a:rPr>
            <a:t> 2022</a:t>
          </a:r>
        </a:p>
      </xdr:txBody>
    </xdr:sp>
    <xdr:clientData/>
  </xdr:twoCellAnchor>
  <xdr:twoCellAnchor>
    <xdr:from>
      <xdr:col>1</xdr:col>
      <xdr:colOff>529167</xdr:colOff>
      <xdr:row>0</xdr:row>
      <xdr:rowOff>10583</xdr:rowOff>
    </xdr:from>
    <xdr:to>
      <xdr:col>2</xdr:col>
      <xdr:colOff>763059</xdr:colOff>
      <xdr:row>1</xdr:row>
      <xdr:rowOff>115358</xdr:rowOff>
    </xdr:to>
    <xdr:sp macro="" textlink="">
      <xdr:nvSpPr>
        <xdr:cNvPr id="13" name="Diagrama de flujo: operación manual 1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6C757235-DE62-4BE3-A074-592A93D4EAD6}"/>
            </a:ext>
          </a:extLst>
        </xdr:cNvPr>
        <xdr:cNvSpPr/>
      </xdr:nvSpPr>
      <xdr:spPr>
        <a:xfrm>
          <a:off x="1291167" y="10583"/>
          <a:ext cx="995892" cy="295275"/>
        </a:xfrm>
        <a:prstGeom prst="flowChartManualOperation">
          <a:avLst/>
        </a:prstGeom>
        <a:solidFill>
          <a:srgbClr val="9C5BCD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CL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cs typeface="Calibri"/>
            </a:rPr>
            <a:t>2023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560464</xdr:colOff>
      <xdr:row>1</xdr:row>
      <xdr:rowOff>113249</xdr:rowOff>
    </xdr:to>
    <xdr:sp macro="" textlink="">
      <xdr:nvSpPr>
        <xdr:cNvPr id="12" name="Diagrama de flujo: operación manual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FF3B4EF-9638-4C5D-B176-6E9B51687C32}"/>
            </a:ext>
          </a:extLst>
        </xdr:cNvPr>
        <xdr:cNvSpPr/>
      </xdr:nvSpPr>
      <xdr:spPr>
        <a:xfrm>
          <a:off x="0" y="0"/>
          <a:ext cx="1348740" cy="297180"/>
        </a:xfrm>
        <a:prstGeom prst="flowChartManualOperation">
          <a:avLst/>
        </a:prstGeom>
        <a:solidFill>
          <a:srgbClr val="FFA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900" b="1">
              <a:solidFill>
                <a:sysClr val="windowText" lastClr="000000"/>
              </a:solidFill>
            </a:rPr>
            <a:t>RESUMEN</a:t>
          </a:r>
        </a:p>
      </xdr:txBody>
    </xdr:sp>
    <xdr:clientData/>
  </xdr:twoCellAnchor>
  <xdr:twoCellAnchor>
    <xdr:from>
      <xdr:col>0</xdr:col>
      <xdr:colOff>42334</xdr:colOff>
      <xdr:row>10</xdr:row>
      <xdr:rowOff>88900</xdr:rowOff>
    </xdr:from>
    <xdr:to>
      <xdr:col>6</xdr:col>
      <xdr:colOff>31751</xdr:colOff>
      <xdr:row>24</xdr:row>
      <xdr:rowOff>154517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46376ACE-CED8-AB13-808A-0BDF689B4C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14</xdr:col>
      <xdr:colOff>287868</xdr:colOff>
      <xdr:row>2</xdr:row>
      <xdr:rowOff>127000</xdr:rowOff>
    </xdr:from>
    <xdr:to>
      <xdr:col>19</xdr:col>
      <xdr:colOff>749239</xdr:colOff>
      <xdr:row>9</xdr:row>
      <xdr:rowOff>84667</xdr:rowOff>
    </xdr:to>
    <xdr:pic>
      <xdr:nvPicPr>
        <xdr:cNvPr id="14" name="LogoMariaCisterna">
          <a:extLst>
            <a:ext uri="{FF2B5EF4-FFF2-40B4-BE49-F238E27FC236}">
              <a16:creationId xmlns:a16="http://schemas.microsoft.com/office/drawing/2014/main" id="{0D0FE898-0966-E20F-445D-47EDEBC7F8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1" y="508000"/>
          <a:ext cx="3958105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9"/>
  <dimension ref="A1:I997"/>
  <sheetViews>
    <sheetView workbookViewId="0"/>
  </sheetViews>
  <sheetFormatPr baseColWidth="10" defaultColWidth="14.44140625" defaultRowHeight="15" customHeight="1" x14ac:dyDescent="0.3"/>
  <cols>
    <col min="1" max="1" width="11.44140625" customWidth="1"/>
    <col min="2" max="2" width="11.44140625" style="187" customWidth="1"/>
    <col min="3" max="3" width="35.44140625" style="3" bestFit="1" customWidth="1"/>
    <col min="4" max="4" width="13.33203125" customWidth="1"/>
    <col min="5" max="5" width="19.88671875" bestFit="1" customWidth="1"/>
    <col min="6" max="6" width="18.33203125" style="187" customWidth="1"/>
    <col min="7" max="7" width="16" customWidth="1"/>
    <col min="8" max="8" width="14.109375" customWidth="1"/>
    <col min="9" max="9" width="17.6640625" customWidth="1"/>
    <col min="10" max="24" width="10.6640625" customWidth="1"/>
  </cols>
  <sheetData>
    <row r="1" spans="1:9" ht="14.25" customHeight="1" x14ac:dyDescent="0.3"/>
    <row r="2" spans="1:9" ht="15.6" customHeight="1" thickBot="1" x14ac:dyDescent="0.35"/>
    <row r="3" spans="1:9" ht="35.4" customHeight="1" thickBot="1" x14ac:dyDescent="0.35">
      <c r="A3" s="210" t="s">
        <v>0</v>
      </c>
      <c r="B3" s="211" t="s">
        <v>1</v>
      </c>
      <c r="C3" s="210" t="s">
        <v>2</v>
      </c>
      <c r="D3" s="210" t="s">
        <v>42</v>
      </c>
      <c r="E3" s="210" t="s">
        <v>3</v>
      </c>
      <c r="F3" s="221" t="s">
        <v>4</v>
      </c>
      <c r="G3" s="119" t="s">
        <v>5</v>
      </c>
      <c r="H3" s="119" t="s">
        <v>6</v>
      </c>
      <c r="I3" s="119" t="s">
        <v>7</v>
      </c>
    </row>
    <row r="4" spans="1:9" ht="14.25" customHeight="1" x14ac:dyDescent="0.3">
      <c r="A4" s="208">
        <v>1</v>
      </c>
      <c r="B4" s="212">
        <v>44335</v>
      </c>
      <c r="C4" s="214" t="s">
        <v>43</v>
      </c>
      <c r="D4" s="208" t="s">
        <v>44</v>
      </c>
      <c r="E4" s="208" t="s">
        <v>45</v>
      </c>
      <c r="F4" s="212" t="s">
        <v>8</v>
      </c>
      <c r="G4" s="10"/>
      <c r="H4" s="10"/>
      <c r="I4" s="10"/>
    </row>
    <row r="5" spans="1:9" ht="14.25" customHeight="1" x14ac:dyDescent="0.3">
      <c r="A5" s="208">
        <v>2</v>
      </c>
      <c r="B5" s="212">
        <v>44343</v>
      </c>
      <c r="C5" s="214" t="s">
        <v>46</v>
      </c>
      <c r="D5" s="208" t="s">
        <v>47</v>
      </c>
      <c r="E5" s="208" t="s">
        <v>45</v>
      </c>
      <c r="F5" s="212" t="s">
        <v>8</v>
      </c>
      <c r="G5" s="10"/>
      <c r="H5" s="10"/>
      <c r="I5" s="10"/>
    </row>
    <row r="6" spans="1:9" ht="14.25" customHeight="1" x14ac:dyDescent="0.3">
      <c r="A6" s="208">
        <v>3</v>
      </c>
      <c r="B6" s="212">
        <v>44344</v>
      </c>
      <c r="C6" s="214" t="s">
        <v>48</v>
      </c>
      <c r="D6" s="208" t="s">
        <v>49</v>
      </c>
      <c r="E6" s="208" t="s">
        <v>45</v>
      </c>
      <c r="F6" s="212" t="s">
        <v>8</v>
      </c>
      <c r="G6" s="10"/>
      <c r="H6" s="10"/>
      <c r="I6" s="10"/>
    </row>
    <row r="7" spans="1:9" ht="14.25" customHeight="1" x14ac:dyDescent="0.3">
      <c r="A7" s="208">
        <v>4</v>
      </c>
      <c r="B7" s="212">
        <v>44339</v>
      </c>
      <c r="C7" s="214" t="s">
        <v>50</v>
      </c>
      <c r="D7" s="208" t="s">
        <v>51</v>
      </c>
      <c r="E7" s="208" t="s">
        <v>45</v>
      </c>
      <c r="F7" s="212" t="s">
        <v>8</v>
      </c>
      <c r="G7" s="10"/>
      <c r="H7" s="10"/>
      <c r="I7" s="10"/>
    </row>
    <row r="8" spans="1:9" ht="14.25" customHeight="1" x14ac:dyDescent="0.3">
      <c r="A8" s="208">
        <v>5</v>
      </c>
      <c r="B8" s="212">
        <v>44338</v>
      </c>
      <c r="C8" s="214" t="s">
        <v>52</v>
      </c>
      <c r="D8" s="208" t="s">
        <v>53</v>
      </c>
      <c r="E8" s="208" t="s">
        <v>45</v>
      </c>
      <c r="F8" s="212" t="s">
        <v>8</v>
      </c>
      <c r="G8" s="10"/>
      <c r="H8" s="10"/>
      <c r="I8" s="10"/>
    </row>
    <row r="9" spans="1:9" ht="14.25" customHeight="1" x14ac:dyDescent="0.3">
      <c r="A9" s="208">
        <v>6</v>
      </c>
      <c r="B9" s="212">
        <v>44341</v>
      </c>
      <c r="C9" s="214" t="s">
        <v>54</v>
      </c>
      <c r="D9" s="208" t="s">
        <v>55</v>
      </c>
      <c r="E9" s="208" t="s">
        <v>56</v>
      </c>
      <c r="F9" s="212" t="s">
        <v>8</v>
      </c>
      <c r="G9" s="10"/>
      <c r="H9" s="10"/>
      <c r="I9" s="10"/>
    </row>
    <row r="10" spans="1:9" ht="14.25" customHeight="1" x14ac:dyDescent="0.3">
      <c r="A10" s="208">
        <v>7</v>
      </c>
      <c r="B10" s="212">
        <v>44322</v>
      </c>
      <c r="C10" s="214" t="s">
        <v>57</v>
      </c>
      <c r="D10" s="208" t="s">
        <v>58</v>
      </c>
      <c r="E10" s="208" t="s">
        <v>45</v>
      </c>
      <c r="F10" s="212" t="s">
        <v>8</v>
      </c>
      <c r="G10" s="10"/>
      <c r="H10" s="10"/>
      <c r="I10" s="10"/>
    </row>
    <row r="11" spans="1:9" ht="14.25" customHeight="1" x14ac:dyDescent="0.3">
      <c r="A11" s="208">
        <v>8</v>
      </c>
      <c r="B11" s="212">
        <v>44326</v>
      </c>
      <c r="C11" s="214" t="s">
        <v>59</v>
      </c>
      <c r="D11" s="208" t="s">
        <v>60</v>
      </c>
      <c r="E11" s="208" t="s">
        <v>45</v>
      </c>
      <c r="F11" s="212" t="s">
        <v>8</v>
      </c>
      <c r="G11" s="10"/>
      <c r="H11" s="10"/>
      <c r="I11" s="10"/>
    </row>
    <row r="12" spans="1:9" ht="14.25" customHeight="1" x14ac:dyDescent="0.3">
      <c r="A12" s="208">
        <v>9</v>
      </c>
      <c r="B12" s="212">
        <v>44334</v>
      </c>
      <c r="C12" s="214" t="s">
        <v>61</v>
      </c>
      <c r="D12" s="208" t="s">
        <v>62</v>
      </c>
      <c r="E12" s="208" t="s">
        <v>45</v>
      </c>
      <c r="F12" s="212" t="s">
        <v>8</v>
      </c>
      <c r="G12" s="10"/>
      <c r="H12" s="10"/>
      <c r="I12" s="10"/>
    </row>
    <row r="13" spans="1:9" ht="14.25" customHeight="1" x14ac:dyDescent="0.3">
      <c r="A13" s="208">
        <v>10</v>
      </c>
      <c r="B13" s="212">
        <v>44339</v>
      </c>
      <c r="C13" s="214" t="s">
        <v>63</v>
      </c>
      <c r="D13" s="208" t="s">
        <v>64</v>
      </c>
      <c r="E13" s="208" t="s">
        <v>45</v>
      </c>
      <c r="F13" s="212" t="s">
        <v>8</v>
      </c>
      <c r="G13" s="10"/>
      <c r="H13" s="10"/>
      <c r="I13" s="10"/>
    </row>
    <row r="14" spans="1:9" ht="14.25" customHeight="1" x14ac:dyDescent="0.3">
      <c r="A14" s="208">
        <v>11</v>
      </c>
      <c r="B14" s="212">
        <v>44336</v>
      </c>
      <c r="C14" s="214" t="s">
        <v>65</v>
      </c>
      <c r="D14" s="208" t="s">
        <v>66</v>
      </c>
      <c r="E14" s="208" t="s">
        <v>45</v>
      </c>
      <c r="F14" s="212" t="s">
        <v>8</v>
      </c>
      <c r="G14" s="10"/>
      <c r="H14" s="10"/>
      <c r="I14" s="10"/>
    </row>
    <row r="15" spans="1:9" ht="14.25" customHeight="1" x14ac:dyDescent="0.3">
      <c r="A15" s="208">
        <v>12</v>
      </c>
      <c r="B15" s="212">
        <v>44320</v>
      </c>
      <c r="C15" s="214" t="s">
        <v>67</v>
      </c>
      <c r="D15" s="208" t="s">
        <v>68</v>
      </c>
      <c r="E15" s="208" t="s">
        <v>45</v>
      </c>
      <c r="F15" s="212" t="s">
        <v>8</v>
      </c>
      <c r="G15" s="10"/>
      <c r="H15" s="10"/>
      <c r="I15" s="10"/>
    </row>
    <row r="16" spans="1:9" ht="14.25" customHeight="1" x14ac:dyDescent="0.3">
      <c r="A16" s="208">
        <v>13</v>
      </c>
      <c r="B16" s="212">
        <v>44336</v>
      </c>
      <c r="C16" s="214" t="s">
        <v>69</v>
      </c>
      <c r="D16" s="208" t="s">
        <v>70</v>
      </c>
      <c r="E16" s="208" t="s">
        <v>45</v>
      </c>
      <c r="F16" s="212" t="s">
        <v>8</v>
      </c>
      <c r="G16" s="10"/>
      <c r="H16" s="10"/>
      <c r="I16" s="10"/>
    </row>
    <row r="17" spans="1:9" ht="14.25" customHeight="1" x14ac:dyDescent="0.3">
      <c r="A17" s="208">
        <v>14</v>
      </c>
      <c r="B17" s="212">
        <v>44346</v>
      </c>
      <c r="C17" s="214" t="s">
        <v>71</v>
      </c>
      <c r="D17" s="208" t="s">
        <v>72</v>
      </c>
      <c r="E17" s="208" t="s">
        <v>56</v>
      </c>
      <c r="F17" s="212" t="s">
        <v>8</v>
      </c>
      <c r="G17" s="10"/>
      <c r="H17" s="10"/>
      <c r="I17" s="10"/>
    </row>
    <row r="18" spans="1:9" ht="14.25" customHeight="1" x14ac:dyDescent="0.3">
      <c r="A18" s="208">
        <v>15</v>
      </c>
      <c r="B18" s="212">
        <v>44320</v>
      </c>
      <c r="C18" s="214" t="s">
        <v>73</v>
      </c>
      <c r="D18" s="208" t="s">
        <v>74</v>
      </c>
      <c r="E18" s="208" t="s">
        <v>75</v>
      </c>
      <c r="F18" s="212" t="s">
        <v>8</v>
      </c>
      <c r="G18" s="10"/>
      <c r="H18" s="10"/>
      <c r="I18" s="10"/>
    </row>
    <row r="19" spans="1:9" ht="14.25" customHeight="1" x14ac:dyDescent="0.3">
      <c r="A19" s="208">
        <v>16</v>
      </c>
      <c r="B19" s="212">
        <v>44328</v>
      </c>
      <c r="C19" s="214" t="s">
        <v>76</v>
      </c>
      <c r="D19" s="208" t="s">
        <v>77</v>
      </c>
      <c r="E19" s="208" t="s">
        <v>78</v>
      </c>
      <c r="F19" s="212" t="s">
        <v>8</v>
      </c>
      <c r="G19" s="10"/>
      <c r="H19" s="10"/>
      <c r="I19" s="10"/>
    </row>
    <row r="20" spans="1:9" ht="14.25" customHeight="1" x14ac:dyDescent="0.3">
      <c r="A20" s="208">
        <v>17</v>
      </c>
      <c r="B20" s="212">
        <v>44335</v>
      </c>
      <c r="C20" s="214" t="s">
        <v>79</v>
      </c>
      <c r="D20" s="208" t="s">
        <v>80</v>
      </c>
      <c r="E20" s="208" t="s">
        <v>78</v>
      </c>
      <c r="F20" s="212" t="s">
        <v>8</v>
      </c>
      <c r="G20" s="10"/>
      <c r="H20" s="10"/>
      <c r="I20" s="10"/>
    </row>
    <row r="21" spans="1:9" ht="14.25" customHeight="1" x14ac:dyDescent="0.3">
      <c r="A21" s="208">
        <v>18</v>
      </c>
      <c r="B21" s="212">
        <v>44318</v>
      </c>
      <c r="C21" s="214" t="s">
        <v>81</v>
      </c>
      <c r="D21" s="208" t="s">
        <v>82</v>
      </c>
      <c r="E21" s="208" t="s">
        <v>78</v>
      </c>
      <c r="F21" s="212" t="s">
        <v>8</v>
      </c>
      <c r="G21" s="10"/>
      <c r="H21" s="10"/>
      <c r="I21" s="10"/>
    </row>
    <row r="22" spans="1:9" ht="14.25" customHeight="1" x14ac:dyDescent="0.3">
      <c r="A22" s="208">
        <v>19</v>
      </c>
      <c r="B22" s="212">
        <v>44323</v>
      </c>
      <c r="C22" s="214" t="s">
        <v>83</v>
      </c>
      <c r="D22" s="208" t="s">
        <v>84</v>
      </c>
      <c r="E22" s="208" t="s">
        <v>78</v>
      </c>
      <c r="F22" s="212" t="s">
        <v>8</v>
      </c>
      <c r="G22" s="10"/>
      <c r="H22" s="10"/>
      <c r="I22" s="10"/>
    </row>
    <row r="23" spans="1:9" ht="14.25" customHeight="1" x14ac:dyDescent="0.3">
      <c r="A23" s="208">
        <v>20</v>
      </c>
      <c r="B23" s="212">
        <v>44343</v>
      </c>
      <c r="C23" s="214" t="s">
        <v>85</v>
      </c>
      <c r="D23" s="208" t="s">
        <v>86</v>
      </c>
      <c r="E23" s="208" t="s">
        <v>78</v>
      </c>
      <c r="F23" s="212" t="s">
        <v>8</v>
      </c>
      <c r="G23" s="10"/>
      <c r="H23" s="10"/>
      <c r="I23" s="10"/>
    </row>
    <row r="24" spans="1:9" ht="14.25" customHeight="1" x14ac:dyDescent="0.3">
      <c r="A24" s="208">
        <v>21</v>
      </c>
      <c r="B24" s="212">
        <v>44327</v>
      </c>
      <c r="C24" s="214" t="s">
        <v>87</v>
      </c>
      <c r="D24" s="208" t="s">
        <v>88</v>
      </c>
      <c r="E24" s="208" t="s">
        <v>78</v>
      </c>
      <c r="F24" s="212" t="s">
        <v>8</v>
      </c>
      <c r="G24" s="10"/>
      <c r="H24" s="10"/>
      <c r="I24" s="10"/>
    </row>
    <row r="25" spans="1:9" ht="14.25" customHeight="1" x14ac:dyDescent="0.3">
      <c r="A25" s="208">
        <v>22</v>
      </c>
      <c r="B25" s="212">
        <v>44339</v>
      </c>
      <c r="C25" s="214" t="s">
        <v>89</v>
      </c>
      <c r="D25" s="208" t="s">
        <v>90</v>
      </c>
      <c r="E25" s="208" t="s">
        <v>78</v>
      </c>
      <c r="F25" s="212" t="s">
        <v>8</v>
      </c>
      <c r="G25" s="10"/>
      <c r="H25" s="10"/>
      <c r="I25" s="10"/>
    </row>
    <row r="26" spans="1:9" ht="14.25" customHeight="1" x14ac:dyDescent="0.3">
      <c r="A26" s="208">
        <v>23</v>
      </c>
      <c r="B26" s="212">
        <v>44323</v>
      </c>
      <c r="C26" s="214" t="s">
        <v>91</v>
      </c>
      <c r="D26" s="208" t="s">
        <v>92</v>
      </c>
      <c r="E26" s="208" t="s">
        <v>56</v>
      </c>
      <c r="F26" s="212" t="s">
        <v>8</v>
      </c>
      <c r="G26" s="10"/>
      <c r="H26" s="10"/>
      <c r="I26" s="10"/>
    </row>
    <row r="27" spans="1:9" ht="14.25" customHeight="1" x14ac:dyDescent="0.3">
      <c r="A27" s="208">
        <v>24</v>
      </c>
      <c r="B27" s="212">
        <v>44327</v>
      </c>
      <c r="C27" s="214" t="s">
        <v>93</v>
      </c>
      <c r="D27" s="208" t="s">
        <v>94</v>
      </c>
      <c r="E27" s="208" t="s">
        <v>56</v>
      </c>
      <c r="F27" s="212" t="s">
        <v>8</v>
      </c>
      <c r="G27" s="10"/>
      <c r="H27" s="10"/>
      <c r="I27" s="10"/>
    </row>
    <row r="28" spans="1:9" ht="14.25" customHeight="1" x14ac:dyDescent="0.3">
      <c r="A28" s="208">
        <v>25</v>
      </c>
      <c r="B28" s="212">
        <v>44319</v>
      </c>
      <c r="C28" s="214" t="s">
        <v>95</v>
      </c>
      <c r="D28" s="208" t="s">
        <v>96</v>
      </c>
      <c r="E28" s="208" t="s">
        <v>56</v>
      </c>
      <c r="F28" s="212" t="s">
        <v>8</v>
      </c>
      <c r="G28" s="10"/>
      <c r="H28" s="10"/>
      <c r="I28" s="10"/>
    </row>
    <row r="29" spans="1:9" ht="14.25" customHeight="1" x14ac:dyDescent="0.3">
      <c r="A29" s="208">
        <v>26</v>
      </c>
      <c r="B29" s="212">
        <v>44323</v>
      </c>
      <c r="C29" s="214" t="s">
        <v>97</v>
      </c>
      <c r="D29" s="208" t="s">
        <v>98</v>
      </c>
      <c r="E29" s="208" t="s">
        <v>78</v>
      </c>
      <c r="F29" s="212" t="s">
        <v>8</v>
      </c>
      <c r="G29" s="10"/>
      <c r="H29" s="10"/>
      <c r="I29" s="10"/>
    </row>
    <row r="30" spans="1:9" ht="14.25" customHeight="1" x14ac:dyDescent="0.3">
      <c r="A30" s="208">
        <v>27</v>
      </c>
      <c r="B30" s="212">
        <v>44335</v>
      </c>
      <c r="C30" s="214" t="s">
        <v>99</v>
      </c>
      <c r="D30" s="208" t="s">
        <v>100</v>
      </c>
      <c r="E30" s="208" t="s">
        <v>78</v>
      </c>
      <c r="F30" s="212" t="s">
        <v>8</v>
      </c>
      <c r="G30" s="10"/>
      <c r="H30" s="10"/>
      <c r="I30" s="10"/>
    </row>
    <row r="31" spans="1:9" ht="14.25" customHeight="1" x14ac:dyDescent="0.3">
      <c r="A31" s="208">
        <v>28</v>
      </c>
      <c r="B31" s="212">
        <v>44318</v>
      </c>
      <c r="C31" s="214" t="s">
        <v>101</v>
      </c>
      <c r="D31" s="208" t="s">
        <v>102</v>
      </c>
      <c r="E31" s="208" t="s">
        <v>78</v>
      </c>
      <c r="F31" s="212" t="s">
        <v>8</v>
      </c>
      <c r="G31" s="10"/>
      <c r="H31" s="10"/>
      <c r="I31" s="10"/>
    </row>
    <row r="32" spans="1:9" ht="14.25" customHeight="1" x14ac:dyDescent="0.3">
      <c r="A32" s="208">
        <v>29</v>
      </c>
      <c r="B32" s="212">
        <v>44345</v>
      </c>
      <c r="C32" s="214" t="s">
        <v>103</v>
      </c>
      <c r="D32" s="208" t="s">
        <v>104</v>
      </c>
      <c r="E32" s="208" t="s">
        <v>56</v>
      </c>
      <c r="F32" s="212" t="s">
        <v>8</v>
      </c>
      <c r="G32" s="10"/>
      <c r="H32" s="10"/>
      <c r="I32" s="10"/>
    </row>
    <row r="33" spans="1:9" ht="14.25" customHeight="1" x14ac:dyDescent="0.3">
      <c r="A33" s="208">
        <v>30</v>
      </c>
      <c r="B33" s="212">
        <v>44317</v>
      </c>
      <c r="C33" s="214" t="s">
        <v>105</v>
      </c>
      <c r="D33" s="208" t="s">
        <v>106</v>
      </c>
      <c r="E33" s="208" t="s">
        <v>56</v>
      </c>
      <c r="F33" s="212" t="s">
        <v>8</v>
      </c>
      <c r="G33" s="10"/>
      <c r="H33" s="10"/>
      <c r="I33" s="10"/>
    </row>
    <row r="34" spans="1:9" ht="14.25" customHeight="1" x14ac:dyDescent="0.3">
      <c r="A34" s="208">
        <v>31</v>
      </c>
      <c r="B34" s="212">
        <v>44334</v>
      </c>
      <c r="C34" s="214" t="s">
        <v>107</v>
      </c>
      <c r="D34" s="208" t="s">
        <v>108</v>
      </c>
      <c r="E34" s="208" t="s">
        <v>56</v>
      </c>
      <c r="F34" s="212" t="s">
        <v>8</v>
      </c>
      <c r="G34" s="10"/>
      <c r="H34" s="10"/>
      <c r="I34" s="10"/>
    </row>
    <row r="35" spans="1:9" ht="14.25" customHeight="1" x14ac:dyDescent="0.3">
      <c r="A35" s="208">
        <v>32</v>
      </c>
      <c r="B35" s="212">
        <v>44325</v>
      </c>
      <c r="C35" s="214" t="s">
        <v>109</v>
      </c>
      <c r="D35" s="208" t="s">
        <v>110</v>
      </c>
      <c r="E35" s="208" t="s">
        <v>111</v>
      </c>
      <c r="F35" s="212" t="s">
        <v>8</v>
      </c>
      <c r="G35" s="10"/>
      <c r="H35" s="10"/>
      <c r="I35" s="10"/>
    </row>
    <row r="36" spans="1:9" ht="14.25" customHeight="1" x14ac:dyDescent="0.3">
      <c r="A36" s="208">
        <v>33</v>
      </c>
      <c r="B36" s="212">
        <v>44320</v>
      </c>
      <c r="C36" s="214" t="s">
        <v>112</v>
      </c>
      <c r="D36" s="208" t="s">
        <v>113</v>
      </c>
      <c r="E36" s="208" t="s">
        <v>111</v>
      </c>
      <c r="F36" s="212" t="s">
        <v>8</v>
      </c>
      <c r="G36" s="10"/>
      <c r="H36" s="10"/>
      <c r="I36" s="10"/>
    </row>
    <row r="37" spans="1:9" ht="14.25" customHeight="1" x14ac:dyDescent="0.3">
      <c r="A37" s="208">
        <v>34</v>
      </c>
      <c r="B37" s="212">
        <v>44340</v>
      </c>
      <c r="C37" s="214" t="s">
        <v>114</v>
      </c>
      <c r="D37" s="208" t="s">
        <v>115</v>
      </c>
      <c r="E37" s="208" t="s">
        <v>111</v>
      </c>
      <c r="F37" s="212" t="s">
        <v>8</v>
      </c>
      <c r="G37" s="10"/>
      <c r="H37" s="10"/>
      <c r="I37" s="10"/>
    </row>
    <row r="38" spans="1:9" ht="14.25" customHeight="1" x14ac:dyDescent="0.3">
      <c r="A38" s="208">
        <v>35</v>
      </c>
      <c r="B38" s="212">
        <v>44328</v>
      </c>
      <c r="C38" s="214" t="s">
        <v>116</v>
      </c>
      <c r="D38" s="208" t="s">
        <v>117</v>
      </c>
      <c r="E38" s="208" t="s">
        <v>111</v>
      </c>
      <c r="F38" s="212" t="s">
        <v>8</v>
      </c>
      <c r="G38" s="10"/>
      <c r="H38" s="10"/>
      <c r="I38" s="10"/>
    </row>
    <row r="39" spans="1:9" ht="14.25" customHeight="1" x14ac:dyDescent="0.3">
      <c r="A39" s="208">
        <v>36</v>
      </c>
      <c r="B39" s="212">
        <v>44337</v>
      </c>
      <c r="C39" s="214" t="s">
        <v>118</v>
      </c>
      <c r="D39" s="208" t="s">
        <v>119</v>
      </c>
      <c r="E39" s="208" t="s">
        <v>111</v>
      </c>
      <c r="F39" s="212" t="s">
        <v>8</v>
      </c>
      <c r="G39" s="10"/>
      <c r="H39" s="10"/>
      <c r="I39" s="10"/>
    </row>
    <row r="40" spans="1:9" ht="14.25" customHeight="1" x14ac:dyDescent="0.3">
      <c r="A40" s="208">
        <v>37</v>
      </c>
      <c r="B40" s="212">
        <v>44317</v>
      </c>
      <c r="C40" s="214" t="s">
        <v>120</v>
      </c>
      <c r="D40" s="208" t="s">
        <v>121</v>
      </c>
      <c r="E40" s="208" t="s">
        <v>111</v>
      </c>
      <c r="F40" s="212" t="s">
        <v>8</v>
      </c>
      <c r="G40" s="10"/>
      <c r="H40" s="10"/>
      <c r="I40" s="10"/>
    </row>
    <row r="41" spans="1:9" ht="14.25" customHeight="1" x14ac:dyDescent="0.3">
      <c r="A41" s="208">
        <v>38</v>
      </c>
      <c r="B41" s="212">
        <v>44335</v>
      </c>
      <c r="C41" s="214" t="s">
        <v>122</v>
      </c>
      <c r="D41" s="208" t="s">
        <v>123</v>
      </c>
      <c r="E41" s="208" t="s">
        <v>111</v>
      </c>
      <c r="F41" s="212" t="s">
        <v>8</v>
      </c>
      <c r="G41" s="10"/>
      <c r="H41" s="10"/>
      <c r="I41" s="10"/>
    </row>
    <row r="42" spans="1:9" ht="14.25" customHeight="1" x14ac:dyDescent="0.3">
      <c r="A42" s="208">
        <v>39</v>
      </c>
      <c r="B42" s="212">
        <v>44332</v>
      </c>
      <c r="C42" s="214" t="s">
        <v>124</v>
      </c>
      <c r="D42" s="208" t="s">
        <v>125</v>
      </c>
      <c r="E42" s="208" t="s">
        <v>111</v>
      </c>
      <c r="F42" s="212" t="s">
        <v>8</v>
      </c>
      <c r="G42" s="10"/>
      <c r="H42" s="10"/>
      <c r="I42" s="10"/>
    </row>
    <row r="43" spans="1:9" ht="14.25" customHeight="1" x14ac:dyDescent="0.3">
      <c r="A43" s="208">
        <v>40</v>
      </c>
      <c r="B43" s="212">
        <v>44322</v>
      </c>
      <c r="C43" s="214" t="s">
        <v>126</v>
      </c>
      <c r="D43" s="208" t="s">
        <v>127</v>
      </c>
      <c r="E43" s="208" t="s">
        <v>111</v>
      </c>
      <c r="F43" s="212" t="s">
        <v>8</v>
      </c>
      <c r="G43" s="10"/>
      <c r="H43" s="10"/>
      <c r="I43" s="10"/>
    </row>
    <row r="44" spans="1:9" ht="14.25" customHeight="1" x14ac:dyDescent="0.3">
      <c r="A44" s="208">
        <v>41</v>
      </c>
      <c r="B44" s="212">
        <v>44318</v>
      </c>
      <c r="C44" s="214" t="s">
        <v>128</v>
      </c>
      <c r="D44" s="208" t="s">
        <v>129</v>
      </c>
      <c r="E44" s="208" t="s">
        <v>111</v>
      </c>
      <c r="F44" s="212" t="s">
        <v>8</v>
      </c>
      <c r="G44" s="10"/>
      <c r="H44" s="10"/>
      <c r="I44" s="10"/>
    </row>
    <row r="45" spans="1:9" ht="14.25" customHeight="1" x14ac:dyDescent="0.3">
      <c r="A45" s="208">
        <v>42</v>
      </c>
      <c r="B45" s="212">
        <v>44326</v>
      </c>
      <c r="C45" s="214" t="s">
        <v>130</v>
      </c>
      <c r="D45" s="208" t="s">
        <v>131</v>
      </c>
      <c r="E45" s="208" t="s">
        <v>111</v>
      </c>
      <c r="F45" s="212" t="s">
        <v>8</v>
      </c>
      <c r="G45" s="10"/>
      <c r="H45" s="10"/>
      <c r="I45" s="10"/>
    </row>
    <row r="46" spans="1:9" ht="14.25" customHeight="1" x14ac:dyDescent="0.3">
      <c r="A46" s="208">
        <v>43</v>
      </c>
      <c r="B46" s="212">
        <v>44343</v>
      </c>
      <c r="C46" s="214" t="s">
        <v>132</v>
      </c>
      <c r="D46" s="208" t="s">
        <v>133</v>
      </c>
      <c r="E46" s="208" t="s">
        <v>111</v>
      </c>
      <c r="F46" s="212" t="s">
        <v>8</v>
      </c>
      <c r="G46" s="10"/>
      <c r="H46" s="10"/>
      <c r="I46" s="10"/>
    </row>
    <row r="47" spans="1:9" ht="14.25" customHeight="1" x14ac:dyDescent="0.3">
      <c r="A47" s="208">
        <v>44</v>
      </c>
      <c r="B47" s="212">
        <v>44345</v>
      </c>
      <c r="C47" s="214" t="s">
        <v>134</v>
      </c>
      <c r="D47" s="208" t="s">
        <v>135</v>
      </c>
      <c r="E47" s="208" t="s">
        <v>111</v>
      </c>
      <c r="F47" s="212" t="s">
        <v>8</v>
      </c>
      <c r="G47" s="10"/>
      <c r="H47" s="10"/>
      <c r="I47" s="10"/>
    </row>
    <row r="48" spans="1:9" ht="14.25" customHeight="1" x14ac:dyDescent="0.3">
      <c r="A48" s="208">
        <v>45</v>
      </c>
      <c r="B48" s="212">
        <v>44342</v>
      </c>
      <c r="C48" s="214" t="s">
        <v>136</v>
      </c>
      <c r="D48" s="208" t="s">
        <v>137</v>
      </c>
      <c r="E48" s="208" t="s">
        <v>111</v>
      </c>
      <c r="F48" s="212" t="s">
        <v>8</v>
      </c>
      <c r="G48" s="10"/>
      <c r="H48" s="10"/>
      <c r="I48" s="10"/>
    </row>
    <row r="49" spans="1:9" ht="14.25" customHeight="1" x14ac:dyDescent="0.3">
      <c r="A49" s="208">
        <v>46</v>
      </c>
      <c r="B49" s="212">
        <v>44337</v>
      </c>
      <c r="C49" s="214" t="s">
        <v>138</v>
      </c>
      <c r="D49" s="208" t="s">
        <v>139</v>
      </c>
      <c r="E49" s="208" t="s">
        <v>111</v>
      </c>
      <c r="F49" s="212" t="s">
        <v>8</v>
      </c>
      <c r="G49" s="10"/>
      <c r="H49" s="10"/>
      <c r="I49" s="10"/>
    </row>
    <row r="50" spans="1:9" ht="14.25" customHeight="1" x14ac:dyDescent="0.3">
      <c r="A50" s="208">
        <v>47</v>
      </c>
      <c r="B50" s="212">
        <v>44326</v>
      </c>
      <c r="C50" s="214" t="s">
        <v>140</v>
      </c>
      <c r="D50" s="208" t="s">
        <v>141</v>
      </c>
      <c r="E50" s="208" t="s">
        <v>111</v>
      </c>
      <c r="F50" s="212" t="s">
        <v>8</v>
      </c>
      <c r="G50" s="10"/>
      <c r="H50" s="10"/>
      <c r="I50" s="10"/>
    </row>
    <row r="51" spans="1:9" ht="14.25" customHeight="1" x14ac:dyDescent="0.3">
      <c r="A51" s="208">
        <v>48</v>
      </c>
      <c r="B51" s="212">
        <v>44338</v>
      </c>
      <c r="C51" s="214" t="s">
        <v>142</v>
      </c>
      <c r="D51" s="208" t="s">
        <v>143</v>
      </c>
      <c r="E51" s="208" t="s">
        <v>111</v>
      </c>
      <c r="F51" s="212" t="s">
        <v>8</v>
      </c>
      <c r="G51" s="10"/>
      <c r="H51" s="10"/>
      <c r="I51" s="10"/>
    </row>
    <row r="52" spans="1:9" ht="14.25" customHeight="1" x14ac:dyDescent="0.3">
      <c r="A52" s="208">
        <v>49</v>
      </c>
      <c r="B52" s="212">
        <v>44340</v>
      </c>
      <c r="C52" s="214" t="s">
        <v>144</v>
      </c>
      <c r="D52" s="208" t="s">
        <v>145</v>
      </c>
      <c r="E52" s="208" t="s">
        <v>111</v>
      </c>
      <c r="F52" s="212" t="s">
        <v>8</v>
      </c>
      <c r="G52" s="10"/>
      <c r="H52" s="10"/>
      <c r="I52" s="10"/>
    </row>
    <row r="53" spans="1:9" ht="14.25" customHeight="1" x14ac:dyDescent="0.3">
      <c r="A53" s="208">
        <v>50</v>
      </c>
      <c r="B53" s="212">
        <v>44327</v>
      </c>
      <c r="C53" s="214" t="s">
        <v>146</v>
      </c>
      <c r="D53" s="208" t="s">
        <v>147</v>
      </c>
      <c r="E53" s="208" t="s">
        <v>111</v>
      </c>
      <c r="F53" s="212" t="s">
        <v>8</v>
      </c>
      <c r="G53" s="10"/>
      <c r="H53" s="10"/>
      <c r="I53" s="10"/>
    </row>
    <row r="54" spans="1:9" ht="14.25" customHeight="1" x14ac:dyDescent="0.3">
      <c r="A54" s="208">
        <v>51</v>
      </c>
      <c r="B54" s="212">
        <v>44343</v>
      </c>
      <c r="C54" s="214" t="s">
        <v>148</v>
      </c>
      <c r="D54" s="208" t="s">
        <v>149</v>
      </c>
      <c r="E54" s="208" t="s">
        <v>111</v>
      </c>
      <c r="F54" s="212" t="s">
        <v>8</v>
      </c>
      <c r="G54" s="10"/>
      <c r="H54" s="10"/>
      <c r="I54" s="10"/>
    </row>
    <row r="55" spans="1:9" ht="14.25" customHeight="1" x14ac:dyDescent="0.3">
      <c r="A55" s="208">
        <v>52</v>
      </c>
      <c r="B55" s="212">
        <v>44325</v>
      </c>
      <c r="C55" s="214" t="s">
        <v>150</v>
      </c>
      <c r="D55" s="208" t="s">
        <v>151</v>
      </c>
      <c r="E55" s="208" t="s">
        <v>111</v>
      </c>
      <c r="F55" s="212" t="s">
        <v>8</v>
      </c>
      <c r="G55" s="10"/>
      <c r="H55" s="10"/>
      <c r="I55" s="10"/>
    </row>
    <row r="56" spans="1:9" ht="14.25" customHeight="1" x14ac:dyDescent="0.3">
      <c r="A56" s="208">
        <v>53</v>
      </c>
      <c r="B56" s="212">
        <v>44347</v>
      </c>
      <c r="C56" s="214" t="s">
        <v>152</v>
      </c>
      <c r="D56" s="208" t="s">
        <v>153</v>
      </c>
      <c r="E56" s="208" t="s">
        <v>111</v>
      </c>
      <c r="F56" s="212" t="s">
        <v>8</v>
      </c>
      <c r="G56" s="10"/>
      <c r="H56" s="10"/>
      <c r="I56" s="10"/>
    </row>
    <row r="57" spans="1:9" ht="14.25" customHeight="1" x14ac:dyDescent="0.3">
      <c r="A57" s="208">
        <v>54</v>
      </c>
      <c r="B57" s="212">
        <v>44332</v>
      </c>
      <c r="C57" s="214" t="s">
        <v>154</v>
      </c>
      <c r="D57" s="208" t="s">
        <v>155</v>
      </c>
      <c r="E57" s="208" t="s">
        <v>111</v>
      </c>
      <c r="F57" s="212" t="s">
        <v>8</v>
      </c>
      <c r="G57" s="10"/>
      <c r="H57" s="10"/>
      <c r="I57" s="10"/>
    </row>
    <row r="58" spans="1:9" ht="14.25" customHeight="1" x14ac:dyDescent="0.3">
      <c r="A58" s="208">
        <v>55</v>
      </c>
      <c r="B58" s="212">
        <v>44318</v>
      </c>
      <c r="C58" s="214" t="s">
        <v>156</v>
      </c>
      <c r="D58" s="208" t="s">
        <v>157</v>
      </c>
      <c r="E58" s="208" t="s">
        <v>111</v>
      </c>
      <c r="F58" s="212" t="s">
        <v>8</v>
      </c>
      <c r="G58" s="10"/>
      <c r="H58" s="10"/>
      <c r="I58" s="10"/>
    </row>
    <row r="59" spans="1:9" ht="14.25" customHeight="1" x14ac:dyDescent="0.3">
      <c r="A59" s="208">
        <v>56</v>
      </c>
      <c r="B59" s="212">
        <v>44344</v>
      </c>
      <c r="C59" s="214" t="s">
        <v>158</v>
      </c>
      <c r="D59" s="208" t="s">
        <v>159</v>
      </c>
      <c r="E59" s="208" t="s">
        <v>111</v>
      </c>
      <c r="F59" s="212" t="s">
        <v>8</v>
      </c>
      <c r="G59" s="10"/>
      <c r="H59" s="10"/>
      <c r="I59" s="10"/>
    </row>
    <row r="60" spans="1:9" ht="14.25" customHeight="1" x14ac:dyDescent="0.3">
      <c r="A60" s="208">
        <v>57</v>
      </c>
      <c r="B60" s="212">
        <v>44339</v>
      </c>
      <c r="C60" s="214" t="s">
        <v>160</v>
      </c>
      <c r="D60" s="208" t="s">
        <v>161</v>
      </c>
      <c r="E60" s="208" t="s">
        <v>111</v>
      </c>
      <c r="F60" s="212" t="s">
        <v>8</v>
      </c>
      <c r="G60" s="10"/>
      <c r="H60" s="10"/>
      <c r="I60" s="10"/>
    </row>
    <row r="61" spans="1:9" ht="14.25" customHeight="1" x14ac:dyDescent="0.3">
      <c r="A61" s="208">
        <v>58</v>
      </c>
      <c r="B61" s="212">
        <v>44344</v>
      </c>
      <c r="C61" s="214" t="s">
        <v>162</v>
      </c>
      <c r="D61" s="208" t="s">
        <v>163</v>
      </c>
      <c r="E61" s="208" t="s">
        <v>111</v>
      </c>
      <c r="F61" s="212" t="s">
        <v>8</v>
      </c>
      <c r="G61" s="10"/>
      <c r="H61" s="10"/>
      <c r="I61" s="10"/>
    </row>
    <row r="62" spans="1:9" ht="14.25" customHeight="1" x14ac:dyDescent="0.3">
      <c r="A62" s="208">
        <v>59</v>
      </c>
      <c r="B62" s="212">
        <v>44333</v>
      </c>
      <c r="C62" s="214" t="s">
        <v>164</v>
      </c>
      <c r="D62" s="208" t="s">
        <v>165</v>
      </c>
      <c r="E62" s="208" t="s">
        <v>111</v>
      </c>
      <c r="F62" s="212" t="s">
        <v>8</v>
      </c>
      <c r="G62" s="10"/>
      <c r="H62" s="10"/>
      <c r="I62" s="10"/>
    </row>
    <row r="63" spans="1:9" ht="14.25" customHeight="1" x14ac:dyDescent="0.3">
      <c r="A63" s="208">
        <v>60</v>
      </c>
      <c r="B63" s="212">
        <v>44322</v>
      </c>
      <c r="C63" s="214" t="s">
        <v>166</v>
      </c>
      <c r="D63" s="208" t="s">
        <v>167</v>
      </c>
      <c r="E63" s="208" t="s">
        <v>111</v>
      </c>
      <c r="F63" s="212" t="s">
        <v>8</v>
      </c>
      <c r="G63" s="10"/>
      <c r="H63" s="10"/>
      <c r="I63" s="10"/>
    </row>
    <row r="64" spans="1:9" ht="14.25" customHeight="1" x14ac:dyDescent="0.3">
      <c r="A64" s="208">
        <v>61</v>
      </c>
      <c r="B64" s="212">
        <v>44337</v>
      </c>
      <c r="C64" s="214" t="s">
        <v>168</v>
      </c>
      <c r="D64" s="208" t="s">
        <v>169</v>
      </c>
      <c r="E64" s="208" t="s">
        <v>111</v>
      </c>
      <c r="F64" s="212" t="s">
        <v>8</v>
      </c>
      <c r="G64" s="10"/>
      <c r="H64" s="10"/>
      <c r="I64" s="10"/>
    </row>
    <row r="65" spans="1:9" ht="14.25" customHeight="1" x14ac:dyDescent="0.3">
      <c r="A65" s="208">
        <v>62</v>
      </c>
      <c r="B65" s="212">
        <v>44319</v>
      </c>
      <c r="C65" s="214" t="s">
        <v>170</v>
      </c>
      <c r="D65" s="208" t="s">
        <v>171</v>
      </c>
      <c r="E65" s="208" t="s">
        <v>111</v>
      </c>
      <c r="F65" s="212" t="s">
        <v>8</v>
      </c>
      <c r="G65" s="10"/>
      <c r="H65" s="10"/>
      <c r="I65" s="10"/>
    </row>
    <row r="66" spans="1:9" ht="14.25" customHeight="1" x14ac:dyDescent="0.3">
      <c r="A66" s="208">
        <v>63</v>
      </c>
      <c r="B66" s="212">
        <v>44340</v>
      </c>
      <c r="C66" s="214" t="s">
        <v>172</v>
      </c>
      <c r="D66" s="208" t="s">
        <v>173</v>
      </c>
      <c r="E66" s="208" t="s">
        <v>111</v>
      </c>
      <c r="F66" s="212" t="s">
        <v>8</v>
      </c>
      <c r="G66" s="10"/>
      <c r="H66" s="10"/>
      <c r="I66" s="10"/>
    </row>
    <row r="67" spans="1:9" ht="14.25" customHeight="1" x14ac:dyDescent="0.3">
      <c r="A67" s="208">
        <v>64</v>
      </c>
      <c r="B67" s="212">
        <v>44339</v>
      </c>
      <c r="C67" s="214" t="s">
        <v>174</v>
      </c>
      <c r="D67" s="208" t="s">
        <v>175</v>
      </c>
      <c r="E67" s="208" t="s">
        <v>111</v>
      </c>
      <c r="F67" s="212" t="s">
        <v>8</v>
      </c>
      <c r="G67" s="10"/>
      <c r="H67" s="10"/>
      <c r="I67" s="10"/>
    </row>
    <row r="68" spans="1:9" ht="14.25" customHeight="1" x14ac:dyDescent="0.3">
      <c r="A68" s="208">
        <v>65</v>
      </c>
      <c r="B68" s="212">
        <v>44327</v>
      </c>
      <c r="C68" s="214" t="s">
        <v>176</v>
      </c>
      <c r="D68" s="208" t="s">
        <v>177</v>
      </c>
      <c r="E68" s="208" t="s">
        <v>111</v>
      </c>
      <c r="F68" s="212" t="s">
        <v>8</v>
      </c>
      <c r="G68" s="10"/>
      <c r="H68" s="10"/>
      <c r="I68" s="10"/>
    </row>
    <row r="69" spans="1:9" ht="14.25" customHeight="1" x14ac:dyDescent="0.3">
      <c r="A69" s="208">
        <v>66</v>
      </c>
      <c r="B69" s="212">
        <v>44329</v>
      </c>
      <c r="C69" s="214" t="s">
        <v>178</v>
      </c>
      <c r="D69" s="208" t="s">
        <v>179</v>
      </c>
      <c r="E69" s="208" t="s">
        <v>111</v>
      </c>
      <c r="F69" s="212" t="s">
        <v>8</v>
      </c>
      <c r="G69" s="10"/>
      <c r="H69" s="10"/>
      <c r="I69" s="10"/>
    </row>
    <row r="70" spans="1:9" ht="14.25" customHeight="1" x14ac:dyDescent="0.3">
      <c r="A70" s="208">
        <v>67</v>
      </c>
      <c r="B70" s="212">
        <v>44341</v>
      </c>
      <c r="C70" s="214" t="s">
        <v>180</v>
      </c>
      <c r="D70" s="208" t="s">
        <v>181</v>
      </c>
      <c r="E70" s="208" t="s">
        <v>111</v>
      </c>
      <c r="F70" s="212" t="s">
        <v>8</v>
      </c>
      <c r="G70" s="10"/>
      <c r="H70" s="10"/>
      <c r="I70" s="10"/>
    </row>
    <row r="71" spans="1:9" ht="14.25" customHeight="1" x14ac:dyDescent="0.3">
      <c r="A71" s="208">
        <v>68</v>
      </c>
      <c r="B71" s="212">
        <v>44322</v>
      </c>
      <c r="C71" s="214" t="s">
        <v>182</v>
      </c>
      <c r="D71" s="208" t="s">
        <v>183</v>
      </c>
      <c r="E71" s="208" t="s">
        <v>111</v>
      </c>
      <c r="F71" s="212" t="s">
        <v>8</v>
      </c>
      <c r="G71" s="10"/>
      <c r="H71" s="10"/>
      <c r="I71" s="10"/>
    </row>
    <row r="72" spans="1:9" ht="14.25" customHeight="1" x14ac:dyDescent="0.3">
      <c r="A72" s="208">
        <v>69</v>
      </c>
      <c r="B72" s="212">
        <v>44334</v>
      </c>
      <c r="C72" s="214" t="s">
        <v>184</v>
      </c>
      <c r="D72" s="208" t="s">
        <v>185</v>
      </c>
      <c r="E72" s="208" t="s">
        <v>45</v>
      </c>
      <c r="F72" s="212" t="s">
        <v>8</v>
      </c>
      <c r="G72" s="10"/>
      <c r="H72" s="10"/>
      <c r="I72" s="10"/>
    </row>
    <row r="73" spans="1:9" ht="14.25" customHeight="1" x14ac:dyDescent="0.3">
      <c r="A73" s="208">
        <v>70</v>
      </c>
      <c r="B73" s="212">
        <v>44320</v>
      </c>
      <c r="C73" s="214" t="s">
        <v>186</v>
      </c>
      <c r="D73" s="208" t="s">
        <v>187</v>
      </c>
      <c r="E73" s="208" t="s">
        <v>111</v>
      </c>
      <c r="F73" s="212" t="s">
        <v>8</v>
      </c>
      <c r="G73" s="10"/>
      <c r="H73" s="10"/>
      <c r="I73" s="10"/>
    </row>
    <row r="74" spans="1:9" ht="14.25" customHeight="1" x14ac:dyDescent="0.3">
      <c r="A74" s="208">
        <v>71</v>
      </c>
      <c r="B74" s="212">
        <v>44332</v>
      </c>
      <c r="C74" s="214" t="s">
        <v>188</v>
      </c>
      <c r="D74" s="208" t="s">
        <v>189</v>
      </c>
      <c r="E74" s="208" t="s">
        <v>111</v>
      </c>
      <c r="F74" s="212" t="s">
        <v>8</v>
      </c>
      <c r="G74" s="10"/>
      <c r="H74" s="10"/>
      <c r="I74" s="10"/>
    </row>
    <row r="75" spans="1:9" ht="14.25" customHeight="1" x14ac:dyDescent="0.3">
      <c r="A75" s="208">
        <v>72</v>
      </c>
      <c r="B75" s="212">
        <v>44340</v>
      </c>
      <c r="C75" s="214" t="s">
        <v>190</v>
      </c>
      <c r="D75" s="208" t="s">
        <v>191</v>
      </c>
      <c r="E75" s="208" t="s">
        <v>45</v>
      </c>
      <c r="F75" s="212" t="s">
        <v>8</v>
      </c>
      <c r="G75" s="10"/>
      <c r="H75" s="10"/>
      <c r="I75" s="10"/>
    </row>
    <row r="76" spans="1:9" ht="14.25" customHeight="1" x14ac:dyDescent="0.3">
      <c r="A76" s="208">
        <v>73</v>
      </c>
      <c r="B76" s="212">
        <v>44341</v>
      </c>
      <c r="C76" s="214" t="s">
        <v>192</v>
      </c>
      <c r="D76" s="208" t="s">
        <v>193</v>
      </c>
      <c r="E76" s="208" t="s">
        <v>45</v>
      </c>
      <c r="F76" s="212" t="s">
        <v>8</v>
      </c>
      <c r="G76" s="10"/>
      <c r="H76" s="10"/>
      <c r="I76" s="10"/>
    </row>
    <row r="77" spans="1:9" ht="14.25" customHeight="1" x14ac:dyDescent="0.3">
      <c r="A77" s="208">
        <v>74</v>
      </c>
      <c r="B77" s="212">
        <v>44343</v>
      </c>
      <c r="C77" s="214" t="s">
        <v>194</v>
      </c>
      <c r="D77" s="208" t="s">
        <v>195</v>
      </c>
      <c r="E77" s="208" t="s">
        <v>45</v>
      </c>
      <c r="F77" s="212" t="s">
        <v>8</v>
      </c>
      <c r="G77" s="10"/>
      <c r="H77" s="10"/>
      <c r="I77" s="10"/>
    </row>
    <row r="78" spans="1:9" ht="14.25" customHeight="1" x14ac:dyDescent="0.3">
      <c r="A78" s="208">
        <v>75</v>
      </c>
      <c r="B78" s="212">
        <v>44335</v>
      </c>
      <c r="C78" s="214" t="s">
        <v>196</v>
      </c>
      <c r="D78" s="208" t="s">
        <v>197</v>
      </c>
      <c r="E78" s="208" t="s">
        <v>45</v>
      </c>
      <c r="F78" s="212" t="s">
        <v>8</v>
      </c>
      <c r="G78" s="10"/>
      <c r="H78" s="10"/>
      <c r="I78" s="10"/>
    </row>
    <row r="79" spans="1:9" ht="14.25" customHeight="1" x14ac:dyDescent="0.3">
      <c r="A79" s="208">
        <v>76</v>
      </c>
      <c r="B79" s="212">
        <v>44337</v>
      </c>
      <c r="C79" s="214" t="s">
        <v>198</v>
      </c>
      <c r="D79" s="208" t="s">
        <v>199</v>
      </c>
      <c r="E79" s="208" t="s">
        <v>45</v>
      </c>
      <c r="F79" s="212" t="s">
        <v>8</v>
      </c>
      <c r="G79" s="10"/>
      <c r="H79" s="10"/>
      <c r="I79" s="10"/>
    </row>
    <row r="80" spans="1:9" ht="14.25" customHeight="1" x14ac:dyDescent="0.3">
      <c r="A80" s="208">
        <v>77</v>
      </c>
      <c r="B80" s="212">
        <v>44321</v>
      </c>
      <c r="C80" s="214" t="s">
        <v>200</v>
      </c>
      <c r="D80" s="208" t="s">
        <v>201</v>
      </c>
      <c r="E80" s="208" t="s">
        <v>45</v>
      </c>
      <c r="F80" s="212" t="s">
        <v>8</v>
      </c>
      <c r="G80" s="10"/>
      <c r="H80" s="10"/>
      <c r="I80" s="10"/>
    </row>
    <row r="81" spans="1:9" ht="14.25" customHeight="1" x14ac:dyDescent="0.3">
      <c r="A81" s="208">
        <v>78</v>
      </c>
      <c r="B81" s="212">
        <v>44336</v>
      </c>
      <c r="C81" s="214" t="s">
        <v>202</v>
      </c>
      <c r="D81" s="208" t="s">
        <v>203</v>
      </c>
      <c r="E81" s="208" t="s">
        <v>45</v>
      </c>
      <c r="F81" s="212" t="s">
        <v>8</v>
      </c>
      <c r="G81" s="10"/>
      <c r="H81" s="10"/>
      <c r="I81" s="10"/>
    </row>
    <row r="82" spans="1:9" ht="14.25" customHeight="1" x14ac:dyDescent="0.3">
      <c r="A82" s="208">
        <v>79</v>
      </c>
      <c r="B82" s="212">
        <v>44318</v>
      </c>
      <c r="C82" s="214" t="s">
        <v>204</v>
      </c>
      <c r="D82" s="208" t="s">
        <v>205</v>
      </c>
      <c r="E82" s="208" t="s">
        <v>45</v>
      </c>
      <c r="F82" s="212" t="s">
        <v>8</v>
      </c>
      <c r="G82" s="10"/>
      <c r="H82" s="10"/>
      <c r="I82" s="10"/>
    </row>
    <row r="83" spans="1:9" ht="14.25" customHeight="1" x14ac:dyDescent="0.3">
      <c r="A83" s="208">
        <v>80</v>
      </c>
      <c r="B83" s="212">
        <v>44346</v>
      </c>
      <c r="C83" s="214" t="s">
        <v>206</v>
      </c>
      <c r="D83" s="208" t="s">
        <v>207</v>
      </c>
      <c r="E83" s="208" t="s">
        <v>45</v>
      </c>
      <c r="F83" s="212" t="s">
        <v>8</v>
      </c>
      <c r="G83" s="10"/>
      <c r="H83" s="10"/>
      <c r="I83" s="10"/>
    </row>
    <row r="84" spans="1:9" ht="14.25" customHeight="1" x14ac:dyDescent="0.3">
      <c r="A84" s="208">
        <v>81</v>
      </c>
      <c r="B84" s="212">
        <v>44327</v>
      </c>
      <c r="C84" s="214" t="s">
        <v>208</v>
      </c>
      <c r="D84" s="208" t="s">
        <v>209</v>
      </c>
      <c r="E84" s="208" t="s">
        <v>45</v>
      </c>
      <c r="F84" s="212" t="s">
        <v>8</v>
      </c>
      <c r="G84" s="10"/>
      <c r="H84" s="10"/>
      <c r="I84" s="10"/>
    </row>
    <row r="85" spans="1:9" ht="14.25" customHeight="1" x14ac:dyDescent="0.3">
      <c r="A85" s="208">
        <v>82</v>
      </c>
      <c r="B85" s="212">
        <v>44328</v>
      </c>
      <c r="C85" s="214" t="s">
        <v>210</v>
      </c>
      <c r="D85" s="208" t="s">
        <v>211</v>
      </c>
      <c r="E85" s="208" t="s">
        <v>45</v>
      </c>
      <c r="F85" s="212" t="s">
        <v>8</v>
      </c>
      <c r="G85" s="10"/>
      <c r="H85" s="10"/>
      <c r="I85" s="10"/>
    </row>
    <row r="86" spans="1:9" ht="14.25" customHeight="1" x14ac:dyDescent="0.3">
      <c r="A86" s="208">
        <v>83</v>
      </c>
      <c r="B86" s="212">
        <v>44330</v>
      </c>
      <c r="C86" s="214" t="s">
        <v>212</v>
      </c>
      <c r="D86" s="208" t="s">
        <v>213</v>
      </c>
      <c r="E86" s="208" t="s">
        <v>45</v>
      </c>
      <c r="F86" s="212" t="s">
        <v>8</v>
      </c>
      <c r="G86" s="10"/>
      <c r="H86" s="10"/>
      <c r="I86" s="10"/>
    </row>
    <row r="87" spans="1:9" ht="14.25" customHeight="1" x14ac:dyDescent="0.3">
      <c r="A87" s="208">
        <v>84</v>
      </c>
      <c r="B87" s="212">
        <v>44321</v>
      </c>
      <c r="C87" s="214" t="s">
        <v>214</v>
      </c>
      <c r="D87" s="208" t="s">
        <v>215</v>
      </c>
      <c r="E87" s="208" t="s">
        <v>45</v>
      </c>
      <c r="F87" s="212" t="s">
        <v>8</v>
      </c>
      <c r="G87" s="10"/>
      <c r="H87" s="10"/>
      <c r="I87" s="10"/>
    </row>
    <row r="88" spans="1:9" ht="14.25" customHeight="1" x14ac:dyDescent="0.3">
      <c r="A88" s="208">
        <v>85</v>
      </c>
      <c r="B88" s="212">
        <v>44329</v>
      </c>
      <c r="C88" s="214" t="s">
        <v>216</v>
      </c>
      <c r="D88" s="208" t="s">
        <v>217</v>
      </c>
      <c r="E88" s="208" t="s">
        <v>45</v>
      </c>
      <c r="F88" s="212" t="s">
        <v>8</v>
      </c>
      <c r="G88" s="10"/>
      <c r="H88" s="10"/>
      <c r="I88" s="10"/>
    </row>
    <row r="89" spans="1:9" ht="14.25" customHeight="1" x14ac:dyDescent="0.3">
      <c r="A89" s="208">
        <v>86</v>
      </c>
      <c r="B89" s="212">
        <v>44419</v>
      </c>
      <c r="C89" s="214" t="s">
        <v>218</v>
      </c>
      <c r="D89" s="208" t="s">
        <v>219</v>
      </c>
      <c r="E89" s="208" t="s">
        <v>111</v>
      </c>
      <c r="F89" s="212" t="s">
        <v>8</v>
      </c>
      <c r="G89" s="10"/>
      <c r="H89" s="10"/>
      <c r="I89" s="10"/>
    </row>
    <row r="90" spans="1:9" ht="14.25" customHeight="1" x14ac:dyDescent="0.3">
      <c r="A90" s="208">
        <v>87</v>
      </c>
      <c r="B90" s="212">
        <v>44435</v>
      </c>
      <c r="C90" s="214" t="s">
        <v>220</v>
      </c>
      <c r="D90" s="208" t="s">
        <v>221</v>
      </c>
      <c r="E90" s="208" t="s">
        <v>111</v>
      </c>
      <c r="F90" s="212" t="s">
        <v>8</v>
      </c>
      <c r="G90" s="10"/>
      <c r="H90" s="10"/>
      <c r="I90" s="10"/>
    </row>
    <row r="91" spans="1:9" ht="14.25" customHeight="1" x14ac:dyDescent="0.3">
      <c r="A91" s="208">
        <v>88</v>
      </c>
      <c r="B91" s="212">
        <v>44436</v>
      </c>
      <c r="C91" s="214" t="s">
        <v>222</v>
      </c>
      <c r="D91" s="208" t="s">
        <v>223</v>
      </c>
      <c r="E91" s="208" t="s">
        <v>111</v>
      </c>
      <c r="F91" s="212" t="s">
        <v>8</v>
      </c>
      <c r="G91" s="10"/>
      <c r="H91" s="10"/>
      <c r="I91" s="10"/>
    </row>
    <row r="92" spans="1:9" ht="14.25" customHeight="1" x14ac:dyDescent="0.3">
      <c r="A92" s="208">
        <v>89</v>
      </c>
      <c r="B92" s="212">
        <v>44430</v>
      </c>
      <c r="C92" s="214" t="s">
        <v>224</v>
      </c>
      <c r="D92" s="208" t="s">
        <v>225</v>
      </c>
      <c r="E92" s="208" t="s">
        <v>111</v>
      </c>
      <c r="F92" s="212" t="s">
        <v>8</v>
      </c>
      <c r="G92" s="10"/>
      <c r="H92" s="10"/>
      <c r="I92" s="10"/>
    </row>
    <row r="93" spans="1:9" ht="14.25" customHeight="1" x14ac:dyDescent="0.3">
      <c r="A93" s="208">
        <v>90</v>
      </c>
      <c r="B93" s="212">
        <v>44421</v>
      </c>
      <c r="C93" s="214" t="s">
        <v>226</v>
      </c>
      <c r="D93" s="208" t="s">
        <v>227</v>
      </c>
      <c r="E93" s="208" t="s">
        <v>111</v>
      </c>
      <c r="F93" s="212" t="s">
        <v>8</v>
      </c>
      <c r="G93" s="10"/>
      <c r="H93" s="10"/>
      <c r="I93" s="10"/>
    </row>
    <row r="94" spans="1:9" ht="14.25" customHeight="1" x14ac:dyDescent="0.3">
      <c r="A94" s="208">
        <v>91</v>
      </c>
      <c r="B94" s="212">
        <v>44427</v>
      </c>
      <c r="C94" s="214" t="s">
        <v>228</v>
      </c>
      <c r="D94" s="208" t="s">
        <v>229</v>
      </c>
      <c r="E94" s="208" t="s">
        <v>111</v>
      </c>
      <c r="F94" s="212" t="s">
        <v>8</v>
      </c>
      <c r="G94" s="10"/>
      <c r="H94" s="10"/>
      <c r="I94" s="10"/>
    </row>
    <row r="95" spans="1:9" ht="14.25" customHeight="1" x14ac:dyDescent="0.3">
      <c r="A95" s="208">
        <v>92</v>
      </c>
      <c r="B95" s="212">
        <v>44412</v>
      </c>
      <c r="C95" s="214" t="s">
        <v>230</v>
      </c>
      <c r="D95" s="208" t="s">
        <v>231</v>
      </c>
      <c r="E95" s="208" t="s">
        <v>111</v>
      </c>
      <c r="F95" s="212" t="s">
        <v>8</v>
      </c>
      <c r="G95" s="10"/>
      <c r="H95" s="10"/>
      <c r="I95" s="10"/>
    </row>
    <row r="96" spans="1:9" ht="14.25" customHeight="1" x14ac:dyDescent="0.3">
      <c r="A96" s="208">
        <v>93</v>
      </c>
      <c r="B96" s="212">
        <v>44433</v>
      </c>
      <c r="C96" s="214" t="s">
        <v>232</v>
      </c>
      <c r="D96" s="208" t="s">
        <v>233</v>
      </c>
      <c r="E96" s="208" t="s">
        <v>111</v>
      </c>
      <c r="F96" s="212" t="s">
        <v>8</v>
      </c>
      <c r="G96" s="10"/>
      <c r="H96" s="10"/>
      <c r="I96" s="10"/>
    </row>
    <row r="97" spans="1:9" ht="14.25" customHeight="1" x14ac:dyDescent="0.3">
      <c r="A97" s="208">
        <v>94</v>
      </c>
      <c r="B97" s="212">
        <v>44438</v>
      </c>
      <c r="C97" s="214" t="s">
        <v>234</v>
      </c>
      <c r="D97" s="219" t="s">
        <v>235</v>
      </c>
      <c r="E97" s="208" t="s">
        <v>111</v>
      </c>
      <c r="F97" s="212" t="s">
        <v>8</v>
      </c>
      <c r="G97" s="10"/>
      <c r="H97" s="10"/>
      <c r="I97" s="10"/>
    </row>
    <row r="98" spans="1:9" ht="14.25" customHeight="1" x14ac:dyDescent="0.3">
      <c r="A98" s="208">
        <v>95</v>
      </c>
      <c r="B98" s="212">
        <v>44413</v>
      </c>
      <c r="C98" s="214" t="s">
        <v>236</v>
      </c>
      <c r="D98" s="208" t="s">
        <v>237</v>
      </c>
      <c r="E98" s="208" t="s">
        <v>111</v>
      </c>
      <c r="F98" s="212" t="s">
        <v>8</v>
      </c>
      <c r="G98" s="10"/>
      <c r="H98" s="10"/>
      <c r="I98" s="10"/>
    </row>
    <row r="99" spans="1:9" ht="14.25" customHeight="1" x14ac:dyDescent="0.3">
      <c r="A99" s="208">
        <v>96</v>
      </c>
      <c r="B99" s="212">
        <v>44422</v>
      </c>
      <c r="C99" s="214" t="s">
        <v>238</v>
      </c>
      <c r="D99" s="208" t="s">
        <v>239</v>
      </c>
      <c r="E99" s="208" t="s">
        <v>111</v>
      </c>
      <c r="F99" s="212" t="s">
        <v>8</v>
      </c>
      <c r="G99" s="10"/>
      <c r="H99" s="10"/>
      <c r="I99" s="10"/>
    </row>
    <row r="100" spans="1:9" ht="14.25" customHeight="1" x14ac:dyDescent="0.3">
      <c r="A100" s="208">
        <v>97</v>
      </c>
      <c r="B100" s="212">
        <v>44430</v>
      </c>
      <c r="C100" s="214" t="s">
        <v>240</v>
      </c>
      <c r="D100" s="208" t="s">
        <v>241</v>
      </c>
      <c r="E100" s="208" t="s">
        <v>111</v>
      </c>
      <c r="F100" s="212" t="s">
        <v>8</v>
      </c>
      <c r="G100" s="10"/>
      <c r="H100" s="10"/>
      <c r="I100" s="10"/>
    </row>
    <row r="101" spans="1:9" ht="14.25" customHeight="1" x14ac:dyDescent="0.3">
      <c r="A101" s="208">
        <v>98</v>
      </c>
      <c r="B101" s="212">
        <v>44452</v>
      </c>
      <c r="C101" s="214" t="s">
        <v>242</v>
      </c>
      <c r="D101" s="208" t="s">
        <v>243</v>
      </c>
      <c r="E101" s="208" t="s">
        <v>45</v>
      </c>
      <c r="F101" s="212" t="s">
        <v>8</v>
      </c>
      <c r="G101" s="10"/>
      <c r="H101" s="10"/>
      <c r="I101" s="10"/>
    </row>
    <row r="102" spans="1:9" ht="14.25" customHeight="1" x14ac:dyDescent="0.3">
      <c r="A102" s="208">
        <v>99</v>
      </c>
      <c r="B102" s="212">
        <v>44441</v>
      </c>
      <c r="C102" s="214" t="s">
        <v>244</v>
      </c>
      <c r="D102" s="208" t="s">
        <v>245</v>
      </c>
      <c r="E102" s="208" t="s">
        <v>45</v>
      </c>
      <c r="F102" s="212" t="s">
        <v>8</v>
      </c>
      <c r="G102" s="10"/>
      <c r="H102" s="10"/>
      <c r="I102" s="10"/>
    </row>
    <row r="103" spans="1:9" ht="14.25" customHeight="1" x14ac:dyDescent="0.3">
      <c r="A103" s="208">
        <v>100</v>
      </c>
      <c r="B103" s="212">
        <v>44453</v>
      </c>
      <c r="C103" s="214" t="s">
        <v>246</v>
      </c>
      <c r="D103" s="208" t="s">
        <v>247</v>
      </c>
      <c r="E103" s="208" t="s">
        <v>45</v>
      </c>
      <c r="F103" s="212" t="s">
        <v>8</v>
      </c>
      <c r="G103" s="10"/>
      <c r="H103" s="10"/>
      <c r="I103" s="10"/>
    </row>
    <row r="104" spans="1:9" ht="14.25" customHeight="1" x14ac:dyDescent="0.3">
      <c r="A104" s="208">
        <v>101</v>
      </c>
      <c r="B104" s="212">
        <v>44467</v>
      </c>
      <c r="C104" s="214" t="s">
        <v>248</v>
      </c>
      <c r="D104" s="208" t="s">
        <v>249</v>
      </c>
      <c r="E104" s="208" t="s">
        <v>45</v>
      </c>
      <c r="F104" s="212" t="s">
        <v>8</v>
      </c>
      <c r="G104" s="10"/>
      <c r="H104" s="10"/>
      <c r="I104" s="10"/>
    </row>
    <row r="105" spans="1:9" ht="14.25" customHeight="1" x14ac:dyDescent="0.3">
      <c r="A105" s="208">
        <v>102</v>
      </c>
      <c r="B105" s="212">
        <v>44469</v>
      </c>
      <c r="C105" s="214" t="s">
        <v>250</v>
      </c>
      <c r="D105" s="208" t="s">
        <v>251</v>
      </c>
      <c r="E105" s="208" t="s">
        <v>45</v>
      </c>
      <c r="F105" s="212" t="s">
        <v>8</v>
      </c>
      <c r="G105" s="10"/>
      <c r="H105" s="10"/>
      <c r="I105" s="10"/>
    </row>
    <row r="106" spans="1:9" ht="14.25" customHeight="1" x14ac:dyDescent="0.3">
      <c r="A106" s="208">
        <v>103</v>
      </c>
      <c r="B106" s="212">
        <v>44453</v>
      </c>
      <c r="C106" s="214" t="s">
        <v>252</v>
      </c>
      <c r="D106" s="208" t="s">
        <v>253</v>
      </c>
      <c r="E106" s="208" t="s">
        <v>45</v>
      </c>
      <c r="F106" s="212" t="s">
        <v>8</v>
      </c>
      <c r="G106" s="10"/>
      <c r="H106" s="10"/>
      <c r="I106" s="10"/>
    </row>
    <row r="107" spans="1:9" ht="14.25" customHeight="1" x14ac:dyDescent="0.3">
      <c r="A107" s="208">
        <v>104</v>
      </c>
      <c r="B107" s="212">
        <v>44451</v>
      </c>
      <c r="C107" s="214" t="s">
        <v>254</v>
      </c>
      <c r="D107" s="208" t="s">
        <v>255</v>
      </c>
      <c r="E107" s="208" t="s">
        <v>45</v>
      </c>
      <c r="F107" s="212" t="s">
        <v>8</v>
      </c>
      <c r="G107" s="10"/>
      <c r="H107" s="10"/>
      <c r="I107" s="10"/>
    </row>
    <row r="108" spans="1:9" ht="14.25" customHeight="1" x14ac:dyDescent="0.3">
      <c r="A108" s="208">
        <v>105</v>
      </c>
      <c r="B108" s="212">
        <v>44455</v>
      </c>
      <c r="C108" s="214" t="s">
        <v>256</v>
      </c>
      <c r="D108" s="208" t="s">
        <v>257</v>
      </c>
      <c r="E108" s="208" t="s">
        <v>45</v>
      </c>
      <c r="F108" s="212" t="s">
        <v>8</v>
      </c>
      <c r="G108" s="10"/>
      <c r="H108" s="10"/>
      <c r="I108" s="10"/>
    </row>
    <row r="109" spans="1:9" ht="14.25" customHeight="1" x14ac:dyDescent="0.3">
      <c r="A109" s="208">
        <v>106</v>
      </c>
      <c r="B109" s="212">
        <v>44454</v>
      </c>
      <c r="C109" s="214" t="s">
        <v>258</v>
      </c>
      <c r="D109" s="208" t="s">
        <v>259</v>
      </c>
      <c r="E109" s="208" t="s">
        <v>45</v>
      </c>
      <c r="F109" s="212" t="s">
        <v>8</v>
      </c>
      <c r="G109" s="10"/>
      <c r="H109" s="10"/>
      <c r="I109" s="10"/>
    </row>
    <row r="110" spans="1:9" ht="14.25" customHeight="1" x14ac:dyDescent="0.3">
      <c r="A110" s="208">
        <v>107</v>
      </c>
      <c r="B110" s="212">
        <v>44445</v>
      </c>
      <c r="C110" s="214" t="s">
        <v>260</v>
      </c>
      <c r="D110" s="208" t="s">
        <v>261</v>
      </c>
      <c r="E110" s="208" t="s">
        <v>45</v>
      </c>
      <c r="F110" s="212" t="s">
        <v>8</v>
      </c>
      <c r="G110" s="10"/>
      <c r="H110" s="10"/>
      <c r="I110" s="10"/>
    </row>
    <row r="111" spans="1:9" ht="14.25" customHeight="1" x14ac:dyDescent="0.3">
      <c r="A111" s="208">
        <v>108</v>
      </c>
      <c r="B111" s="212">
        <v>44462</v>
      </c>
      <c r="C111" s="214" t="s">
        <v>262</v>
      </c>
      <c r="D111" s="208" t="s">
        <v>263</v>
      </c>
      <c r="E111" s="208" t="s">
        <v>45</v>
      </c>
      <c r="F111" s="212" t="s">
        <v>8</v>
      </c>
      <c r="G111" s="10"/>
      <c r="H111" s="10"/>
      <c r="I111" s="10"/>
    </row>
    <row r="112" spans="1:9" ht="14.25" customHeight="1" x14ac:dyDescent="0.3">
      <c r="A112" s="208">
        <v>109</v>
      </c>
      <c r="B112" s="212">
        <v>44467</v>
      </c>
      <c r="C112" s="214" t="s">
        <v>264</v>
      </c>
      <c r="D112" s="208" t="s">
        <v>265</v>
      </c>
      <c r="E112" s="208" t="s">
        <v>45</v>
      </c>
      <c r="F112" s="212" t="s">
        <v>8</v>
      </c>
      <c r="G112" s="10"/>
      <c r="H112" s="10"/>
      <c r="I112" s="10"/>
    </row>
    <row r="113" spans="1:9" ht="14.25" customHeight="1" x14ac:dyDescent="0.3">
      <c r="A113" s="208">
        <v>110</v>
      </c>
      <c r="B113" s="212">
        <v>44465</v>
      </c>
      <c r="C113" s="214" t="s">
        <v>266</v>
      </c>
      <c r="D113" s="208" t="s">
        <v>267</v>
      </c>
      <c r="E113" s="208" t="s">
        <v>45</v>
      </c>
      <c r="F113" s="212" t="s">
        <v>8</v>
      </c>
      <c r="G113" s="10"/>
      <c r="H113" s="10"/>
      <c r="I113" s="10"/>
    </row>
    <row r="114" spans="1:9" ht="14.25" customHeight="1" x14ac:dyDescent="0.3">
      <c r="A114" s="208">
        <v>111</v>
      </c>
      <c r="B114" s="212">
        <v>44441</v>
      </c>
      <c r="C114" s="214" t="s">
        <v>268</v>
      </c>
      <c r="D114" s="208" t="s">
        <v>269</v>
      </c>
      <c r="E114" s="208" t="s">
        <v>270</v>
      </c>
      <c r="F114" s="212" t="s">
        <v>8</v>
      </c>
      <c r="G114" s="220" t="s">
        <v>275</v>
      </c>
      <c r="H114" s="220" t="s">
        <v>275</v>
      </c>
      <c r="I114" s="220" t="s">
        <v>272</v>
      </c>
    </row>
    <row r="115" spans="1:9" ht="14.25" customHeight="1" x14ac:dyDescent="0.3">
      <c r="A115" s="208">
        <v>112</v>
      </c>
      <c r="B115" s="212">
        <v>44459</v>
      </c>
      <c r="C115" s="214" t="s">
        <v>273</v>
      </c>
      <c r="D115" s="208" t="s">
        <v>274</v>
      </c>
      <c r="E115" s="208" t="s">
        <v>270</v>
      </c>
      <c r="F115" s="212">
        <v>43249</v>
      </c>
      <c r="G115" s="220" t="s">
        <v>275</v>
      </c>
      <c r="H115" s="220" t="s">
        <v>275</v>
      </c>
      <c r="I115" s="220" t="s">
        <v>272</v>
      </c>
    </row>
    <row r="116" spans="1:9" ht="14.25" customHeight="1" x14ac:dyDescent="0.3">
      <c r="A116" s="208">
        <v>113</v>
      </c>
      <c r="B116" s="212">
        <v>44448</v>
      </c>
      <c r="C116" s="214" t="s">
        <v>276</v>
      </c>
      <c r="D116" s="208" t="s">
        <v>277</v>
      </c>
      <c r="E116" s="208" t="s">
        <v>270</v>
      </c>
      <c r="F116" s="212" t="s">
        <v>8</v>
      </c>
      <c r="G116" s="220" t="s">
        <v>8</v>
      </c>
      <c r="H116" s="220" t="s">
        <v>275</v>
      </c>
      <c r="I116" s="220" t="s">
        <v>272</v>
      </c>
    </row>
    <row r="117" spans="1:9" ht="14.25" customHeight="1" x14ac:dyDescent="0.3">
      <c r="A117" s="208">
        <v>114</v>
      </c>
      <c r="B117" s="212">
        <v>44445</v>
      </c>
      <c r="C117" s="214" t="s">
        <v>278</v>
      </c>
      <c r="D117" s="208" t="s">
        <v>279</v>
      </c>
      <c r="E117" s="208" t="s">
        <v>270</v>
      </c>
      <c r="F117" s="212" t="s">
        <v>8</v>
      </c>
      <c r="G117" s="220" t="s">
        <v>275</v>
      </c>
      <c r="H117" s="220" t="s">
        <v>275</v>
      </c>
      <c r="I117" s="220" t="s">
        <v>272</v>
      </c>
    </row>
    <row r="118" spans="1:9" ht="14.25" customHeight="1" x14ac:dyDescent="0.3">
      <c r="A118" s="208">
        <v>115</v>
      </c>
      <c r="B118" s="212">
        <v>44452</v>
      </c>
      <c r="C118" s="214" t="s">
        <v>280</v>
      </c>
      <c r="D118" s="208" t="s">
        <v>281</v>
      </c>
      <c r="E118" s="208" t="s">
        <v>270</v>
      </c>
      <c r="F118" s="212">
        <v>44074</v>
      </c>
      <c r="G118" s="220" t="s">
        <v>8</v>
      </c>
      <c r="H118" s="220" t="s">
        <v>8</v>
      </c>
      <c r="I118" s="220" t="s">
        <v>272</v>
      </c>
    </row>
    <row r="119" spans="1:9" ht="14.25" customHeight="1" x14ac:dyDescent="0.3">
      <c r="A119" s="208">
        <v>116</v>
      </c>
      <c r="B119" s="212">
        <v>44452</v>
      </c>
      <c r="C119" s="214" t="s">
        <v>282</v>
      </c>
      <c r="D119" s="208" t="s">
        <v>283</v>
      </c>
      <c r="E119" s="208" t="s">
        <v>270</v>
      </c>
      <c r="F119" s="212">
        <v>43618</v>
      </c>
      <c r="G119" s="220" t="s">
        <v>327</v>
      </c>
      <c r="H119" s="220" t="s">
        <v>271</v>
      </c>
      <c r="I119" s="220" t="s">
        <v>272</v>
      </c>
    </row>
    <row r="120" spans="1:9" ht="14.25" customHeight="1" x14ac:dyDescent="0.3">
      <c r="A120" s="208">
        <v>117</v>
      </c>
      <c r="B120" s="212">
        <v>44454</v>
      </c>
      <c r="C120" s="214" t="s">
        <v>284</v>
      </c>
      <c r="D120" s="208" t="s">
        <v>285</v>
      </c>
      <c r="E120" s="208" t="s">
        <v>270</v>
      </c>
      <c r="F120" s="212">
        <v>43019</v>
      </c>
      <c r="G120" s="220" t="s">
        <v>8</v>
      </c>
      <c r="H120" s="220" t="s">
        <v>271</v>
      </c>
      <c r="I120" s="220" t="s">
        <v>272</v>
      </c>
    </row>
    <row r="121" spans="1:9" ht="14.25" customHeight="1" x14ac:dyDescent="0.3">
      <c r="A121" s="208">
        <v>118</v>
      </c>
      <c r="B121" s="212">
        <v>44468</v>
      </c>
      <c r="C121" s="214" t="s">
        <v>287</v>
      </c>
      <c r="D121" s="208" t="s">
        <v>288</v>
      </c>
      <c r="E121" s="208" t="s">
        <v>270</v>
      </c>
      <c r="F121" s="212">
        <v>43795</v>
      </c>
      <c r="G121" s="220" t="s">
        <v>327</v>
      </c>
      <c r="H121" s="220" t="s">
        <v>275</v>
      </c>
      <c r="I121" s="220" t="s">
        <v>272</v>
      </c>
    </row>
    <row r="122" spans="1:9" ht="14.25" customHeight="1" x14ac:dyDescent="0.3">
      <c r="A122" s="208">
        <v>119</v>
      </c>
      <c r="B122" s="212">
        <v>44441</v>
      </c>
      <c r="C122" s="214" t="s">
        <v>289</v>
      </c>
      <c r="D122" s="208" t="s">
        <v>290</v>
      </c>
      <c r="E122" s="208" t="s">
        <v>270</v>
      </c>
      <c r="F122" s="212">
        <v>42617</v>
      </c>
      <c r="G122" s="220" t="s">
        <v>275</v>
      </c>
      <c r="H122" s="220" t="s">
        <v>275</v>
      </c>
      <c r="I122" s="220" t="s">
        <v>272</v>
      </c>
    </row>
    <row r="123" spans="1:9" ht="14.25" customHeight="1" x14ac:dyDescent="0.3">
      <c r="A123" s="208">
        <v>120</v>
      </c>
      <c r="B123" s="212">
        <v>44449</v>
      </c>
      <c r="C123" s="214" t="s">
        <v>292</v>
      </c>
      <c r="D123" s="208" t="s">
        <v>293</v>
      </c>
      <c r="E123" s="208" t="s">
        <v>270</v>
      </c>
      <c r="F123" s="212">
        <v>42646</v>
      </c>
      <c r="G123" s="220" t="s">
        <v>275</v>
      </c>
      <c r="H123" s="220" t="s">
        <v>8</v>
      </c>
      <c r="I123" s="220" t="s">
        <v>272</v>
      </c>
    </row>
    <row r="124" spans="1:9" ht="14.25" customHeight="1" x14ac:dyDescent="0.3">
      <c r="A124" s="208">
        <v>121</v>
      </c>
      <c r="B124" s="212">
        <v>44463</v>
      </c>
      <c r="C124" s="214" t="s">
        <v>294</v>
      </c>
      <c r="D124" s="208" t="s">
        <v>295</v>
      </c>
      <c r="E124" s="208" t="s">
        <v>270</v>
      </c>
      <c r="F124" s="212">
        <v>44003</v>
      </c>
      <c r="G124" s="220" t="s">
        <v>275</v>
      </c>
      <c r="H124" s="220" t="s">
        <v>271</v>
      </c>
      <c r="I124" s="220" t="s">
        <v>272</v>
      </c>
    </row>
    <row r="125" spans="1:9" ht="14.25" customHeight="1" x14ac:dyDescent="0.3">
      <c r="A125" s="208">
        <v>122</v>
      </c>
      <c r="B125" s="212">
        <v>44462</v>
      </c>
      <c r="C125" s="214" t="s">
        <v>296</v>
      </c>
      <c r="D125" s="208" t="s">
        <v>297</v>
      </c>
      <c r="E125" s="208" t="s">
        <v>270</v>
      </c>
      <c r="F125" s="212">
        <v>43908</v>
      </c>
      <c r="G125" s="220" t="s">
        <v>275</v>
      </c>
      <c r="H125" s="220" t="s">
        <v>275</v>
      </c>
      <c r="I125" s="220" t="s">
        <v>272</v>
      </c>
    </row>
    <row r="126" spans="1:9" ht="14.25" customHeight="1" x14ac:dyDescent="0.3">
      <c r="A126" s="208">
        <v>123</v>
      </c>
      <c r="B126" s="212">
        <v>44464</v>
      </c>
      <c r="C126" s="214" t="s">
        <v>298</v>
      </c>
      <c r="D126" s="208" t="s">
        <v>299</v>
      </c>
      <c r="E126" s="208" t="s">
        <v>270</v>
      </c>
      <c r="F126" s="212">
        <v>42852</v>
      </c>
      <c r="G126" s="220" t="s">
        <v>271</v>
      </c>
      <c r="H126" s="220" t="s">
        <v>275</v>
      </c>
      <c r="I126" s="220" t="s">
        <v>272</v>
      </c>
    </row>
    <row r="127" spans="1:9" ht="14.25" customHeight="1" x14ac:dyDescent="0.3">
      <c r="A127" s="208">
        <v>124</v>
      </c>
      <c r="B127" s="212">
        <v>44463</v>
      </c>
      <c r="C127" s="214" t="s">
        <v>301</v>
      </c>
      <c r="D127" s="208" t="s">
        <v>302</v>
      </c>
      <c r="E127" s="208" t="s">
        <v>270</v>
      </c>
      <c r="F127" s="212" t="s">
        <v>8</v>
      </c>
      <c r="G127" s="220" t="s">
        <v>275</v>
      </c>
      <c r="H127" s="220" t="s">
        <v>271</v>
      </c>
      <c r="I127" s="220" t="s">
        <v>272</v>
      </c>
    </row>
    <row r="128" spans="1:9" ht="14.25" customHeight="1" x14ac:dyDescent="0.3">
      <c r="A128" s="208">
        <v>125</v>
      </c>
      <c r="B128" s="212">
        <v>44459</v>
      </c>
      <c r="C128" s="214" t="s">
        <v>303</v>
      </c>
      <c r="D128" s="208" t="s">
        <v>304</v>
      </c>
      <c r="E128" s="208" t="s">
        <v>270</v>
      </c>
      <c r="F128" s="212">
        <v>43496</v>
      </c>
      <c r="G128" s="220" t="s">
        <v>8</v>
      </c>
      <c r="H128" s="220" t="s">
        <v>8</v>
      </c>
      <c r="I128" s="220" t="s">
        <v>272</v>
      </c>
    </row>
    <row r="129" spans="1:9" ht="14.25" customHeight="1" x14ac:dyDescent="0.3">
      <c r="A129" s="208">
        <v>126</v>
      </c>
      <c r="B129" s="212">
        <v>44455</v>
      </c>
      <c r="C129" s="214" t="s">
        <v>306</v>
      </c>
      <c r="D129" s="208" t="s">
        <v>307</v>
      </c>
      <c r="E129" s="208" t="s">
        <v>270</v>
      </c>
      <c r="F129" s="212">
        <v>43085</v>
      </c>
      <c r="G129" s="220" t="s">
        <v>594</v>
      </c>
      <c r="H129" s="220" t="s">
        <v>275</v>
      </c>
      <c r="I129" s="220" t="s">
        <v>272</v>
      </c>
    </row>
    <row r="130" spans="1:9" ht="14.25" customHeight="1" x14ac:dyDescent="0.3">
      <c r="A130" s="208">
        <v>127</v>
      </c>
      <c r="B130" s="212">
        <v>44451</v>
      </c>
      <c r="C130" s="214" t="s">
        <v>308</v>
      </c>
      <c r="D130" s="208" t="s">
        <v>309</v>
      </c>
      <c r="E130" s="208" t="s">
        <v>270</v>
      </c>
      <c r="F130" s="212">
        <v>43899</v>
      </c>
      <c r="G130" s="220" t="s">
        <v>275</v>
      </c>
      <c r="H130" s="220" t="s">
        <v>275</v>
      </c>
      <c r="I130" s="220" t="s">
        <v>272</v>
      </c>
    </row>
    <row r="131" spans="1:9" ht="14.25" customHeight="1" x14ac:dyDescent="0.3">
      <c r="A131" s="208">
        <v>128</v>
      </c>
      <c r="B131" s="212">
        <v>44451</v>
      </c>
      <c r="C131" s="214" t="s">
        <v>310</v>
      </c>
      <c r="D131" s="208" t="s">
        <v>311</v>
      </c>
      <c r="E131" s="208" t="s">
        <v>312</v>
      </c>
      <c r="F131" s="212">
        <v>43405</v>
      </c>
      <c r="G131" s="220" t="s">
        <v>320</v>
      </c>
      <c r="H131" s="220" t="s">
        <v>854</v>
      </c>
      <c r="I131" s="220" t="s">
        <v>272</v>
      </c>
    </row>
    <row r="132" spans="1:9" ht="14.25" customHeight="1" x14ac:dyDescent="0.3">
      <c r="A132" s="208">
        <v>129</v>
      </c>
      <c r="B132" s="212">
        <v>44449</v>
      </c>
      <c r="C132" s="214" t="s">
        <v>313</v>
      </c>
      <c r="D132" s="208" t="s">
        <v>314</v>
      </c>
      <c r="E132" s="208" t="s">
        <v>270</v>
      </c>
      <c r="F132" s="212" t="s">
        <v>8</v>
      </c>
      <c r="G132" s="220" t="s">
        <v>271</v>
      </c>
      <c r="H132" s="220" t="s">
        <v>954</v>
      </c>
      <c r="I132" s="220" t="s">
        <v>272</v>
      </c>
    </row>
    <row r="133" spans="1:9" ht="14.25" customHeight="1" x14ac:dyDescent="0.3">
      <c r="A133" s="208">
        <v>130</v>
      </c>
      <c r="B133" s="212">
        <v>44454</v>
      </c>
      <c r="C133" s="214" t="s">
        <v>315</v>
      </c>
      <c r="D133" s="208" t="s">
        <v>316</v>
      </c>
      <c r="E133" s="208" t="s">
        <v>270</v>
      </c>
      <c r="F133" s="212">
        <v>43644</v>
      </c>
      <c r="G133" s="220" t="s">
        <v>275</v>
      </c>
      <c r="H133" s="220" t="s">
        <v>271</v>
      </c>
      <c r="I133" s="220" t="s">
        <v>272</v>
      </c>
    </row>
    <row r="134" spans="1:9" ht="14.25" customHeight="1" x14ac:dyDescent="0.3">
      <c r="A134" s="208">
        <v>131</v>
      </c>
      <c r="B134" s="212">
        <v>44457</v>
      </c>
      <c r="C134" s="214" t="s">
        <v>318</v>
      </c>
      <c r="D134" s="208" t="s">
        <v>319</v>
      </c>
      <c r="E134" s="208" t="s">
        <v>270</v>
      </c>
      <c r="F134" s="212">
        <v>44068</v>
      </c>
      <c r="G134" s="220" t="s">
        <v>271</v>
      </c>
      <c r="H134" s="220" t="s">
        <v>275</v>
      </c>
      <c r="I134" s="220" t="s">
        <v>272</v>
      </c>
    </row>
    <row r="135" spans="1:9" ht="14.25" customHeight="1" x14ac:dyDescent="0.3">
      <c r="A135" s="208">
        <v>132</v>
      </c>
      <c r="B135" s="212">
        <v>44442</v>
      </c>
      <c r="C135" s="214" t="s">
        <v>322</v>
      </c>
      <c r="D135" s="208" t="s">
        <v>323</v>
      </c>
      <c r="E135" s="208" t="s">
        <v>270</v>
      </c>
      <c r="F135" s="212">
        <v>42806</v>
      </c>
      <c r="G135" s="220" t="s">
        <v>275</v>
      </c>
      <c r="H135" s="220" t="s">
        <v>275</v>
      </c>
      <c r="I135" s="220" t="s">
        <v>272</v>
      </c>
    </row>
    <row r="136" spans="1:9" ht="14.25" customHeight="1" x14ac:dyDescent="0.3">
      <c r="A136" s="208">
        <v>133</v>
      </c>
      <c r="B136" s="212">
        <v>44461</v>
      </c>
      <c r="C136" s="214" t="s">
        <v>325</v>
      </c>
      <c r="D136" s="208" t="s">
        <v>326</v>
      </c>
      <c r="E136" s="208" t="s">
        <v>270</v>
      </c>
      <c r="F136" s="212">
        <v>43214</v>
      </c>
      <c r="G136" s="220" t="s">
        <v>275</v>
      </c>
      <c r="H136" s="220" t="s">
        <v>8</v>
      </c>
      <c r="I136" s="220" t="s">
        <v>272</v>
      </c>
    </row>
    <row r="137" spans="1:9" ht="14.25" customHeight="1" x14ac:dyDescent="0.3">
      <c r="A137" s="208">
        <v>134</v>
      </c>
      <c r="B137" s="212">
        <v>44456</v>
      </c>
      <c r="C137" s="214" t="s">
        <v>328</v>
      </c>
      <c r="D137" s="208" t="s">
        <v>329</v>
      </c>
      <c r="E137" s="208" t="s">
        <v>270</v>
      </c>
      <c r="F137" s="212">
        <v>43857</v>
      </c>
      <c r="G137" s="220" t="s">
        <v>275</v>
      </c>
      <c r="H137" s="220" t="s">
        <v>8</v>
      </c>
      <c r="I137" s="220" t="s">
        <v>272</v>
      </c>
    </row>
    <row r="138" spans="1:9" ht="14.25" customHeight="1" x14ac:dyDescent="0.3">
      <c r="A138" s="208">
        <v>135</v>
      </c>
      <c r="B138" s="212">
        <v>44461</v>
      </c>
      <c r="C138" s="214" t="s">
        <v>330</v>
      </c>
      <c r="D138" s="208" t="s">
        <v>331</v>
      </c>
      <c r="E138" s="208" t="s">
        <v>270</v>
      </c>
      <c r="F138" s="212">
        <v>42850</v>
      </c>
      <c r="G138" s="220" t="s">
        <v>275</v>
      </c>
      <c r="H138" s="220" t="s">
        <v>271</v>
      </c>
      <c r="I138" s="220" t="s">
        <v>272</v>
      </c>
    </row>
    <row r="139" spans="1:9" ht="14.25" customHeight="1" x14ac:dyDescent="0.3">
      <c r="A139" s="208">
        <v>136</v>
      </c>
      <c r="B139" s="212">
        <v>44441</v>
      </c>
      <c r="C139" s="214" t="s">
        <v>332</v>
      </c>
      <c r="D139" s="208" t="s">
        <v>333</v>
      </c>
      <c r="E139" s="208" t="s">
        <v>270</v>
      </c>
      <c r="F139" s="212">
        <v>43653</v>
      </c>
      <c r="G139" s="220" t="s">
        <v>8</v>
      </c>
      <c r="H139" s="220" t="s">
        <v>8</v>
      </c>
      <c r="I139" s="220" t="s">
        <v>272</v>
      </c>
    </row>
    <row r="140" spans="1:9" ht="14.25" customHeight="1" x14ac:dyDescent="0.3">
      <c r="A140" s="208">
        <v>137</v>
      </c>
      <c r="B140" s="212">
        <v>44441</v>
      </c>
      <c r="C140" s="214" t="s">
        <v>334</v>
      </c>
      <c r="D140" s="208" t="s">
        <v>335</v>
      </c>
      <c r="E140" s="208" t="s">
        <v>270</v>
      </c>
      <c r="F140" s="212">
        <v>43885</v>
      </c>
      <c r="G140" s="220" t="s">
        <v>275</v>
      </c>
      <c r="H140" s="220" t="s">
        <v>271</v>
      </c>
      <c r="I140" s="220" t="s">
        <v>272</v>
      </c>
    </row>
    <row r="141" spans="1:9" ht="14.25" customHeight="1" x14ac:dyDescent="0.3">
      <c r="A141" s="208">
        <v>138</v>
      </c>
      <c r="B141" s="212">
        <v>44441</v>
      </c>
      <c r="C141" s="214" t="s">
        <v>336</v>
      </c>
      <c r="D141" s="208" t="s">
        <v>337</v>
      </c>
      <c r="E141" s="208" t="s">
        <v>270</v>
      </c>
      <c r="F141" s="212" t="s">
        <v>8</v>
      </c>
      <c r="G141" s="220" t="s">
        <v>271</v>
      </c>
      <c r="H141" s="220" t="s">
        <v>275</v>
      </c>
      <c r="I141" s="220" t="s">
        <v>272</v>
      </c>
    </row>
    <row r="142" spans="1:9" ht="14.25" customHeight="1" x14ac:dyDescent="0.3">
      <c r="A142" s="208">
        <v>139</v>
      </c>
      <c r="B142" s="212">
        <v>44448</v>
      </c>
      <c r="C142" s="214" t="s">
        <v>338</v>
      </c>
      <c r="D142" s="208" t="s">
        <v>339</v>
      </c>
      <c r="E142" s="208" t="s">
        <v>56</v>
      </c>
      <c r="F142" s="212">
        <v>43924</v>
      </c>
      <c r="G142" s="220" t="s">
        <v>275</v>
      </c>
      <c r="H142" s="220" t="s">
        <v>275</v>
      </c>
      <c r="I142" s="220" t="s">
        <v>341</v>
      </c>
    </row>
    <row r="143" spans="1:9" ht="14.25" customHeight="1" x14ac:dyDescent="0.3">
      <c r="A143" s="208">
        <v>140</v>
      </c>
      <c r="B143" s="212">
        <v>44444</v>
      </c>
      <c r="C143" s="214" t="s">
        <v>342</v>
      </c>
      <c r="D143" s="208" t="s">
        <v>343</v>
      </c>
      <c r="E143" s="208" t="s">
        <v>56</v>
      </c>
      <c r="F143" s="212" t="s">
        <v>8</v>
      </c>
      <c r="G143" s="220" t="s">
        <v>8</v>
      </c>
      <c r="H143" s="220" t="s">
        <v>317</v>
      </c>
      <c r="I143" s="220" t="s">
        <v>341</v>
      </c>
    </row>
    <row r="144" spans="1:9" ht="14.25" customHeight="1" x14ac:dyDescent="0.3">
      <c r="A144" s="208">
        <v>141</v>
      </c>
      <c r="B144" s="212">
        <v>44455</v>
      </c>
      <c r="C144" s="214" t="s">
        <v>344</v>
      </c>
      <c r="D144" s="208" t="s">
        <v>345</v>
      </c>
      <c r="E144" s="208" t="s">
        <v>346</v>
      </c>
      <c r="F144" s="212">
        <v>43110</v>
      </c>
      <c r="G144" s="220" t="s">
        <v>271</v>
      </c>
      <c r="H144" s="220" t="s">
        <v>8</v>
      </c>
      <c r="I144" s="220" t="s">
        <v>272</v>
      </c>
    </row>
    <row r="145" spans="1:9" ht="14.25" customHeight="1" x14ac:dyDescent="0.3">
      <c r="A145" s="208">
        <v>142</v>
      </c>
      <c r="B145" s="212">
        <v>44457</v>
      </c>
      <c r="C145" s="214" t="s">
        <v>347</v>
      </c>
      <c r="D145" s="208" t="s">
        <v>348</v>
      </c>
      <c r="E145" s="208" t="s">
        <v>312</v>
      </c>
      <c r="F145" s="212">
        <v>44027</v>
      </c>
      <c r="G145" s="220" t="s">
        <v>275</v>
      </c>
      <c r="H145" s="220" t="s">
        <v>271</v>
      </c>
      <c r="I145" s="220" t="s">
        <v>272</v>
      </c>
    </row>
    <row r="146" spans="1:9" ht="14.25" customHeight="1" x14ac:dyDescent="0.3">
      <c r="A146" s="208">
        <v>143</v>
      </c>
      <c r="B146" s="212">
        <v>44446</v>
      </c>
      <c r="C146" s="214" t="s">
        <v>349</v>
      </c>
      <c r="D146" s="208" t="s">
        <v>350</v>
      </c>
      <c r="E146" s="208" t="s">
        <v>346</v>
      </c>
      <c r="F146" s="212" t="s">
        <v>8</v>
      </c>
      <c r="G146" s="220" t="s">
        <v>275</v>
      </c>
      <c r="H146" s="220" t="s">
        <v>271</v>
      </c>
      <c r="I146" s="220" t="s">
        <v>272</v>
      </c>
    </row>
    <row r="147" spans="1:9" ht="14.25" customHeight="1" x14ac:dyDescent="0.3">
      <c r="A147" s="208">
        <v>144</v>
      </c>
      <c r="B147" s="212">
        <v>44440</v>
      </c>
      <c r="C147" s="214" t="s">
        <v>351</v>
      </c>
      <c r="D147" s="208" t="s">
        <v>352</v>
      </c>
      <c r="E147" s="208" t="s">
        <v>270</v>
      </c>
      <c r="F147" s="212">
        <v>43111</v>
      </c>
      <c r="G147" s="220" t="s">
        <v>275</v>
      </c>
      <c r="H147" s="220" t="s">
        <v>271</v>
      </c>
      <c r="I147" s="220" t="s">
        <v>272</v>
      </c>
    </row>
    <row r="148" spans="1:9" ht="14.25" customHeight="1" x14ac:dyDescent="0.3">
      <c r="A148" s="208">
        <v>145</v>
      </c>
      <c r="B148" s="212">
        <v>44461</v>
      </c>
      <c r="C148" s="214" t="s">
        <v>353</v>
      </c>
      <c r="D148" s="208" t="s">
        <v>354</v>
      </c>
      <c r="E148" s="208" t="s">
        <v>270</v>
      </c>
      <c r="F148" s="212">
        <v>43961</v>
      </c>
      <c r="G148" s="220" t="s">
        <v>8</v>
      </c>
      <c r="H148" s="220" t="s">
        <v>275</v>
      </c>
      <c r="I148" s="220" t="s">
        <v>272</v>
      </c>
    </row>
    <row r="149" spans="1:9" ht="14.25" customHeight="1" x14ac:dyDescent="0.3">
      <c r="A149" s="208">
        <v>146</v>
      </c>
      <c r="B149" s="212">
        <v>44456</v>
      </c>
      <c r="C149" s="214" t="s">
        <v>355</v>
      </c>
      <c r="D149" s="208" t="s">
        <v>356</v>
      </c>
      <c r="E149" s="208" t="s">
        <v>45</v>
      </c>
      <c r="F149" s="212">
        <v>43547</v>
      </c>
      <c r="G149" s="220" t="s">
        <v>275</v>
      </c>
      <c r="H149" s="220" t="s">
        <v>275</v>
      </c>
      <c r="I149" s="220" t="s">
        <v>272</v>
      </c>
    </row>
    <row r="150" spans="1:9" ht="14.25" customHeight="1" x14ac:dyDescent="0.3">
      <c r="A150" s="208">
        <v>147</v>
      </c>
      <c r="B150" s="212">
        <v>44446</v>
      </c>
      <c r="C150" s="214" t="s">
        <v>357</v>
      </c>
      <c r="D150" s="208" t="s">
        <v>358</v>
      </c>
      <c r="E150" s="208" t="s">
        <v>45</v>
      </c>
      <c r="F150" s="212">
        <v>43215</v>
      </c>
      <c r="G150" s="220" t="s">
        <v>271</v>
      </c>
      <c r="H150" s="220" t="s">
        <v>275</v>
      </c>
      <c r="I150" s="220" t="s">
        <v>272</v>
      </c>
    </row>
    <row r="151" spans="1:9" ht="14.25" customHeight="1" x14ac:dyDescent="0.3">
      <c r="A151" s="208">
        <v>148</v>
      </c>
      <c r="B151" s="212">
        <v>44445</v>
      </c>
      <c r="C151" s="214" t="s">
        <v>359</v>
      </c>
      <c r="D151" s="208" t="s">
        <v>360</v>
      </c>
      <c r="E151" s="208" t="s">
        <v>45</v>
      </c>
      <c r="F151" s="212">
        <v>43264</v>
      </c>
      <c r="G151" s="220" t="s">
        <v>271</v>
      </c>
      <c r="H151" s="220" t="s">
        <v>8</v>
      </c>
      <c r="I151" s="220" t="s">
        <v>272</v>
      </c>
    </row>
    <row r="152" spans="1:9" ht="14.25" customHeight="1" x14ac:dyDescent="0.3">
      <c r="A152" s="208">
        <v>149</v>
      </c>
      <c r="B152" s="212">
        <v>44451</v>
      </c>
      <c r="C152" s="214" t="s">
        <v>361</v>
      </c>
      <c r="D152" s="208" t="s">
        <v>362</v>
      </c>
      <c r="E152" s="208" t="s">
        <v>45</v>
      </c>
      <c r="F152" s="212" t="s">
        <v>8</v>
      </c>
      <c r="G152" s="220" t="s">
        <v>8</v>
      </c>
      <c r="H152" s="220" t="s">
        <v>275</v>
      </c>
      <c r="I152" s="220" t="s">
        <v>272</v>
      </c>
    </row>
    <row r="153" spans="1:9" ht="14.25" customHeight="1" x14ac:dyDescent="0.3">
      <c r="A153" s="208">
        <v>150</v>
      </c>
      <c r="B153" s="212">
        <v>44440</v>
      </c>
      <c r="C153" s="214" t="s">
        <v>364</v>
      </c>
      <c r="D153" s="208" t="s">
        <v>365</v>
      </c>
      <c r="E153" s="208" t="s">
        <v>45</v>
      </c>
      <c r="F153" s="212">
        <v>43301</v>
      </c>
      <c r="G153" s="220" t="s">
        <v>8</v>
      </c>
      <c r="H153" s="220" t="s">
        <v>8</v>
      </c>
      <c r="I153" s="220" t="s">
        <v>272</v>
      </c>
    </row>
    <row r="154" spans="1:9" ht="14.25" customHeight="1" x14ac:dyDescent="0.3">
      <c r="A154" s="208">
        <v>151</v>
      </c>
      <c r="B154" s="212">
        <v>44452</v>
      </c>
      <c r="C154" s="214" t="s">
        <v>366</v>
      </c>
      <c r="D154" s="208" t="s">
        <v>367</v>
      </c>
      <c r="E154" s="208" t="s">
        <v>45</v>
      </c>
      <c r="F154" s="212">
        <v>42695</v>
      </c>
      <c r="G154" s="220" t="s">
        <v>275</v>
      </c>
      <c r="H154" s="220" t="s">
        <v>275</v>
      </c>
      <c r="I154" s="220" t="s">
        <v>272</v>
      </c>
    </row>
    <row r="155" spans="1:9" ht="14.25" customHeight="1" x14ac:dyDescent="0.3">
      <c r="A155" s="208">
        <v>152</v>
      </c>
      <c r="B155" s="212">
        <v>44456</v>
      </c>
      <c r="C155" s="214" t="s">
        <v>368</v>
      </c>
      <c r="D155" s="208" t="s">
        <v>369</v>
      </c>
      <c r="E155" s="208" t="s">
        <v>45</v>
      </c>
      <c r="F155" s="212">
        <v>43949</v>
      </c>
      <c r="G155" s="220" t="s">
        <v>271</v>
      </c>
      <c r="H155" s="220" t="s">
        <v>271</v>
      </c>
      <c r="I155" s="220" t="s">
        <v>272</v>
      </c>
    </row>
    <row r="156" spans="1:9" ht="14.25" customHeight="1" x14ac:dyDescent="0.3">
      <c r="A156" s="208">
        <v>153</v>
      </c>
      <c r="B156" s="212">
        <v>44440</v>
      </c>
      <c r="C156" s="214" t="s">
        <v>370</v>
      </c>
      <c r="D156" s="208" t="s">
        <v>371</v>
      </c>
      <c r="E156" s="208" t="s">
        <v>372</v>
      </c>
      <c r="F156" s="212">
        <v>43877</v>
      </c>
      <c r="G156" s="220" t="s">
        <v>271</v>
      </c>
      <c r="H156" s="220" t="s">
        <v>320</v>
      </c>
      <c r="I156" s="220" t="s">
        <v>272</v>
      </c>
    </row>
    <row r="157" spans="1:9" ht="14.25" customHeight="1" x14ac:dyDescent="0.3">
      <c r="A157" s="208">
        <v>154</v>
      </c>
      <c r="B157" s="212">
        <v>44442</v>
      </c>
      <c r="C157" s="214" t="s">
        <v>373</v>
      </c>
      <c r="D157" s="208" t="s">
        <v>374</v>
      </c>
      <c r="E157" s="208" t="s">
        <v>45</v>
      </c>
      <c r="F157" s="212" t="s">
        <v>8</v>
      </c>
      <c r="G157" s="220" t="s">
        <v>8</v>
      </c>
      <c r="H157" s="220" t="s">
        <v>8</v>
      </c>
      <c r="I157" s="220" t="s">
        <v>272</v>
      </c>
    </row>
    <row r="158" spans="1:9" ht="14.25" customHeight="1" x14ac:dyDescent="0.3">
      <c r="A158" s="208">
        <v>155</v>
      </c>
      <c r="B158" s="212">
        <v>44466</v>
      </c>
      <c r="C158" s="214" t="s">
        <v>375</v>
      </c>
      <c r="D158" s="208" t="s">
        <v>376</v>
      </c>
      <c r="E158" s="208" t="s">
        <v>45</v>
      </c>
      <c r="F158" s="212">
        <v>42644</v>
      </c>
      <c r="G158" s="220" t="s">
        <v>271</v>
      </c>
      <c r="H158" s="220" t="s">
        <v>271</v>
      </c>
      <c r="I158" s="220" t="s">
        <v>272</v>
      </c>
    </row>
    <row r="159" spans="1:9" ht="14.25" customHeight="1" x14ac:dyDescent="0.3">
      <c r="A159" s="208">
        <v>156</v>
      </c>
      <c r="B159" s="212">
        <v>44447</v>
      </c>
      <c r="C159" s="214" t="s">
        <v>377</v>
      </c>
      <c r="D159" s="208" t="s">
        <v>378</v>
      </c>
      <c r="E159" s="208" t="s">
        <v>56</v>
      </c>
      <c r="F159" s="212">
        <v>42636</v>
      </c>
      <c r="G159" s="220" t="s">
        <v>275</v>
      </c>
      <c r="H159" s="220" t="s">
        <v>271</v>
      </c>
      <c r="I159" s="220" t="s">
        <v>272</v>
      </c>
    </row>
    <row r="160" spans="1:9" ht="14.25" customHeight="1" x14ac:dyDescent="0.3">
      <c r="A160" s="208">
        <v>157</v>
      </c>
      <c r="B160" s="212">
        <v>44453</v>
      </c>
      <c r="C160" s="214" t="s">
        <v>379</v>
      </c>
      <c r="D160" s="208" t="s">
        <v>380</v>
      </c>
      <c r="E160" s="208" t="s">
        <v>45</v>
      </c>
      <c r="F160" s="212">
        <v>43675</v>
      </c>
      <c r="G160" s="220" t="s">
        <v>275</v>
      </c>
      <c r="H160" s="220" t="s">
        <v>275</v>
      </c>
      <c r="I160" s="220" t="s">
        <v>272</v>
      </c>
    </row>
    <row r="161" spans="1:9" ht="14.25" customHeight="1" x14ac:dyDescent="0.3">
      <c r="A161" s="208">
        <v>158</v>
      </c>
      <c r="B161" s="212">
        <v>44452</v>
      </c>
      <c r="C161" s="214" t="s">
        <v>381</v>
      </c>
      <c r="D161" s="208" t="s">
        <v>382</v>
      </c>
      <c r="E161" s="208" t="s">
        <v>270</v>
      </c>
      <c r="F161" s="212">
        <v>43871</v>
      </c>
      <c r="G161" s="220" t="s">
        <v>271</v>
      </c>
      <c r="H161" s="220" t="s">
        <v>271</v>
      </c>
      <c r="I161" s="220" t="s">
        <v>272</v>
      </c>
    </row>
    <row r="162" spans="1:9" ht="14.25" customHeight="1" x14ac:dyDescent="0.3">
      <c r="A162" s="208">
        <v>159</v>
      </c>
      <c r="B162" s="212">
        <v>44462</v>
      </c>
      <c r="C162" s="214" t="s">
        <v>383</v>
      </c>
      <c r="D162" s="208" t="s">
        <v>384</v>
      </c>
      <c r="E162" s="208" t="s">
        <v>372</v>
      </c>
      <c r="F162" s="212" t="s">
        <v>8</v>
      </c>
      <c r="G162" s="220" t="s">
        <v>275</v>
      </c>
      <c r="H162" s="220" t="s">
        <v>275</v>
      </c>
      <c r="I162" s="220" t="s">
        <v>272</v>
      </c>
    </row>
    <row r="163" spans="1:9" ht="14.25" customHeight="1" x14ac:dyDescent="0.3">
      <c r="A163" s="208">
        <v>160</v>
      </c>
      <c r="B163" s="212">
        <v>44469</v>
      </c>
      <c r="C163" s="214" t="s">
        <v>385</v>
      </c>
      <c r="D163" s="208" t="s">
        <v>386</v>
      </c>
      <c r="E163" s="208" t="s">
        <v>45</v>
      </c>
      <c r="F163" s="212">
        <v>44071</v>
      </c>
      <c r="G163" s="220" t="s">
        <v>275</v>
      </c>
      <c r="H163" s="220" t="s">
        <v>594</v>
      </c>
      <c r="I163" s="220" t="s">
        <v>272</v>
      </c>
    </row>
    <row r="164" spans="1:9" ht="14.25" customHeight="1" x14ac:dyDescent="0.3">
      <c r="A164" s="208">
        <v>161</v>
      </c>
      <c r="B164" s="212">
        <v>44494</v>
      </c>
      <c r="C164" s="214" t="s">
        <v>387</v>
      </c>
      <c r="D164" s="208" t="s">
        <v>388</v>
      </c>
      <c r="E164" s="208" t="s">
        <v>56</v>
      </c>
      <c r="F164" s="212">
        <v>43697</v>
      </c>
      <c r="G164" s="220" t="s">
        <v>271</v>
      </c>
      <c r="H164" s="220" t="s">
        <v>271</v>
      </c>
      <c r="I164" s="220" t="s">
        <v>272</v>
      </c>
    </row>
    <row r="165" spans="1:9" ht="14.25" customHeight="1" x14ac:dyDescent="0.3">
      <c r="A165" s="208">
        <v>162</v>
      </c>
      <c r="B165" s="212">
        <v>44486</v>
      </c>
      <c r="C165" s="214" t="s">
        <v>389</v>
      </c>
      <c r="D165" s="208" t="s">
        <v>390</v>
      </c>
      <c r="E165" s="208" t="s">
        <v>78</v>
      </c>
      <c r="F165" s="212">
        <v>43360</v>
      </c>
      <c r="G165" s="220" t="s">
        <v>271</v>
      </c>
      <c r="H165" s="220" t="s">
        <v>271</v>
      </c>
      <c r="I165" s="220" t="s">
        <v>272</v>
      </c>
    </row>
    <row r="166" spans="1:9" ht="14.25" customHeight="1" x14ac:dyDescent="0.3">
      <c r="A166" s="208">
        <v>163</v>
      </c>
      <c r="B166" s="212">
        <v>44495</v>
      </c>
      <c r="C166" s="214" t="s">
        <v>391</v>
      </c>
      <c r="D166" s="208" t="s">
        <v>392</v>
      </c>
      <c r="E166" s="208" t="s">
        <v>111</v>
      </c>
      <c r="F166" s="212">
        <v>43997</v>
      </c>
      <c r="G166" s="220" t="s">
        <v>8</v>
      </c>
      <c r="H166" s="220" t="s">
        <v>275</v>
      </c>
      <c r="I166" s="220" t="s">
        <v>272</v>
      </c>
    </row>
    <row r="167" spans="1:9" ht="14.25" customHeight="1" x14ac:dyDescent="0.3">
      <c r="A167" s="208">
        <v>164</v>
      </c>
      <c r="B167" s="212">
        <v>44472</v>
      </c>
      <c r="C167" s="214" t="s">
        <v>393</v>
      </c>
      <c r="D167" s="208" t="s">
        <v>394</v>
      </c>
      <c r="E167" s="208" t="s">
        <v>45</v>
      </c>
      <c r="F167" s="212" t="s">
        <v>8</v>
      </c>
      <c r="G167" s="220" t="s">
        <v>271</v>
      </c>
      <c r="H167" s="220" t="s">
        <v>271</v>
      </c>
      <c r="I167" s="220" t="s">
        <v>272</v>
      </c>
    </row>
    <row r="168" spans="1:9" ht="14.25" customHeight="1" x14ac:dyDescent="0.3">
      <c r="A168" s="208">
        <v>165</v>
      </c>
      <c r="B168" s="212">
        <v>44483</v>
      </c>
      <c r="C168" s="214" t="s">
        <v>395</v>
      </c>
      <c r="D168" s="208" t="s">
        <v>396</v>
      </c>
      <c r="E168" s="208" t="s">
        <v>270</v>
      </c>
      <c r="F168" s="212">
        <v>42901</v>
      </c>
      <c r="G168" s="220" t="s">
        <v>271</v>
      </c>
      <c r="H168" s="220" t="s">
        <v>271</v>
      </c>
      <c r="I168" s="220" t="s">
        <v>272</v>
      </c>
    </row>
    <row r="169" spans="1:9" ht="14.25" customHeight="1" x14ac:dyDescent="0.3">
      <c r="A169" s="208">
        <v>166</v>
      </c>
      <c r="B169" s="212">
        <v>44494</v>
      </c>
      <c r="C169" s="214" t="s">
        <v>397</v>
      </c>
      <c r="D169" s="208" t="s">
        <v>398</v>
      </c>
      <c r="E169" s="208" t="s">
        <v>45</v>
      </c>
      <c r="F169" s="212" t="s">
        <v>8</v>
      </c>
      <c r="G169" s="220" t="s">
        <v>271</v>
      </c>
      <c r="H169" s="220" t="s">
        <v>271</v>
      </c>
      <c r="I169" s="220" t="s">
        <v>272</v>
      </c>
    </row>
    <row r="170" spans="1:9" ht="14.25" customHeight="1" x14ac:dyDescent="0.3">
      <c r="A170" s="208">
        <v>167</v>
      </c>
      <c r="B170" s="212">
        <v>44487</v>
      </c>
      <c r="C170" s="214" t="s">
        <v>399</v>
      </c>
      <c r="D170" s="208" t="s">
        <v>400</v>
      </c>
      <c r="E170" s="208" t="s">
        <v>45</v>
      </c>
      <c r="F170" s="212">
        <v>43541</v>
      </c>
      <c r="G170" s="220" t="s">
        <v>271</v>
      </c>
      <c r="H170" s="220" t="s">
        <v>8</v>
      </c>
      <c r="I170" s="220" t="s">
        <v>272</v>
      </c>
    </row>
    <row r="171" spans="1:9" ht="14.25" customHeight="1" x14ac:dyDescent="0.3">
      <c r="A171" s="208">
        <v>168</v>
      </c>
      <c r="B171" s="212">
        <v>44474</v>
      </c>
      <c r="C171" s="214" t="s">
        <v>401</v>
      </c>
      <c r="D171" s="208" t="s">
        <v>402</v>
      </c>
      <c r="E171" s="208" t="s">
        <v>45</v>
      </c>
      <c r="F171" s="212">
        <v>43017</v>
      </c>
      <c r="G171" s="220" t="s">
        <v>275</v>
      </c>
      <c r="H171" s="220" t="s">
        <v>275</v>
      </c>
      <c r="I171" s="220" t="s">
        <v>272</v>
      </c>
    </row>
    <row r="172" spans="1:9" ht="14.25" customHeight="1" x14ac:dyDescent="0.3">
      <c r="A172" s="208">
        <v>169</v>
      </c>
      <c r="B172" s="212">
        <v>44499</v>
      </c>
      <c r="C172" s="214" t="s">
        <v>403</v>
      </c>
      <c r="D172" s="208" t="s">
        <v>404</v>
      </c>
      <c r="E172" s="208" t="s">
        <v>45</v>
      </c>
      <c r="F172" s="212">
        <v>43637</v>
      </c>
      <c r="G172" s="220" t="s">
        <v>8</v>
      </c>
      <c r="H172" s="220" t="s">
        <v>275</v>
      </c>
      <c r="I172" s="220" t="s">
        <v>272</v>
      </c>
    </row>
    <row r="173" spans="1:9" ht="14.25" customHeight="1" x14ac:dyDescent="0.3">
      <c r="A173" s="208">
        <v>170</v>
      </c>
      <c r="B173" s="212">
        <v>44500</v>
      </c>
      <c r="C173" s="214" t="s">
        <v>405</v>
      </c>
      <c r="D173" s="208" t="s">
        <v>406</v>
      </c>
      <c r="E173" s="208" t="s">
        <v>45</v>
      </c>
      <c r="F173" s="212">
        <v>43653</v>
      </c>
      <c r="G173" s="220" t="s">
        <v>275</v>
      </c>
      <c r="H173" s="220" t="s">
        <v>275</v>
      </c>
      <c r="I173" s="220" t="s">
        <v>272</v>
      </c>
    </row>
    <row r="174" spans="1:9" ht="14.25" customHeight="1" x14ac:dyDescent="0.3">
      <c r="A174" s="208">
        <v>171</v>
      </c>
      <c r="B174" s="212">
        <v>44499</v>
      </c>
      <c r="C174" s="214" t="s">
        <v>407</v>
      </c>
      <c r="D174" s="208" t="s">
        <v>408</v>
      </c>
      <c r="E174" s="208" t="s">
        <v>75</v>
      </c>
      <c r="F174" s="212">
        <v>42868</v>
      </c>
      <c r="G174" s="220" t="s">
        <v>275</v>
      </c>
      <c r="H174" s="220" t="s">
        <v>8</v>
      </c>
      <c r="I174" s="220" t="s">
        <v>272</v>
      </c>
    </row>
    <row r="175" spans="1:9" ht="14.25" customHeight="1" x14ac:dyDescent="0.3">
      <c r="A175" s="208">
        <v>172</v>
      </c>
      <c r="B175" s="212">
        <v>44487</v>
      </c>
      <c r="C175" s="214" t="s">
        <v>409</v>
      </c>
      <c r="D175" s="208" t="s">
        <v>410</v>
      </c>
      <c r="E175" s="208" t="s">
        <v>45</v>
      </c>
      <c r="F175" s="212">
        <v>43841</v>
      </c>
      <c r="G175" s="220" t="s">
        <v>275</v>
      </c>
      <c r="H175" s="220" t="s">
        <v>271</v>
      </c>
      <c r="I175" s="220" t="s">
        <v>272</v>
      </c>
    </row>
    <row r="176" spans="1:9" ht="14.25" customHeight="1" x14ac:dyDescent="0.3">
      <c r="A176" s="208">
        <v>173</v>
      </c>
      <c r="B176" s="212">
        <v>44473</v>
      </c>
      <c r="C176" s="214" t="s">
        <v>411</v>
      </c>
      <c r="D176" s="208" t="s">
        <v>412</v>
      </c>
      <c r="E176" s="208" t="s">
        <v>45</v>
      </c>
      <c r="F176" s="212">
        <v>43144</v>
      </c>
      <c r="G176" s="220" t="s">
        <v>275</v>
      </c>
      <c r="H176" s="220" t="s">
        <v>993</v>
      </c>
      <c r="I176" s="220" t="s">
        <v>272</v>
      </c>
    </row>
    <row r="177" spans="1:9" ht="14.25" customHeight="1" x14ac:dyDescent="0.3">
      <c r="A177" s="208">
        <v>174</v>
      </c>
      <c r="B177" s="212">
        <v>44490</v>
      </c>
      <c r="C177" s="214" t="s">
        <v>413</v>
      </c>
      <c r="D177" s="208" t="s">
        <v>414</v>
      </c>
      <c r="E177" s="208" t="s">
        <v>45</v>
      </c>
      <c r="F177" s="212">
        <v>43733</v>
      </c>
      <c r="G177" s="220" t="s">
        <v>340</v>
      </c>
      <c r="H177" s="220" t="s">
        <v>275</v>
      </c>
      <c r="I177" s="220" t="s">
        <v>272</v>
      </c>
    </row>
    <row r="178" spans="1:9" ht="14.25" customHeight="1" x14ac:dyDescent="0.3">
      <c r="A178" s="208">
        <v>175</v>
      </c>
      <c r="B178" s="212">
        <v>44477</v>
      </c>
      <c r="C178" s="214" t="s">
        <v>415</v>
      </c>
      <c r="D178" s="208" t="s">
        <v>416</v>
      </c>
      <c r="E178" s="208" t="s">
        <v>75</v>
      </c>
      <c r="F178" s="212">
        <v>43387</v>
      </c>
      <c r="G178" s="220" t="s">
        <v>305</v>
      </c>
      <c r="H178" s="220" t="s">
        <v>275</v>
      </c>
      <c r="I178" s="220" t="s">
        <v>272</v>
      </c>
    </row>
    <row r="179" spans="1:9" ht="14.25" customHeight="1" x14ac:dyDescent="0.3">
      <c r="A179" s="208">
        <v>176</v>
      </c>
      <c r="B179" s="212">
        <v>44495</v>
      </c>
      <c r="C179" s="214" t="s">
        <v>417</v>
      </c>
      <c r="D179" s="208" t="s">
        <v>418</v>
      </c>
      <c r="E179" s="208" t="s">
        <v>75</v>
      </c>
      <c r="F179" s="212">
        <v>42827</v>
      </c>
      <c r="G179" s="220" t="s">
        <v>275</v>
      </c>
      <c r="H179" s="220" t="s">
        <v>271</v>
      </c>
      <c r="I179" s="220" t="s">
        <v>272</v>
      </c>
    </row>
    <row r="180" spans="1:9" ht="14.25" customHeight="1" x14ac:dyDescent="0.3">
      <c r="A180" s="208">
        <v>177</v>
      </c>
      <c r="B180" s="212">
        <v>44479</v>
      </c>
      <c r="C180" s="214" t="s">
        <v>419</v>
      </c>
      <c r="D180" s="208" t="s">
        <v>420</v>
      </c>
      <c r="E180" s="208" t="s">
        <v>45</v>
      </c>
      <c r="F180" s="212">
        <v>43642</v>
      </c>
      <c r="G180" s="220" t="s">
        <v>275</v>
      </c>
      <c r="H180" s="220" t="s">
        <v>271</v>
      </c>
      <c r="I180" s="220" t="s">
        <v>272</v>
      </c>
    </row>
    <row r="181" spans="1:9" ht="14.25" customHeight="1" x14ac:dyDescent="0.3">
      <c r="A181" s="208">
        <v>178</v>
      </c>
      <c r="B181" s="212">
        <v>44482</v>
      </c>
      <c r="C181" s="214" t="s">
        <v>421</v>
      </c>
      <c r="D181" s="208" t="s">
        <v>422</v>
      </c>
      <c r="E181" s="208" t="s">
        <v>45</v>
      </c>
      <c r="F181" s="212">
        <v>43723</v>
      </c>
      <c r="G181" s="220" t="s">
        <v>8</v>
      </c>
      <c r="H181" s="220" t="s">
        <v>8</v>
      </c>
      <c r="I181" s="220" t="s">
        <v>272</v>
      </c>
    </row>
    <row r="182" spans="1:9" ht="14.25" customHeight="1" x14ac:dyDescent="0.3">
      <c r="A182" s="208">
        <v>179</v>
      </c>
      <c r="B182" s="212">
        <v>44494</v>
      </c>
      <c r="C182" s="214" t="s">
        <v>423</v>
      </c>
      <c r="D182" s="208" t="s">
        <v>424</v>
      </c>
      <c r="E182" s="208" t="s">
        <v>270</v>
      </c>
      <c r="F182" s="212">
        <v>43499</v>
      </c>
      <c r="G182" s="220" t="s">
        <v>275</v>
      </c>
      <c r="H182" s="220" t="s">
        <v>275</v>
      </c>
      <c r="I182" s="220" t="s">
        <v>272</v>
      </c>
    </row>
    <row r="183" spans="1:9" ht="14.25" customHeight="1" x14ac:dyDescent="0.3">
      <c r="A183" s="208">
        <v>180</v>
      </c>
      <c r="B183" s="212">
        <v>44495</v>
      </c>
      <c r="C183" s="214" t="s">
        <v>425</v>
      </c>
      <c r="D183" s="208" t="s">
        <v>426</v>
      </c>
      <c r="E183" s="208" t="s">
        <v>45</v>
      </c>
      <c r="F183" s="212">
        <v>43544</v>
      </c>
      <c r="G183" s="220" t="s">
        <v>327</v>
      </c>
      <c r="H183" s="220" t="s">
        <v>275</v>
      </c>
      <c r="I183" s="220" t="s">
        <v>272</v>
      </c>
    </row>
    <row r="184" spans="1:9" ht="14.25" customHeight="1" x14ac:dyDescent="0.3">
      <c r="A184" s="208">
        <v>181</v>
      </c>
      <c r="B184" s="212">
        <v>44488</v>
      </c>
      <c r="C184" s="214" t="s">
        <v>427</v>
      </c>
      <c r="D184" s="208" t="s">
        <v>428</v>
      </c>
      <c r="E184" s="208" t="s">
        <v>45</v>
      </c>
      <c r="F184" s="212">
        <v>43770</v>
      </c>
      <c r="G184" s="220" t="s">
        <v>275</v>
      </c>
      <c r="H184" s="220" t="s">
        <v>327</v>
      </c>
      <c r="I184" s="220" t="s">
        <v>272</v>
      </c>
    </row>
    <row r="185" spans="1:9" ht="14.25" customHeight="1" x14ac:dyDescent="0.3">
      <c r="A185" s="208">
        <v>182</v>
      </c>
      <c r="B185" s="212">
        <v>44470</v>
      </c>
      <c r="C185" s="214" t="s">
        <v>429</v>
      </c>
      <c r="D185" s="208" t="s">
        <v>430</v>
      </c>
      <c r="E185" s="208" t="s">
        <v>75</v>
      </c>
      <c r="F185" s="212">
        <v>43028</v>
      </c>
      <c r="G185" s="220" t="s">
        <v>275</v>
      </c>
      <c r="H185" s="220" t="s">
        <v>271</v>
      </c>
      <c r="I185" s="220" t="s">
        <v>272</v>
      </c>
    </row>
    <row r="186" spans="1:9" ht="14.25" customHeight="1" x14ac:dyDescent="0.3">
      <c r="A186" s="208">
        <v>183</v>
      </c>
      <c r="B186" s="212">
        <v>44474</v>
      </c>
      <c r="C186" s="214" t="s">
        <v>431</v>
      </c>
      <c r="D186" s="208" t="s">
        <v>432</v>
      </c>
      <c r="E186" s="208" t="s">
        <v>75</v>
      </c>
      <c r="F186" s="212">
        <v>43577</v>
      </c>
      <c r="G186" s="220" t="s">
        <v>271</v>
      </c>
      <c r="H186" s="220" t="s">
        <v>275</v>
      </c>
      <c r="I186" s="220" t="s">
        <v>272</v>
      </c>
    </row>
    <row r="187" spans="1:9" ht="14.25" customHeight="1" x14ac:dyDescent="0.3">
      <c r="A187" s="208">
        <v>184</v>
      </c>
      <c r="B187" s="212">
        <v>44483</v>
      </c>
      <c r="C187" s="214" t="s">
        <v>433</v>
      </c>
      <c r="D187" s="208" t="s">
        <v>434</v>
      </c>
      <c r="E187" s="208" t="s">
        <v>75</v>
      </c>
      <c r="F187" s="212">
        <v>43409</v>
      </c>
      <c r="G187" s="220" t="s">
        <v>271</v>
      </c>
      <c r="H187" s="220" t="s">
        <v>271</v>
      </c>
      <c r="I187" s="220" t="s">
        <v>272</v>
      </c>
    </row>
    <row r="188" spans="1:9" ht="14.25" customHeight="1" x14ac:dyDescent="0.3">
      <c r="A188" s="208">
        <v>185</v>
      </c>
      <c r="B188" s="212">
        <v>44490</v>
      </c>
      <c r="C188" s="214" t="s">
        <v>435</v>
      </c>
      <c r="D188" s="208" t="s">
        <v>436</v>
      </c>
      <c r="E188" s="208" t="s">
        <v>75</v>
      </c>
      <c r="F188" s="212">
        <v>43432</v>
      </c>
      <c r="G188" s="220" t="s">
        <v>275</v>
      </c>
      <c r="H188" s="220" t="s">
        <v>271</v>
      </c>
      <c r="I188" s="220" t="s">
        <v>272</v>
      </c>
    </row>
    <row r="189" spans="1:9" ht="14.25" customHeight="1" x14ac:dyDescent="0.3">
      <c r="A189" s="208">
        <v>186</v>
      </c>
      <c r="B189" s="212">
        <v>44470</v>
      </c>
      <c r="C189" s="214" t="s">
        <v>438</v>
      </c>
      <c r="D189" s="208" t="s">
        <v>439</v>
      </c>
      <c r="E189" s="208" t="s">
        <v>75</v>
      </c>
      <c r="F189" s="212">
        <v>43355</v>
      </c>
      <c r="G189" s="220" t="s">
        <v>271</v>
      </c>
      <c r="H189" s="220" t="s">
        <v>8</v>
      </c>
      <c r="I189" s="220" t="s">
        <v>272</v>
      </c>
    </row>
    <row r="190" spans="1:9" ht="14.25" customHeight="1" x14ac:dyDescent="0.3">
      <c r="A190" s="208">
        <v>187</v>
      </c>
      <c r="B190" s="212">
        <v>44478</v>
      </c>
      <c r="C190" s="214" t="s">
        <v>440</v>
      </c>
      <c r="D190" s="208" t="s">
        <v>441</v>
      </c>
      <c r="E190" s="208" t="s">
        <v>75</v>
      </c>
      <c r="F190" s="212">
        <v>42971</v>
      </c>
      <c r="G190" s="220" t="s">
        <v>340</v>
      </c>
      <c r="H190" s="220" t="s">
        <v>275</v>
      </c>
      <c r="I190" s="220" t="s">
        <v>272</v>
      </c>
    </row>
    <row r="191" spans="1:9" ht="14.25" customHeight="1" x14ac:dyDescent="0.3">
      <c r="A191" s="208">
        <v>188</v>
      </c>
      <c r="B191" s="212">
        <v>44472</v>
      </c>
      <c r="C191" s="214" t="s">
        <v>442</v>
      </c>
      <c r="D191" s="208" t="s">
        <v>443</v>
      </c>
      <c r="E191" s="208" t="s">
        <v>75</v>
      </c>
      <c r="F191" s="212">
        <v>44124</v>
      </c>
      <c r="G191" s="220" t="s">
        <v>271</v>
      </c>
      <c r="H191" s="220" t="s">
        <v>271</v>
      </c>
      <c r="I191" s="220" t="s">
        <v>272</v>
      </c>
    </row>
    <row r="192" spans="1:9" ht="14.25" customHeight="1" x14ac:dyDescent="0.3">
      <c r="A192" s="208">
        <v>189</v>
      </c>
      <c r="B192" s="212">
        <v>44494</v>
      </c>
      <c r="C192" s="214" t="s">
        <v>444</v>
      </c>
      <c r="D192" s="208" t="s">
        <v>445</v>
      </c>
      <c r="E192" s="208" t="s">
        <v>45</v>
      </c>
      <c r="F192" s="212">
        <v>43975</v>
      </c>
      <c r="G192" s="220" t="s">
        <v>8</v>
      </c>
      <c r="H192" s="220" t="s">
        <v>275</v>
      </c>
      <c r="I192" s="220" t="s">
        <v>272</v>
      </c>
    </row>
    <row r="193" spans="1:9" ht="14.25" customHeight="1" x14ac:dyDescent="0.3">
      <c r="A193" s="208">
        <v>190</v>
      </c>
      <c r="B193" s="212">
        <v>44489</v>
      </c>
      <c r="C193" s="214" t="s">
        <v>446</v>
      </c>
      <c r="D193" s="208" t="s">
        <v>447</v>
      </c>
      <c r="E193" s="208" t="s">
        <v>45</v>
      </c>
      <c r="F193" s="212">
        <v>42659</v>
      </c>
      <c r="G193" s="220" t="s">
        <v>275</v>
      </c>
      <c r="H193" s="220" t="s">
        <v>271</v>
      </c>
      <c r="I193" s="220" t="s">
        <v>272</v>
      </c>
    </row>
    <row r="194" spans="1:9" ht="14.25" customHeight="1" x14ac:dyDescent="0.3">
      <c r="A194" s="208">
        <v>191</v>
      </c>
      <c r="B194" s="212">
        <v>44481</v>
      </c>
      <c r="C194" s="214" t="s">
        <v>448</v>
      </c>
      <c r="D194" s="208" t="s">
        <v>449</v>
      </c>
      <c r="E194" s="208" t="s">
        <v>45</v>
      </c>
      <c r="F194" s="212">
        <v>42878</v>
      </c>
      <c r="G194" s="220" t="s">
        <v>8</v>
      </c>
      <c r="H194" s="220" t="s">
        <v>275</v>
      </c>
      <c r="I194" s="220" t="s">
        <v>272</v>
      </c>
    </row>
    <row r="195" spans="1:9" ht="14.25" customHeight="1" x14ac:dyDescent="0.3">
      <c r="A195" s="208">
        <v>192</v>
      </c>
      <c r="B195" s="212">
        <v>44477</v>
      </c>
      <c r="C195" s="214" t="s">
        <v>450</v>
      </c>
      <c r="D195" s="208" t="s">
        <v>451</v>
      </c>
      <c r="E195" s="208" t="s">
        <v>45</v>
      </c>
      <c r="F195" s="212">
        <v>42840</v>
      </c>
      <c r="G195" s="220" t="s">
        <v>275</v>
      </c>
      <c r="H195" s="220" t="s">
        <v>271</v>
      </c>
      <c r="I195" s="220" t="s">
        <v>272</v>
      </c>
    </row>
    <row r="196" spans="1:9" ht="14.25" customHeight="1" x14ac:dyDescent="0.3">
      <c r="A196" s="208">
        <v>193</v>
      </c>
      <c r="B196" s="212">
        <v>44489</v>
      </c>
      <c r="C196" s="214" t="s">
        <v>452</v>
      </c>
      <c r="D196" s="208" t="s">
        <v>453</v>
      </c>
      <c r="E196" s="208" t="s">
        <v>45</v>
      </c>
      <c r="F196" s="212">
        <v>43696</v>
      </c>
      <c r="G196" s="220" t="s">
        <v>275</v>
      </c>
      <c r="H196" s="220" t="s">
        <v>275</v>
      </c>
      <c r="I196" s="220" t="s">
        <v>272</v>
      </c>
    </row>
    <row r="197" spans="1:9" ht="14.25" customHeight="1" x14ac:dyDescent="0.3">
      <c r="A197" s="208">
        <v>194</v>
      </c>
      <c r="B197" s="212">
        <v>44473</v>
      </c>
      <c r="C197" s="214" t="s">
        <v>454</v>
      </c>
      <c r="D197" s="208" t="s">
        <v>455</v>
      </c>
      <c r="E197" s="208" t="s">
        <v>45</v>
      </c>
      <c r="F197" s="212">
        <v>43191</v>
      </c>
      <c r="G197" s="220" t="s">
        <v>275</v>
      </c>
      <c r="H197" s="220" t="s">
        <v>8</v>
      </c>
      <c r="I197" s="220" t="s">
        <v>272</v>
      </c>
    </row>
    <row r="198" spans="1:9" ht="14.25" customHeight="1" x14ac:dyDescent="0.3">
      <c r="A198" s="208">
        <v>195</v>
      </c>
      <c r="B198" s="212">
        <v>44472</v>
      </c>
      <c r="C198" s="214" t="s">
        <v>456</v>
      </c>
      <c r="D198" s="208" t="s">
        <v>457</v>
      </c>
      <c r="E198" s="208" t="s">
        <v>45</v>
      </c>
      <c r="F198" s="212" t="s">
        <v>8</v>
      </c>
      <c r="G198" s="220" t="s">
        <v>271</v>
      </c>
      <c r="H198" s="220" t="s">
        <v>8</v>
      </c>
      <c r="I198" s="220" t="s">
        <v>272</v>
      </c>
    </row>
    <row r="199" spans="1:9" ht="14.25" customHeight="1" x14ac:dyDescent="0.3">
      <c r="A199" s="208">
        <v>196</v>
      </c>
      <c r="B199" s="212">
        <v>44500</v>
      </c>
      <c r="C199" s="214" t="s">
        <v>458</v>
      </c>
      <c r="D199" s="208" t="s">
        <v>459</v>
      </c>
      <c r="E199" s="208" t="s">
        <v>45</v>
      </c>
      <c r="F199" s="212" t="s">
        <v>8</v>
      </c>
      <c r="G199" s="220" t="s">
        <v>275</v>
      </c>
      <c r="H199" s="220" t="s">
        <v>275</v>
      </c>
      <c r="I199" s="220" t="s">
        <v>272</v>
      </c>
    </row>
    <row r="200" spans="1:9" ht="14.25" customHeight="1" x14ac:dyDescent="0.3">
      <c r="A200" s="208">
        <v>197</v>
      </c>
      <c r="B200" s="212">
        <v>44475</v>
      </c>
      <c r="C200" s="214" t="s">
        <v>460</v>
      </c>
      <c r="D200" s="208" t="s">
        <v>461</v>
      </c>
      <c r="E200" s="208" t="s">
        <v>45</v>
      </c>
      <c r="F200" s="212">
        <v>43944</v>
      </c>
      <c r="G200" s="220" t="s">
        <v>291</v>
      </c>
      <c r="H200" s="220" t="s">
        <v>8</v>
      </c>
      <c r="I200" s="220" t="s">
        <v>272</v>
      </c>
    </row>
    <row r="201" spans="1:9" ht="14.25" customHeight="1" x14ac:dyDescent="0.3">
      <c r="A201" s="208">
        <v>198</v>
      </c>
      <c r="B201" s="212">
        <v>44490</v>
      </c>
      <c r="C201" s="215" t="s">
        <v>462</v>
      </c>
      <c r="D201" s="208" t="s">
        <v>463</v>
      </c>
      <c r="E201" s="208" t="s">
        <v>45</v>
      </c>
      <c r="F201" s="212" t="s">
        <v>8</v>
      </c>
      <c r="G201" s="220" t="s">
        <v>363</v>
      </c>
      <c r="H201" s="220" t="s">
        <v>275</v>
      </c>
      <c r="I201" s="220" t="s">
        <v>272</v>
      </c>
    </row>
    <row r="202" spans="1:9" ht="14.25" customHeight="1" x14ac:dyDescent="0.3">
      <c r="A202" s="208">
        <v>199</v>
      </c>
      <c r="B202" s="212">
        <v>44484</v>
      </c>
      <c r="C202" s="214" t="s">
        <v>464</v>
      </c>
      <c r="D202" s="208" t="s">
        <v>465</v>
      </c>
      <c r="E202" s="208" t="s">
        <v>45</v>
      </c>
      <c r="F202" s="212">
        <v>42755</v>
      </c>
      <c r="G202" s="220" t="s">
        <v>271</v>
      </c>
      <c r="H202" s="220" t="s">
        <v>8</v>
      </c>
      <c r="I202" s="220" t="s">
        <v>272</v>
      </c>
    </row>
    <row r="203" spans="1:9" ht="14.25" customHeight="1" x14ac:dyDescent="0.3">
      <c r="A203" s="208">
        <v>200</v>
      </c>
      <c r="B203" s="212">
        <v>44481</v>
      </c>
      <c r="C203" s="214" t="s">
        <v>466</v>
      </c>
      <c r="D203" s="208" t="s">
        <v>467</v>
      </c>
      <c r="E203" s="208" t="s">
        <v>45</v>
      </c>
      <c r="F203" s="212">
        <v>43080</v>
      </c>
      <c r="G203" s="220" t="s">
        <v>275</v>
      </c>
      <c r="H203" s="220" t="s">
        <v>275</v>
      </c>
      <c r="I203" s="220" t="s">
        <v>272</v>
      </c>
    </row>
    <row r="204" spans="1:9" ht="14.25" customHeight="1" x14ac:dyDescent="0.3">
      <c r="A204" s="208">
        <v>201</v>
      </c>
      <c r="B204" s="212">
        <v>44479</v>
      </c>
      <c r="C204" s="214" t="s">
        <v>468</v>
      </c>
      <c r="D204" s="208" t="s">
        <v>469</v>
      </c>
      <c r="E204" s="208" t="s">
        <v>111</v>
      </c>
      <c r="F204" s="212">
        <v>43658</v>
      </c>
      <c r="G204" s="220" t="s">
        <v>594</v>
      </c>
      <c r="H204" s="220" t="s">
        <v>275</v>
      </c>
      <c r="I204" s="220" t="s">
        <v>272</v>
      </c>
    </row>
    <row r="205" spans="1:9" ht="14.25" customHeight="1" x14ac:dyDescent="0.3">
      <c r="A205" s="208">
        <v>202</v>
      </c>
      <c r="B205" s="212">
        <v>44480</v>
      </c>
      <c r="C205" s="214" t="s">
        <v>470</v>
      </c>
      <c r="D205" s="208" t="s">
        <v>471</v>
      </c>
      <c r="E205" s="208" t="s">
        <v>45</v>
      </c>
      <c r="F205" s="212">
        <v>43711</v>
      </c>
      <c r="G205" s="220" t="s">
        <v>275</v>
      </c>
      <c r="H205" s="220" t="s">
        <v>271</v>
      </c>
      <c r="I205" s="220" t="s">
        <v>272</v>
      </c>
    </row>
    <row r="206" spans="1:9" ht="14.25" customHeight="1" x14ac:dyDescent="0.3">
      <c r="A206" s="208">
        <v>203</v>
      </c>
      <c r="B206" s="212">
        <v>44475</v>
      </c>
      <c r="C206" s="214" t="s">
        <v>472</v>
      </c>
      <c r="D206" s="208" t="s">
        <v>473</v>
      </c>
      <c r="E206" s="208" t="s">
        <v>346</v>
      </c>
      <c r="F206" s="212" t="s">
        <v>8</v>
      </c>
      <c r="G206" s="220" t="s">
        <v>1393</v>
      </c>
      <c r="H206" s="220" t="s">
        <v>275</v>
      </c>
      <c r="I206" s="220" t="s">
        <v>272</v>
      </c>
    </row>
    <row r="207" spans="1:9" ht="14.25" customHeight="1" x14ac:dyDescent="0.3">
      <c r="A207" s="208">
        <v>204</v>
      </c>
      <c r="B207" s="212">
        <v>44480</v>
      </c>
      <c r="C207" s="214" t="s">
        <v>474</v>
      </c>
      <c r="D207" s="208" t="s">
        <v>475</v>
      </c>
      <c r="E207" s="208" t="s">
        <v>45</v>
      </c>
      <c r="F207" s="212">
        <v>42984</v>
      </c>
      <c r="G207" s="220" t="s">
        <v>275</v>
      </c>
      <c r="H207" s="220" t="s">
        <v>305</v>
      </c>
      <c r="I207" s="220" t="s">
        <v>272</v>
      </c>
    </row>
    <row r="208" spans="1:9" ht="14.25" customHeight="1" x14ac:dyDescent="0.3">
      <c r="A208" s="208">
        <v>205</v>
      </c>
      <c r="B208" s="212">
        <v>44498</v>
      </c>
      <c r="C208" s="214" t="s">
        <v>476</v>
      </c>
      <c r="D208" s="208" t="s">
        <v>477</v>
      </c>
      <c r="E208" s="208" t="s">
        <v>45</v>
      </c>
      <c r="F208" s="212" t="s">
        <v>8</v>
      </c>
      <c r="G208" s="220" t="s">
        <v>291</v>
      </c>
      <c r="H208" s="220" t="s">
        <v>275</v>
      </c>
      <c r="I208" s="220" t="s">
        <v>272</v>
      </c>
    </row>
    <row r="209" spans="1:9" ht="14.25" customHeight="1" x14ac:dyDescent="0.3">
      <c r="A209" s="208">
        <v>206</v>
      </c>
      <c r="B209" s="212">
        <v>44481</v>
      </c>
      <c r="C209" s="214" t="s">
        <v>478</v>
      </c>
      <c r="D209" s="208" t="s">
        <v>479</v>
      </c>
      <c r="E209" s="208" t="s">
        <v>346</v>
      </c>
      <c r="F209" s="212">
        <v>43785</v>
      </c>
      <c r="G209" s="220" t="s">
        <v>271</v>
      </c>
      <c r="H209" s="220" t="s">
        <v>8</v>
      </c>
      <c r="I209" s="220" t="s">
        <v>272</v>
      </c>
    </row>
    <row r="210" spans="1:9" ht="14.25" customHeight="1" x14ac:dyDescent="0.3">
      <c r="A210" s="208">
        <v>207</v>
      </c>
      <c r="B210" s="212">
        <v>44495</v>
      </c>
      <c r="C210" s="214" t="s">
        <v>480</v>
      </c>
      <c r="D210" s="208" t="s">
        <v>481</v>
      </c>
      <c r="E210" s="208" t="s">
        <v>270</v>
      </c>
      <c r="F210" s="212">
        <v>43181</v>
      </c>
      <c r="G210" s="220" t="s">
        <v>271</v>
      </c>
      <c r="H210" s="220" t="s">
        <v>8</v>
      </c>
      <c r="I210" s="220" t="s">
        <v>272</v>
      </c>
    </row>
    <row r="211" spans="1:9" ht="14.25" customHeight="1" x14ac:dyDescent="0.3">
      <c r="A211" s="208">
        <v>208</v>
      </c>
      <c r="B211" s="212">
        <v>44500</v>
      </c>
      <c r="C211" s="214" t="s">
        <v>482</v>
      </c>
      <c r="D211" s="208" t="s">
        <v>483</v>
      </c>
      <c r="E211" s="208" t="s">
        <v>45</v>
      </c>
      <c r="F211" s="212" t="s">
        <v>8</v>
      </c>
      <c r="G211" s="220" t="s">
        <v>8</v>
      </c>
      <c r="H211" s="220" t="s">
        <v>271</v>
      </c>
      <c r="I211" s="220" t="s">
        <v>272</v>
      </c>
    </row>
    <row r="212" spans="1:9" ht="14.25" customHeight="1" x14ac:dyDescent="0.3">
      <c r="A212" s="208">
        <v>209</v>
      </c>
      <c r="B212" s="212">
        <v>44474</v>
      </c>
      <c r="C212" s="214" t="s">
        <v>484</v>
      </c>
      <c r="D212" s="208" t="s">
        <v>485</v>
      </c>
      <c r="E212" s="208" t="s">
        <v>45</v>
      </c>
      <c r="F212" s="212" t="s">
        <v>8</v>
      </c>
      <c r="G212" s="220" t="s">
        <v>271</v>
      </c>
      <c r="H212" s="220" t="s">
        <v>271</v>
      </c>
      <c r="I212" s="220" t="s">
        <v>272</v>
      </c>
    </row>
    <row r="213" spans="1:9" ht="14.25" customHeight="1" x14ac:dyDescent="0.3">
      <c r="A213" s="208">
        <v>210</v>
      </c>
      <c r="B213" s="212">
        <v>44484</v>
      </c>
      <c r="C213" s="214" t="s">
        <v>486</v>
      </c>
      <c r="D213" s="208" t="s">
        <v>487</v>
      </c>
      <c r="E213" s="208" t="s">
        <v>270</v>
      </c>
      <c r="F213" s="212" t="s">
        <v>8</v>
      </c>
      <c r="G213" s="220" t="s">
        <v>594</v>
      </c>
      <c r="H213" s="220" t="s">
        <v>324</v>
      </c>
      <c r="I213" s="220" t="s">
        <v>272</v>
      </c>
    </row>
    <row r="214" spans="1:9" ht="14.25" customHeight="1" x14ac:dyDescent="0.3">
      <c r="A214" s="208">
        <v>211</v>
      </c>
      <c r="B214" s="212">
        <v>44474</v>
      </c>
      <c r="C214" s="214" t="s">
        <v>488</v>
      </c>
      <c r="D214" s="208" t="s">
        <v>489</v>
      </c>
      <c r="E214" s="208" t="s">
        <v>56</v>
      </c>
      <c r="F214" s="212" t="s">
        <v>8</v>
      </c>
      <c r="G214" s="220" t="s">
        <v>275</v>
      </c>
      <c r="H214" s="220" t="s">
        <v>275</v>
      </c>
      <c r="I214" s="220" t="s">
        <v>272</v>
      </c>
    </row>
    <row r="215" spans="1:9" ht="14.25" customHeight="1" x14ac:dyDescent="0.3">
      <c r="A215" s="208">
        <v>212</v>
      </c>
      <c r="B215" s="212">
        <v>44500</v>
      </c>
      <c r="C215" s="214" t="s">
        <v>490</v>
      </c>
      <c r="D215" s="208" t="s">
        <v>491</v>
      </c>
      <c r="E215" s="208" t="s">
        <v>45</v>
      </c>
      <c r="F215" s="212" t="s">
        <v>8</v>
      </c>
      <c r="G215" s="220" t="s">
        <v>8</v>
      </c>
      <c r="H215" s="220" t="s">
        <v>271</v>
      </c>
      <c r="I215" s="220" t="s">
        <v>272</v>
      </c>
    </row>
    <row r="216" spans="1:9" ht="14.25" customHeight="1" x14ac:dyDescent="0.3">
      <c r="A216" s="208">
        <v>213</v>
      </c>
      <c r="B216" s="212">
        <v>44493</v>
      </c>
      <c r="C216" s="214" t="s">
        <v>492</v>
      </c>
      <c r="D216" s="208" t="s">
        <v>493</v>
      </c>
      <c r="E216" s="208" t="s">
        <v>270</v>
      </c>
      <c r="F216" s="212">
        <v>43876</v>
      </c>
      <c r="G216" s="220" t="s">
        <v>275</v>
      </c>
      <c r="H216" s="220" t="s">
        <v>275</v>
      </c>
      <c r="I216" s="220" t="s">
        <v>272</v>
      </c>
    </row>
    <row r="217" spans="1:9" ht="14.25" customHeight="1" x14ac:dyDescent="0.3">
      <c r="A217" s="208">
        <v>214</v>
      </c>
      <c r="B217" s="212">
        <v>44498</v>
      </c>
      <c r="C217" s="214" t="s">
        <v>494</v>
      </c>
      <c r="D217" s="208" t="s">
        <v>495</v>
      </c>
      <c r="E217" s="208" t="s">
        <v>56</v>
      </c>
      <c r="F217" s="212" t="s">
        <v>8</v>
      </c>
      <c r="G217" s="220" t="s">
        <v>275</v>
      </c>
      <c r="H217" s="220" t="s">
        <v>8</v>
      </c>
      <c r="I217" s="220" t="s">
        <v>272</v>
      </c>
    </row>
    <row r="218" spans="1:9" ht="14.25" customHeight="1" x14ac:dyDescent="0.3">
      <c r="A218" s="208">
        <v>215</v>
      </c>
      <c r="B218" s="212">
        <v>44495</v>
      </c>
      <c r="C218" s="214" t="s">
        <v>496</v>
      </c>
      <c r="D218" s="208" t="s">
        <v>497</v>
      </c>
      <c r="E218" s="208" t="s">
        <v>45</v>
      </c>
      <c r="F218" s="212">
        <v>43848</v>
      </c>
      <c r="G218" s="220" t="s">
        <v>275</v>
      </c>
      <c r="H218" s="220" t="s">
        <v>275</v>
      </c>
      <c r="I218" s="220" t="s">
        <v>272</v>
      </c>
    </row>
    <row r="219" spans="1:9" ht="14.25" customHeight="1" x14ac:dyDescent="0.3">
      <c r="A219" s="208">
        <v>216</v>
      </c>
      <c r="B219" s="212">
        <v>44486</v>
      </c>
      <c r="C219" s="214" t="s">
        <v>498</v>
      </c>
      <c r="D219" s="208" t="s">
        <v>499</v>
      </c>
      <c r="E219" s="208" t="s">
        <v>45</v>
      </c>
      <c r="F219" s="212">
        <v>42768</v>
      </c>
      <c r="G219" s="220" t="s">
        <v>271</v>
      </c>
      <c r="H219" s="220" t="s">
        <v>275</v>
      </c>
      <c r="I219" s="220" t="s">
        <v>272</v>
      </c>
    </row>
    <row r="220" spans="1:9" ht="14.25" customHeight="1" x14ac:dyDescent="0.3">
      <c r="A220" s="208">
        <v>217</v>
      </c>
      <c r="B220" s="212">
        <v>44485</v>
      </c>
      <c r="C220" s="214" t="s">
        <v>500</v>
      </c>
      <c r="D220" s="208" t="s">
        <v>501</v>
      </c>
      <c r="E220" s="208" t="s">
        <v>45</v>
      </c>
      <c r="F220" s="212">
        <v>42904</v>
      </c>
      <c r="G220" s="220" t="s">
        <v>8</v>
      </c>
      <c r="H220" s="220" t="s">
        <v>275</v>
      </c>
      <c r="I220" s="220" t="s">
        <v>272</v>
      </c>
    </row>
    <row r="221" spans="1:9" ht="14.25" customHeight="1" x14ac:dyDescent="0.3">
      <c r="A221" s="208">
        <v>218</v>
      </c>
      <c r="B221" s="212">
        <v>44473</v>
      </c>
      <c r="C221" s="214" t="s">
        <v>502</v>
      </c>
      <c r="D221" s="208" t="s">
        <v>503</v>
      </c>
      <c r="E221" s="208" t="s">
        <v>45</v>
      </c>
      <c r="F221" s="212" t="s">
        <v>8</v>
      </c>
      <c r="G221" s="220" t="s">
        <v>324</v>
      </c>
      <c r="H221" s="220" t="s">
        <v>275</v>
      </c>
      <c r="I221" s="220" t="s">
        <v>272</v>
      </c>
    </row>
    <row r="222" spans="1:9" ht="14.25" customHeight="1" x14ac:dyDescent="0.3">
      <c r="A222" s="208">
        <v>219</v>
      </c>
      <c r="B222" s="212">
        <v>44494</v>
      </c>
      <c r="C222" s="214" t="s">
        <v>504</v>
      </c>
      <c r="D222" s="208" t="s">
        <v>505</v>
      </c>
      <c r="E222" s="208" t="s">
        <v>45</v>
      </c>
      <c r="F222" s="212">
        <v>42964</v>
      </c>
      <c r="G222" s="220" t="s">
        <v>271</v>
      </c>
      <c r="H222" s="220" t="s">
        <v>8</v>
      </c>
      <c r="I222" s="220" t="s">
        <v>272</v>
      </c>
    </row>
    <row r="223" spans="1:9" ht="14.25" customHeight="1" x14ac:dyDescent="0.3">
      <c r="A223" s="208">
        <v>220</v>
      </c>
      <c r="B223" s="212">
        <v>44483</v>
      </c>
      <c r="C223" s="214" t="s">
        <v>506</v>
      </c>
      <c r="D223" s="208" t="s">
        <v>507</v>
      </c>
      <c r="E223" s="208" t="s">
        <v>45</v>
      </c>
      <c r="F223" s="212" t="s">
        <v>8</v>
      </c>
      <c r="G223" s="220" t="s">
        <v>275</v>
      </c>
      <c r="H223" s="220" t="s">
        <v>275</v>
      </c>
      <c r="I223" s="220" t="s">
        <v>272</v>
      </c>
    </row>
    <row r="224" spans="1:9" ht="14.25" customHeight="1" x14ac:dyDescent="0.3">
      <c r="A224" s="208">
        <v>221</v>
      </c>
      <c r="B224" s="212">
        <v>44481</v>
      </c>
      <c r="C224" s="214" t="s">
        <v>508</v>
      </c>
      <c r="D224" s="208" t="s">
        <v>509</v>
      </c>
      <c r="E224" s="208" t="s">
        <v>45</v>
      </c>
      <c r="F224" s="212">
        <v>43827</v>
      </c>
      <c r="G224" s="220" t="s">
        <v>275</v>
      </c>
      <c r="H224" s="220" t="s">
        <v>271</v>
      </c>
      <c r="I224" s="220" t="s">
        <v>272</v>
      </c>
    </row>
    <row r="225" spans="1:9" ht="14.25" customHeight="1" x14ac:dyDescent="0.3">
      <c r="A225" s="208">
        <v>222</v>
      </c>
      <c r="B225" s="212">
        <v>44478</v>
      </c>
      <c r="C225" s="214" t="s">
        <v>510</v>
      </c>
      <c r="D225" s="208" t="s">
        <v>511</v>
      </c>
      <c r="E225" s="208" t="s">
        <v>45</v>
      </c>
      <c r="F225" s="212">
        <v>44112</v>
      </c>
      <c r="G225" s="220" t="s">
        <v>594</v>
      </c>
      <c r="H225" s="220" t="s">
        <v>8</v>
      </c>
      <c r="I225" s="220" t="s">
        <v>272</v>
      </c>
    </row>
    <row r="226" spans="1:9" ht="14.25" customHeight="1" x14ac:dyDescent="0.3">
      <c r="A226" s="208">
        <v>223</v>
      </c>
      <c r="B226" s="212">
        <v>44482</v>
      </c>
      <c r="C226" s="214" t="s">
        <v>512</v>
      </c>
      <c r="D226" s="208" t="s">
        <v>513</v>
      </c>
      <c r="E226" s="208" t="s">
        <v>45</v>
      </c>
      <c r="F226" s="212">
        <v>42917</v>
      </c>
      <c r="G226" s="220" t="s">
        <v>275</v>
      </c>
      <c r="H226" s="220" t="s">
        <v>594</v>
      </c>
      <c r="I226" s="220" t="s">
        <v>272</v>
      </c>
    </row>
    <row r="227" spans="1:9" ht="14.25" customHeight="1" x14ac:dyDescent="0.3">
      <c r="A227" s="208">
        <v>224</v>
      </c>
      <c r="B227" s="212">
        <v>44494</v>
      </c>
      <c r="C227" s="214" t="s">
        <v>514</v>
      </c>
      <c r="D227" s="208" t="s">
        <v>515</v>
      </c>
      <c r="E227" s="208" t="s">
        <v>45</v>
      </c>
      <c r="F227" s="212">
        <v>43517</v>
      </c>
      <c r="G227" s="220" t="s">
        <v>275</v>
      </c>
      <c r="H227" s="220" t="s">
        <v>275</v>
      </c>
      <c r="I227" s="220" t="s">
        <v>272</v>
      </c>
    </row>
    <row r="228" spans="1:9" ht="14.25" customHeight="1" x14ac:dyDescent="0.3">
      <c r="A228" s="208">
        <v>225</v>
      </c>
      <c r="B228" s="212">
        <v>44478</v>
      </c>
      <c r="C228" s="214" t="s">
        <v>516</v>
      </c>
      <c r="D228" s="208" t="s">
        <v>517</v>
      </c>
      <c r="E228" s="208" t="s">
        <v>45</v>
      </c>
      <c r="F228" s="212">
        <v>43447</v>
      </c>
      <c r="G228" s="220" t="s">
        <v>271</v>
      </c>
      <c r="H228" s="220" t="s">
        <v>320</v>
      </c>
      <c r="I228" s="220" t="s">
        <v>272</v>
      </c>
    </row>
    <row r="229" spans="1:9" ht="14.25" customHeight="1" x14ac:dyDescent="0.3">
      <c r="A229" s="208">
        <v>226</v>
      </c>
      <c r="B229" s="212">
        <v>44477</v>
      </c>
      <c r="C229" s="214" t="s">
        <v>518</v>
      </c>
      <c r="D229" s="208" t="s">
        <v>519</v>
      </c>
      <c r="E229" s="208" t="s">
        <v>45</v>
      </c>
      <c r="F229" s="212" t="s">
        <v>8</v>
      </c>
      <c r="G229" s="220" t="s">
        <v>271</v>
      </c>
      <c r="H229" s="220" t="s">
        <v>8</v>
      </c>
      <c r="I229" s="220" t="s">
        <v>272</v>
      </c>
    </row>
    <row r="230" spans="1:9" ht="14.25" customHeight="1" x14ac:dyDescent="0.3">
      <c r="A230" s="208">
        <v>227</v>
      </c>
      <c r="B230" s="212">
        <v>44473</v>
      </c>
      <c r="C230" s="214" t="s">
        <v>520</v>
      </c>
      <c r="D230" s="208" t="s">
        <v>521</v>
      </c>
      <c r="E230" s="208" t="s">
        <v>45</v>
      </c>
      <c r="F230" s="212">
        <v>43673</v>
      </c>
      <c r="G230" s="220" t="s">
        <v>271</v>
      </c>
      <c r="H230" s="220" t="s">
        <v>8</v>
      </c>
      <c r="I230" s="220" t="s">
        <v>272</v>
      </c>
    </row>
    <row r="231" spans="1:9" ht="14.25" customHeight="1" x14ac:dyDescent="0.3">
      <c r="A231" s="208">
        <v>228</v>
      </c>
      <c r="B231" s="212">
        <v>44487</v>
      </c>
      <c r="C231" s="214" t="s">
        <v>522</v>
      </c>
      <c r="D231" s="208" t="s">
        <v>523</v>
      </c>
      <c r="E231" s="208" t="s">
        <v>45</v>
      </c>
      <c r="F231" s="212">
        <v>43563</v>
      </c>
      <c r="G231" s="220" t="s">
        <v>271</v>
      </c>
      <c r="H231" s="220" t="s">
        <v>275</v>
      </c>
      <c r="I231" s="220" t="s">
        <v>272</v>
      </c>
    </row>
    <row r="232" spans="1:9" ht="14.25" customHeight="1" x14ac:dyDescent="0.3">
      <c r="A232" s="208">
        <v>229</v>
      </c>
      <c r="B232" s="212">
        <v>44498</v>
      </c>
      <c r="C232" s="214" t="s">
        <v>524</v>
      </c>
      <c r="D232" s="208" t="s">
        <v>525</v>
      </c>
      <c r="E232" s="208" t="s">
        <v>45</v>
      </c>
      <c r="F232" s="212">
        <v>43814</v>
      </c>
      <c r="G232" s="220" t="s">
        <v>271</v>
      </c>
      <c r="H232" s="220" t="s">
        <v>275</v>
      </c>
      <c r="I232" s="220" t="s">
        <v>272</v>
      </c>
    </row>
    <row r="233" spans="1:9" ht="14.25" customHeight="1" x14ac:dyDescent="0.3">
      <c r="A233" s="208">
        <v>230</v>
      </c>
      <c r="B233" s="212">
        <v>44491</v>
      </c>
      <c r="C233" s="214" t="s">
        <v>526</v>
      </c>
      <c r="D233" s="208" t="s">
        <v>527</v>
      </c>
      <c r="E233" s="208" t="s">
        <v>56</v>
      </c>
      <c r="F233" s="212">
        <v>43269</v>
      </c>
      <c r="G233" s="220" t="s">
        <v>320</v>
      </c>
      <c r="H233" s="220" t="s">
        <v>8</v>
      </c>
      <c r="I233" s="220" t="s">
        <v>341</v>
      </c>
    </row>
    <row r="234" spans="1:9" ht="14.25" customHeight="1" x14ac:dyDescent="0.3">
      <c r="A234" s="208">
        <v>231</v>
      </c>
      <c r="B234" s="212">
        <v>44471</v>
      </c>
      <c r="C234" s="214" t="s">
        <v>529</v>
      </c>
      <c r="D234" s="208" t="s">
        <v>530</v>
      </c>
      <c r="E234" s="208" t="s">
        <v>56</v>
      </c>
      <c r="F234" s="212" t="s">
        <v>8</v>
      </c>
      <c r="G234" s="220" t="s">
        <v>317</v>
      </c>
      <c r="H234" s="220" t="s">
        <v>275</v>
      </c>
      <c r="I234" s="220" t="s">
        <v>341</v>
      </c>
    </row>
    <row r="235" spans="1:9" ht="14.25" customHeight="1" x14ac:dyDescent="0.3">
      <c r="A235" s="208">
        <v>232</v>
      </c>
      <c r="B235" s="212">
        <v>44472</v>
      </c>
      <c r="C235" s="214" t="s">
        <v>531</v>
      </c>
      <c r="D235" s="208" t="s">
        <v>532</v>
      </c>
      <c r="E235" s="208" t="s">
        <v>56</v>
      </c>
      <c r="F235" s="212" t="s">
        <v>8</v>
      </c>
      <c r="G235" s="220" t="s">
        <v>271</v>
      </c>
      <c r="H235" s="220" t="s">
        <v>275</v>
      </c>
      <c r="I235" s="220" t="s">
        <v>341</v>
      </c>
    </row>
    <row r="236" spans="1:9" ht="14.25" customHeight="1" x14ac:dyDescent="0.3">
      <c r="A236" s="208">
        <v>233</v>
      </c>
      <c r="B236" s="212">
        <v>44477</v>
      </c>
      <c r="C236" s="214" t="s">
        <v>533</v>
      </c>
      <c r="D236" s="208" t="s">
        <v>534</v>
      </c>
      <c r="E236" s="208" t="s">
        <v>56</v>
      </c>
      <c r="F236" s="212">
        <v>43301</v>
      </c>
      <c r="G236" s="220" t="s">
        <v>291</v>
      </c>
      <c r="H236" s="220" t="s">
        <v>275</v>
      </c>
      <c r="I236" s="220" t="s">
        <v>341</v>
      </c>
    </row>
    <row r="237" spans="1:9" ht="14.25" customHeight="1" x14ac:dyDescent="0.3">
      <c r="A237" s="208">
        <v>234</v>
      </c>
      <c r="B237" s="212">
        <v>44473</v>
      </c>
      <c r="C237" s="214" t="s">
        <v>535</v>
      </c>
      <c r="D237" s="208" t="s">
        <v>536</v>
      </c>
      <c r="E237" s="208" t="s">
        <v>56</v>
      </c>
      <c r="F237" s="212" t="s">
        <v>8</v>
      </c>
      <c r="G237" s="220" t="s">
        <v>275</v>
      </c>
      <c r="H237" s="220" t="s">
        <v>8</v>
      </c>
      <c r="I237" s="220" t="s">
        <v>341</v>
      </c>
    </row>
    <row r="238" spans="1:9" ht="14.25" customHeight="1" x14ac:dyDescent="0.3">
      <c r="A238" s="208">
        <v>235</v>
      </c>
      <c r="B238" s="212">
        <v>44491</v>
      </c>
      <c r="C238" s="214" t="s">
        <v>537</v>
      </c>
      <c r="D238" s="208" t="s">
        <v>538</v>
      </c>
      <c r="E238" s="208" t="s">
        <v>56</v>
      </c>
      <c r="F238" s="212" t="s">
        <v>8</v>
      </c>
      <c r="G238" s="220" t="s">
        <v>594</v>
      </c>
      <c r="H238" s="220" t="s">
        <v>275</v>
      </c>
      <c r="I238" s="220" t="s">
        <v>341</v>
      </c>
    </row>
    <row r="239" spans="1:9" ht="14.25" customHeight="1" x14ac:dyDescent="0.3">
      <c r="A239" s="208">
        <v>236</v>
      </c>
      <c r="B239" s="212">
        <v>44471</v>
      </c>
      <c r="C239" s="214" t="s">
        <v>539</v>
      </c>
      <c r="D239" s="208" t="s">
        <v>540</v>
      </c>
      <c r="E239" s="208" t="s">
        <v>56</v>
      </c>
      <c r="F239" s="212">
        <v>43275</v>
      </c>
      <c r="G239" s="220" t="s">
        <v>271</v>
      </c>
      <c r="H239" s="220" t="s">
        <v>271</v>
      </c>
      <c r="I239" s="220" t="s">
        <v>341</v>
      </c>
    </row>
    <row r="240" spans="1:9" ht="14.25" customHeight="1" x14ac:dyDescent="0.3">
      <c r="A240" s="208">
        <v>237</v>
      </c>
      <c r="B240" s="212">
        <v>44492</v>
      </c>
      <c r="C240" s="214" t="s">
        <v>541</v>
      </c>
      <c r="D240" s="208" t="s">
        <v>542</v>
      </c>
      <c r="E240" s="208" t="s">
        <v>78</v>
      </c>
      <c r="F240" s="212" t="s">
        <v>8</v>
      </c>
      <c r="G240" s="220" t="s">
        <v>275</v>
      </c>
      <c r="H240" s="220" t="s">
        <v>8</v>
      </c>
      <c r="I240" s="220" t="s">
        <v>341</v>
      </c>
    </row>
    <row r="241" spans="1:9" ht="14.25" customHeight="1" x14ac:dyDescent="0.3">
      <c r="A241" s="208">
        <v>238</v>
      </c>
      <c r="B241" s="212">
        <v>44491</v>
      </c>
      <c r="C241" s="214" t="s">
        <v>543</v>
      </c>
      <c r="D241" s="208" t="s">
        <v>544</v>
      </c>
      <c r="E241" s="208" t="s">
        <v>56</v>
      </c>
      <c r="F241" s="212" t="s">
        <v>8</v>
      </c>
      <c r="G241" s="220" t="s">
        <v>275</v>
      </c>
      <c r="H241" s="220" t="s">
        <v>8</v>
      </c>
      <c r="I241" s="220" t="s">
        <v>341</v>
      </c>
    </row>
    <row r="242" spans="1:9" ht="14.25" customHeight="1" x14ac:dyDescent="0.3">
      <c r="A242" s="208">
        <v>239</v>
      </c>
      <c r="B242" s="212">
        <v>44489</v>
      </c>
      <c r="C242" s="214" t="s">
        <v>545</v>
      </c>
      <c r="D242" s="208" t="s">
        <v>546</v>
      </c>
      <c r="E242" s="208" t="s">
        <v>346</v>
      </c>
      <c r="F242" s="212" t="s">
        <v>8</v>
      </c>
      <c r="G242" s="220" t="s">
        <v>275</v>
      </c>
      <c r="H242" s="220" t="s">
        <v>275</v>
      </c>
      <c r="I242" s="220" t="s">
        <v>272</v>
      </c>
    </row>
    <row r="243" spans="1:9" ht="14.25" customHeight="1" x14ac:dyDescent="0.3">
      <c r="A243" s="208">
        <v>240</v>
      </c>
      <c r="B243" s="212">
        <v>44471</v>
      </c>
      <c r="C243" s="214" t="s">
        <v>547</v>
      </c>
      <c r="D243" s="208" t="s">
        <v>548</v>
      </c>
      <c r="E243" s="208" t="s">
        <v>346</v>
      </c>
      <c r="F243" s="212">
        <v>43157</v>
      </c>
      <c r="G243" s="220" t="s">
        <v>275</v>
      </c>
      <c r="H243" s="220" t="s">
        <v>271</v>
      </c>
      <c r="I243" s="220" t="s">
        <v>272</v>
      </c>
    </row>
    <row r="244" spans="1:9" ht="14.25" customHeight="1" x14ac:dyDescent="0.3">
      <c r="A244" s="208">
        <v>241</v>
      </c>
      <c r="B244" s="212">
        <v>44476</v>
      </c>
      <c r="C244" s="214" t="s">
        <v>549</v>
      </c>
      <c r="D244" s="208" t="s">
        <v>550</v>
      </c>
      <c r="E244" s="208" t="s">
        <v>346</v>
      </c>
      <c r="F244" s="212">
        <v>43036</v>
      </c>
      <c r="G244" s="220" t="s">
        <v>271</v>
      </c>
      <c r="H244" s="220" t="s">
        <v>271</v>
      </c>
      <c r="I244" s="220" t="s">
        <v>272</v>
      </c>
    </row>
    <row r="245" spans="1:9" ht="14.25" customHeight="1" x14ac:dyDescent="0.3">
      <c r="A245" s="208">
        <v>242</v>
      </c>
      <c r="B245" s="212">
        <v>44478</v>
      </c>
      <c r="C245" s="214" t="s">
        <v>551</v>
      </c>
      <c r="D245" s="208" t="s">
        <v>552</v>
      </c>
      <c r="E245" s="208" t="s">
        <v>346</v>
      </c>
      <c r="F245" s="212">
        <v>43092</v>
      </c>
      <c r="G245" s="220" t="s">
        <v>271</v>
      </c>
      <c r="H245" s="220" t="s">
        <v>8</v>
      </c>
      <c r="I245" s="220" t="s">
        <v>272</v>
      </c>
    </row>
    <row r="246" spans="1:9" ht="14.25" customHeight="1" x14ac:dyDescent="0.3">
      <c r="A246" s="208">
        <v>243</v>
      </c>
      <c r="B246" s="212">
        <v>44487</v>
      </c>
      <c r="C246" s="214" t="s">
        <v>553</v>
      </c>
      <c r="D246" s="208" t="s">
        <v>554</v>
      </c>
      <c r="E246" s="208" t="s">
        <v>312</v>
      </c>
      <c r="F246" s="212">
        <v>43495</v>
      </c>
      <c r="G246" s="220" t="s">
        <v>271</v>
      </c>
      <c r="H246" s="220" t="s">
        <v>275</v>
      </c>
      <c r="I246" s="220" t="s">
        <v>272</v>
      </c>
    </row>
    <row r="247" spans="1:9" ht="14.25" customHeight="1" x14ac:dyDescent="0.3">
      <c r="A247" s="208">
        <v>244</v>
      </c>
      <c r="B247" s="212">
        <v>44477</v>
      </c>
      <c r="C247" s="214" t="s">
        <v>555</v>
      </c>
      <c r="D247" s="208" t="s">
        <v>556</v>
      </c>
      <c r="E247" s="208" t="s">
        <v>270</v>
      </c>
      <c r="F247" s="212">
        <v>43937</v>
      </c>
      <c r="G247" s="220" t="s">
        <v>275</v>
      </c>
      <c r="H247" s="220" t="s">
        <v>8</v>
      </c>
      <c r="I247" s="220" t="s">
        <v>272</v>
      </c>
    </row>
    <row r="248" spans="1:9" ht="14.25" customHeight="1" x14ac:dyDescent="0.3">
      <c r="A248" s="208">
        <v>245</v>
      </c>
      <c r="B248" s="212">
        <v>44474</v>
      </c>
      <c r="C248" s="214" t="s">
        <v>557</v>
      </c>
      <c r="D248" s="208" t="s">
        <v>558</v>
      </c>
      <c r="E248" s="208" t="s">
        <v>75</v>
      </c>
      <c r="F248" s="212">
        <v>43341</v>
      </c>
      <c r="G248" s="220" t="s">
        <v>275</v>
      </c>
      <c r="H248" s="220" t="s">
        <v>271</v>
      </c>
      <c r="I248" s="220" t="s">
        <v>272</v>
      </c>
    </row>
    <row r="249" spans="1:9" ht="14.25" customHeight="1" x14ac:dyDescent="0.3">
      <c r="A249" s="208">
        <v>246</v>
      </c>
      <c r="B249" s="212">
        <v>44488</v>
      </c>
      <c r="C249" s="214" t="s">
        <v>559</v>
      </c>
      <c r="D249" s="208" t="s">
        <v>560</v>
      </c>
      <c r="E249" s="208" t="s">
        <v>270</v>
      </c>
      <c r="F249" s="212">
        <v>43199</v>
      </c>
      <c r="G249" s="220" t="s">
        <v>735</v>
      </c>
      <c r="H249" s="220" t="s">
        <v>8</v>
      </c>
      <c r="I249" s="220" t="s">
        <v>272</v>
      </c>
    </row>
    <row r="250" spans="1:9" ht="14.25" customHeight="1" x14ac:dyDescent="0.3">
      <c r="A250" s="208">
        <v>247</v>
      </c>
      <c r="B250" s="212">
        <v>44478</v>
      </c>
      <c r="C250" s="214" t="s">
        <v>561</v>
      </c>
      <c r="D250" s="208" t="s">
        <v>562</v>
      </c>
      <c r="E250" s="208" t="s">
        <v>75</v>
      </c>
      <c r="F250" s="212" t="s">
        <v>8</v>
      </c>
      <c r="G250" s="220" t="s">
        <v>275</v>
      </c>
      <c r="H250" s="220" t="s">
        <v>8</v>
      </c>
      <c r="I250" s="220" t="s">
        <v>272</v>
      </c>
    </row>
    <row r="251" spans="1:9" ht="14.25" customHeight="1" x14ac:dyDescent="0.3">
      <c r="A251" s="208">
        <v>248</v>
      </c>
      <c r="B251" s="212">
        <v>44494</v>
      </c>
      <c r="C251" s="216" t="s">
        <v>563</v>
      </c>
      <c r="D251" s="208" t="s">
        <v>564</v>
      </c>
      <c r="E251" s="208" t="s">
        <v>346</v>
      </c>
      <c r="F251" s="212">
        <v>43940</v>
      </c>
      <c r="G251" s="220" t="s">
        <v>275</v>
      </c>
      <c r="H251" s="220" t="s">
        <v>275</v>
      </c>
      <c r="I251" s="220" t="s">
        <v>272</v>
      </c>
    </row>
    <row r="252" spans="1:9" ht="14.25" customHeight="1" x14ac:dyDescent="0.3">
      <c r="A252" s="208">
        <v>249</v>
      </c>
      <c r="B252" s="212">
        <v>44482</v>
      </c>
      <c r="C252" s="214" t="s">
        <v>565</v>
      </c>
      <c r="D252" s="208" t="s">
        <v>566</v>
      </c>
      <c r="E252" s="208" t="s">
        <v>270</v>
      </c>
      <c r="F252" s="212">
        <v>43179</v>
      </c>
      <c r="G252" s="220" t="s">
        <v>275</v>
      </c>
      <c r="H252" s="220" t="s">
        <v>275</v>
      </c>
      <c r="I252" s="220" t="s">
        <v>272</v>
      </c>
    </row>
    <row r="253" spans="1:9" ht="14.25" customHeight="1" x14ac:dyDescent="0.3">
      <c r="A253" s="208">
        <v>250</v>
      </c>
      <c r="B253" s="212">
        <v>44474</v>
      </c>
      <c r="C253" s="214" t="s">
        <v>567</v>
      </c>
      <c r="D253" s="208" t="s">
        <v>568</v>
      </c>
      <c r="E253" s="208" t="s">
        <v>270</v>
      </c>
      <c r="F253" s="212">
        <v>43558</v>
      </c>
      <c r="G253" s="220" t="s">
        <v>275</v>
      </c>
      <c r="H253" s="220" t="s">
        <v>271</v>
      </c>
      <c r="I253" s="220" t="s">
        <v>272</v>
      </c>
    </row>
    <row r="254" spans="1:9" ht="14.25" customHeight="1" x14ac:dyDescent="0.3">
      <c r="A254" s="208">
        <v>251</v>
      </c>
      <c r="B254" s="212">
        <v>44484</v>
      </c>
      <c r="C254" s="214" t="s">
        <v>569</v>
      </c>
      <c r="D254" s="208" t="s">
        <v>570</v>
      </c>
      <c r="E254" s="208" t="s">
        <v>270</v>
      </c>
      <c r="F254" s="212">
        <v>43757</v>
      </c>
      <c r="G254" s="220" t="s">
        <v>271</v>
      </c>
      <c r="H254" s="220" t="s">
        <v>275</v>
      </c>
      <c r="I254" s="220" t="s">
        <v>272</v>
      </c>
    </row>
    <row r="255" spans="1:9" ht="14.25" customHeight="1" x14ac:dyDescent="0.3">
      <c r="A255" s="208">
        <v>252</v>
      </c>
      <c r="B255" s="212">
        <v>44481</v>
      </c>
      <c r="C255" s="214" t="s">
        <v>571</v>
      </c>
      <c r="D255" s="208" t="s">
        <v>572</v>
      </c>
      <c r="E255" s="208" t="s">
        <v>45</v>
      </c>
      <c r="F255" s="212">
        <v>43081</v>
      </c>
      <c r="G255" s="220" t="s">
        <v>271</v>
      </c>
      <c r="H255" s="220" t="s">
        <v>275</v>
      </c>
      <c r="I255" s="220" t="s">
        <v>272</v>
      </c>
    </row>
    <row r="256" spans="1:9" ht="14.25" customHeight="1" x14ac:dyDescent="0.3">
      <c r="A256" s="208">
        <v>253</v>
      </c>
      <c r="B256" s="212">
        <v>44493</v>
      </c>
      <c r="C256" s="214" t="s">
        <v>573</v>
      </c>
      <c r="D256" s="208" t="s">
        <v>574</v>
      </c>
      <c r="E256" s="208" t="s">
        <v>270</v>
      </c>
      <c r="F256" s="212">
        <v>43193</v>
      </c>
      <c r="G256" s="220" t="s">
        <v>324</v>
      </c>
      <c r="H256" s="220" t="s">
        <v>340</v>
      </c>
      <c r="I256" s="220" t="s">
        <v>272</v>
      </c>
    </row>
    <row r="257" spans="1:9" ht="14.25" customHeight="1" x14ac:dyDescent="0.3">
      <c r="A257" s="208">
        <v>254</v>
      </c>
      <c r="B257" s="212">
        <v>44488</v>
      </c>
      <c r="C257" s="214" t="s">
        <v>575</v>
      </c>
      <c r="D257" s="208" t="s">
        <v>576</v>
      </c>
      <c r="E257" s="208" t="s">
        <v>270</v>
      </c>
      <c r="F257" s="212">
        <v>43202</v>
      </c>
      <c r="G257" s="220" t="s">
        <v>340</v>
      </c>
      <c r="H257" s="220" t="s">
        <v>437</v>
      </c>
      <c r="I257" s="220" t="s">
        <v>272</v>
      </c>
    </row>
    <row r="258" spans="1:9" ht="14.25" customHeight="1" x14ac:dyDescent="0.3">
      <c r="A258" s="208">
        <v>255</v>
      </c>
      <c r="B258" s="212">
        <v>44482</v>
      </c>
      <c r="C258" s="214" t="s">
        <v>577</v>
      </c>
      <c r="D258" s="208" t="s">
        <v>578</v>
      </c>
      <c r="E258" s="208" t="s">
        <v>579</v>
      </c>
      <c r="F258" s="212" t="s">
        <v>8</v>
      </c>
      <c r="G258" s="220" t="s">
        <v>275</v>
      </c>
      <c r="H258" s="220" t="s">
        <v>275</v>
      </c>
      <c r="I258" s="220" t="s">
        <v>272</v>
      </c>
    </row>
    <row r="259" spans="1:9" ht="14.25" customHeight="1" x14ac:dyDescent="0.3">
      <c r="A259" s="208">
        <v>256</v>
      </c>
      <c r="B259" s="212">
        <v>44476</v>
      </c>
      <c r="C259" s="214" t="s">
        <v>580</v>
      </c>
      <c r="D259" s="208" t="s">
        <v>581</v>
      </c>
      <c r="E259" s="208" t="s">
        <v>56</v>
      </c>
      <c r="F259" s="212">
        <v>43416</v>
      </c>
      <c r="G259" s="220" t="s">
        <v>271</v>
      </c>
      <c r="H259" s="220" t="s">
        <v>275</v>
      </c>
      <c r="I259" s="220" t="s">
        <v>341</v>
      </c>
    </row>
    <row r="260" spans="1:9" ht="14.25" customHeight="1" x14ac:dyDescent="0.3">
      <c r="A260" s="208">
        <v>257</v>
      </c>
      <c r="B260" s="212">
        <v>44491</v>
      </c>
      <c r="C260" s="214" t="s">
        <v>582</v>
      </c>
      <c r="D260" s="208" t="s">
        <v>583</v>
      </c>
      <c r="E260" s="208" t="s">
        <v>75</v>
      </c>
      <c r="F260" s="212">
        <v>43264</v>
      </c>
      <c r="G260" s="220" t="s">
        <v>275</v>
      </c>
      <c r="H260" s="220" t="s">
        <v>291</v>
      </c>
      <c r="I260" s="220" t="s">
        <v>341</v>
      </c>
    </row>
    <row r="261" spans="1:9" ht="14.25" customHeight="1" x14ac:dyDescent="0.3">
      <c r="A261" s="208">
        <v>258</v>
      </c>
      <c r="B261" s="212">
        <v>44480</v>
      </c>
      <c r="C261" s="214" t="s">
        <v>584</v>
      </c>
      <c r="D261" s="208" t="s">
        <v>585</v>
      </c>
      <c r="E261" s="208" t="s">
        <v>312</v>
      </c>
      <c r="F261" s="212">
        <v>43864</v>
      </c>
      <c r="G261" s="220" t="s">
        <v>8</v>
      </c>
      <c r="H261" s="220" t="s">
        <v>275</v>
      </c>
      <c r="I261" s="220" t="s">
        <v>341</v>
      </c>
    </row>
    <row r="262" spans="1:9" ht="14.25" customHeight="1" x14ac:dyDescent="0.3">
      <c r="A262" s="208">
        <v>259</v>
      </c>
      <c r="B262" s="212">
        <v>44497</v>
      </c>
      <c r="C262" s="214" t="s">
        <v>545</v>
      </c>
      <c r="D262" s="208" t="s">
        <v>546</v>
      </c>
      <c r="E262" s="208" t="s">
        <v>56</v>
      </c>
      <c r="F262" s="212" t="s">
        <v>8</v>
      </c>
      <c r="G262" s="220" t="s">
        <v>275</v>
      </c>
      <c r="H262" s="220" t="s">
        <v>327</v>
      </c>
      <c r="I262" s="220" t="s">
        <v>341</v>
      </c>
    </row>
    <row r="263" spans="1:9" ht="14.25" customHeight="1" x14ac:dyDescent="0.3">
      <c r="A263" s="208">
        <v>260</v>
      </c>
      <c r="B263" s="212">
        <v>44506</v>
      </c>
      <c r="C263" s="214" t="s">
        <v>586</v>
      </c>
      <c r="D263" s="208" t="s">
        <v>587</v>
      </c>
      <c r="E263" s="208" t="s">
        <v>56</v>
      </c>
      <c r="F263" s="212">
        <v>43890</v>
      </c>
      <c r="G263" s="220" t="s">
        <v>275</v>
      </c>
      <c r="H263" s="220" t="s">
        <v>271</v>
      </c>
      <c r="I263" s="220" t="s">
        <v>272</v>
      </c>
    </row>
    <row r="264" spans="1:9" ht="14.25" customHeight="1" x14ac:dyDescent="0.3">
      <c r="A264" s="208">
        <v>261</v>
      </c>
      <c r="B264" s="212">
        <v>44513</v>
      </c>
      <c r="C264" s="214" t="s">
        <v>588</v>
      </c>
      <c r="D264" s="208" t="s">
        <v>589</v>
      </c>
      <c r="E264" s="208" t="s">
        <v>56</v>
      </c>
      <c r="F264" s="212">
        <v>43776</v>
      </c>
      <c r="G264" s="220" t="s">
        <v>275</v>
      </c>
      <c r="H264" s="220" t="s">
        <v>271</v>
      </c>
      <c r="I264" s="220" t="s">
        <v>272</v>
      </c>
    </row>
    <row r="265" spans="1:9" ht="14.25" customHeight="1" x14ac:dyDescent="0.3">
      <c r="A265" s="208">
        <v>262</v>
      </c>
      <c r="B265" s="212">
        <v>44526</v>
      </c>
      <c r="C265" s="214" t="s">
        <v>590</v>
      </c>
      <c r="D265" s="208" t="s">
        <v>591</v>
      </c>
      <c r="E265" s="208" t="s">
        <v>56</v>
      </c>
      <c r="F265" s="212">
        <v>43863</v>
      </c>
      <c r="G265" s="220" t="s">
        <v>275</v>
      </c>
      <c r="H265" s="220" t="s">
        <v>271</v>
      </c>
      <c r="I265" s="220" t="s">
        <v>272</v>
      </c>
    </row>
    <row r="266" spans="1:9" ht="14.25" customHeight="1" x14ac:dyDescent="0.3">
      <c r="A266" s="208">
        <v>263</v>
      </c>
      <c r="B266" s="212">
        <v>44522</v>
      </c>
      <c r="C266" s="214" t="s">
        <v>592</v>
      </c>
      <c r="D266" s="208" t="s">
        <v>593</v>
      </c>
      <c r="E266" s="208" t="s">
        <v>56</v>
      </c>
      <c r="F266" s="212">
        <v>43884</v>
      </c>
      <c r="G266" s="220" t="s">
        <v>271</v>
      </c>
      <c r="H266" s="220" t="s">
        <v>275</v>
      </c>
      <c r="I266" s="220" t="s">
        <v>272</v>
      </c>
    </row>
    <row r="267" spans="1:9" ht="14.25" customHeight="1" x14ac:dyDescent="0.3">
      <c r="A267" s="208">
        <v>264</v>
      </c>
      <c r="B267" s="212">
        <v>44529</v>
      </c>
      <c r="C267" s="214" t="s">
        <v>595</v>
      </c>
      <c r="D267" s="208" t="s">
        <v>596</v>
      </c>
      <c r="E267" s="208" t="s">
        <v>78</v>
      </c>
      <c r="F267" s="212">
        <v>43825</v>
      </c>
      <c r="G267" s="220" t="s">
        <v>275</v>
      </c>
      <c r="H267" s="220" t="s">
        <v>271</v>
      </c>
      <c r="I267" s="220" t="s">
        <v>272</v>
      </c>
    </row>
    <row r="268" spans="1:9" ht="14.25" customHeight="1" x14ac:dyDescent="0.3">
      <c r="A268" s="208">
        <v>265</v>
      </c>
      <c r="B268" s="212">
        <v>44511</v>
      </c>
      <c r="C268" s="214" t="s">
        <v>597</v>
      </c>
      <c r="D268" s="208" t="s">
        <v>598</v>
      </c>
      <c r="E268" s="208" t="s">
        <v>56</v>
      </c>
      <c r="F268" s="212">
        <v>43114</v>
      </c>
      <c r="G268" s="220" t="s">
        <v>327</v>
      </c>
      <c r="H268" s="220" t="s">
        <v>8</v>
      </c>
      <c r="I268" s="220" t="s">
        <v>272</v>
      </c>
    </row>
    <row r="269" spans="1:9" ht="14.25" customHeight="1" x14ac:dyDescent="0.3">
      <c r="A269" s="208">
        <v>266</v>
      </c>
      <c r="B269" s="212">
        <v>44508</v>
      </c>
      <c r="C269" s="214" t="s">
        <v>599</v>
      </c>
      <c r="D269" s="208" t="s">
        <v>600</v>
      </c>
      <c r="E269" s="208" t="s">
        <v>56</v>
      </c>
      <c r="F269" s="212">
        <v>43743</v>
      </c>
      <c r="G269" s="220" t="s">
        <v>594</v>
      </c>
      <c r="H269" s="220" t="s">
        <v>321</v>
      </c>
      <c r="I269" s="220" t="s">
        <v>272</v>
      </c>
    </row>
    <row r="270" spans="1:9" ht="14.25" customHeight="1" x14ac:dyDescent="0.3">
      <c r="A270" s="208">
        <v>267</v>
      </c>
      <c r="B270" s="212">
        <v>44526</v>
      </c>
      <c r="C270" s="214" t="s">
        <v>601</v>
      </c>
      <c r="D270" s="208" t="s">
        <v>602</v>
      </c>
      <c r="E270" s="208" t="s">
        <v>45</v>
      </c>
      <c r="F270" s="212">
        <v>43438</v>
      </c>
      <c r="G270" s="220" t="s">
        <v>275</v>
      </c>
      <c r="H270" s="220" t="s">
        <v>271</v>
      </c>
      <c r="I270" s="220" t="s">
        <v>272</v>
      </c>
    </row>
    <row r="271" spans="1:9" ht="14.25" customHeight="1" x14ac:dyDescent="0.3">
      <c r="A271" s="208">
        <v>268</v>
      </c>
      <c r="B271" s="212">
        <v>44514</v>
      </c>
      <c r="C271" s="214" t="s">
        <v>603</v>
      </c>
      <c r="D271" s="208" t="s">
        <v>604</v>
      </c>
      <c r="E271" s="220" t="s">
        <v>56</v>
      </c>
      <c r="F271" s="212">
        <v>43604</v>
      </c>
      <c r="G271" s="220" t="s">
        <v>271</v>
      </c>
      <c r="H271" s="220" t="s">
        <v>317</v>
      </c>
      <c r="I271" s="220" t="s">
        <v>272</v>
      </c>
    </row>
    <row r="272" spans="1:9" ht="14.25" customHeight="1" x14ac:dyDescent="0.3">
      <c r="A272" s="208">
        <v>269</v>
      </c>
      <c r="B272" s="212">
        <v>44520</v>
      </c>
      <c r="C272" s="214" t="s">
        <v>605</v>
      </c>
      <c r="D272" s="208" t="s">
        <v>606</v>
      </c>
      <c r="E272" s="208" t="s">
        <v>56</v>
      </c>
      <c r="F272" s="212">
        <v>44036</v>
      </c>
      <c r="G272" s="220" t="s">
        <v>271</v>
      </c>
      <c r="H272" s="220" t="s">
        <v>271</v>
      </c>
      <c r="I272" s="220" t="s">
        <v>272</v>
      </c>
    </row>
    <row r="273" spans="1:9" ht="14.25" customHeight="1" x14ac:dyDescent="0.3">
      <c r="A273" s="208">
        <v>270</v>
      </c>
      <c r="B273" s="212">
        <v>44528</v>
      </c>
      <c r="C273" s="214" t="s">
        <v>608</v>
      </c>
      <c r="D273" s="208" t="s">
        <v>609</v>
      </c>
      <c r="E273" s="208" t="s">
        <v>56</v>
      </c>
      <c r="F273" s="212">
        <v>43709</v>
      </c>
      <c r="G273" s="220" t="s">
        <v>528</v>
      </c>
      <c r="H273" s="220" t="s">
        <v>275</v>
      </c>
      <c r="I273" s="220" t="s">
        <v>272</v>
      </c>
    </row>
    <row r="274" spans="1:9" ht="14.25" customHeight="1" x14ac:dyDescent="0.3">
      <c r="A274" s="208">
        <v>271</v>
      </c>
      <c r="B274" s="212">
        <v>44506</v>
      </c>
      <c r="C274" s="214" t="s">
        <v>610</v>
      </c>
      <c r="D274" s="208" t="s">
        <v>611</v>
      </c>
      <c r="E274" s="208" t="s">
        <v>56</v>
      </c>
      <c r="F274" s="212">
        <v>43459</v>
      </c>
      <c r="G274" s="220" t="s">
        <v>275</v>
      </c>
      <c r="H274" s="220" t="s">
        <v>275</v>
      </c>
      <c r="I274" s="220" t="s">
        <v>272</v>
      </c>
    </row>
    <row r="275" spans="1:9" ht="14.25" customHeight="1" x14ac:dyDescent="0.3">
      <c r="A275" s="208">
        <v>272</v>
      </c>
      <c r="B275" s="212">
        <v>44506</v>
      </c>
      <c r="C275" s="214" t="s">
        <v>612</v>
      </c>
      <c r="D275" s="208" t="s">
        <v>613</v>
      </c>
      <c r="E275" s="208" t="s">
        <v>56</v>
      </c>
      <c r="F275" s="212">
        <v>42909</v>
      </c>
      <c r="G275" s="220" t="s">
        <v>275</v>
      </c>
      <c r="H275" s="220" t="s">
        <v>291</v>
      </c>
      <c r="I275" s="220" t="s">
        <v>272</v>
      </c>
    </row>
    <row r="276" spans="1:9" ht="14.25" customHeight="1" x14ac:dyDescent="0.3">
      <c r="A276" s="208">
        <v>273</v>
      </c>
      <c r="B276" s="212">
        <v>44523</v>
      </c>
      <c r="C276" s="214" t="s">
        <v>614</v>
      </c>
      <c r="D276" s="208" t="s">
        <v>615</v>
      </c>
      <c r="E276" s="208" t="s">
        <v>56</v>
      </c>
      <c r="F276" s="212">
        <v>44098</v>
      </c>
      <c r="G276" s="220" t="s">
        <v>291</v>
      </c>
      <c r="H276" s="220" t="s">
        <v>271</v>
      </c>
      <c r="I276" s="220" t="s">
        <v>341</v>
      </c>
    </row>
    <row r="277" spans="1:9" ht="14.25" customHeight="1" x14ac:dyDescent="0.3">
      <c r="A277" s="208">
        <v>274</v>
      </c>
      <c r="B277" s="212">
        <v>44511</v>
      </c>
      <c r="C277" s="214" t="s">
        <v>616</v>
      </c>
      <c r="D277" s="208" t="s">
        <v>617</v>
      </c>
      <c r="E277" s="208" t="s">
        <v>56</v>
      </c>
      <c r="F277" s="212">
        <v>42875</v>
      </c>
      <c r="G277" s="220" t="s">
        <v>271</v>
      </c>
      <c r="H277" s="220" t="s">
        <v>271</v>
      </c>
      <c r="I277" s="220" t="s">
        <v>341</v>
      </c>
    </row>
    <row r="278" spans="1:9" ht="14.25" customHeight="1" x14ac:dyDescent="0.3">
      <c r="A278" s="208">
        <v>275</v>
      </c>
      <c r="B278" s="212">
        <v>44525</v>
      </c>
      <c r="C278" s="214" t="s">
        <v>618</v>
      </c>
      <c r="D278" s="208" t="s">
        <v>619</v>
      </c>
      <c r="E278" s="208" t="s">
        <v>78</v>
      </c>
      <c r="F278" s="212">
        <v>42853</v>
      </c>
      <c r="G278" s="220" t="s">
        <v>8</v>
      </c>
      <c r="H278" s="220" t="s">
        <v>8</v>
      </c>
      <c r="I278" s="220" t="s">
        <v>341</v>
      </c>
    </row>
    <row r="279" spans="1:9" ht="14.25" customHeight="1" x14ac:dyDescent="0.3">
      <c r="A279" s="208">
        <v>276</v>
      </c>
      <c r="B279" s="212">
        <v>44501</v>
      </c>
      <c r="C279" s="214" t="s">
        <v>620</v>
      </c>
      <c r="D279" s="208" t="s">
        <v>621</v>
      </c>
      <c r="E279" s="208" t="s">
        <v>56</v>
      </c>
      <c r="F279" s="212">
        <v>42849</v>
      </c>
      <c r="G279" s="220" t="s">
        <v>275</v>
      </c>
      <c r="H279" s="220" t="s">
        <v>8</v>
      </c>
      <c r="I279" s="220" t="s">
        <v>341</v>
      </c>
    </row>
    <row r="280" spans="1:9" ht="14.25" customHeight="1" x14ac:dyDescent="0.3">
      <c r="A280" s="208">
        <v>277</v>
      </c>
      <c r="B280" s="212">
        <v>44512</v>
      </c>
      <c r="C280" s="214" t="s">
        <v>622</v>
      </c>
      <c r="D280" s="208" t="s">
        <v>623</v>
      </c>
      <c r="E280" s="208" t="s">
        <v>56</v>
      </c>
      <c r="F280" s="212">
        <v>42785</v>
      </c>
      <c r="G280" s="220" t="s">
        <v>271</v>
      </c>
      <c r="H280" s="220" t="s">
        <v>275</v>
      </c>
      <c r="I280" s="220" t="s">
        <v>341</v>
      </c>
    </row>
    <row r="281" spans="1:9" ht="14.25" customHeight="1" x14ac:dyDescent="0.3">
      <c r="A281" s="208">
        <v>278</v>
      </c>
      <c r="B281" s="212">
        <v>44506</v>
      </c>
      <c r="C281" s="214" t="s">
        <v>625</v>
      </c>
      <c r="D281" s="208" t="s">
        <v>626</v>
      </c>
      <c r="E281" s="208" t="s">
        <v>78</v>
      </c>
      <c r="F281" s="212">
        <v>43601</v>
      </c>
      <c r="G281" s="220" t="s">
        <v>275</v>
      </c>
      <c r="H281" s="220" t="s">
        <v>271</v>
      </c>
      <c r="I281" s="220" t="s">
        <v>341</v>
      </c>
    </row>
    <row r="282" spans="1:9" ht="14.25" customHeight="1" x14ac:dyDescent="0.3">
      <c r="A282" s="208">
        <v>279</v>
      </c>
      <c r="B282" s="212">
        <v>44507</v>
      </c>
      <c r="C282" s="214" t="s">
        <v>627</v>
      </c>
      <c r="D282" s="208" t="s">
        <v>628</v>
      </c>
      <c r="E282" s="208" t="s">
        <v>78</v>
      </c>
      <c r="F282" s="212">
        <v>43814</v>
      </c>
      <c r="G282" s="220" t="s">
        <v>8</v>
      </c>
      <c r="H282" s="220" t="s">
        <v>8</v>
      </c>
      <c r="I282" s="220" t="s">
        <v>341</v>
      </c>
    </row>
    <row r="283" spans="1:9" ht="14.25" customHeight="1" x14ac:dyDescent="0.3">
      <c r="A283" s="208">
        <v>280</v>
      </c>
      <c r="B283" s="212">
        <v>44518</v>
      </c>
      <c r="C283" s="214" t="s">
        <v>629</v>
      </c>
      <c r="D283" s="208" t="s">
        <v>630</v>
      </c>
      <c r="E283" s="208" t="s">
        <v>45</v>
      </c>
      <c r="F283" s="212">
        <v>43443</v>
      </c>
      <c r="G283" s="220" t="s">
        <v>271</v>
      </c>
      <c r="H283" s="220" t="s">
        <v>275</v>
      </c>
      <c r="I283" s="220" t="s">
        <v>272</v>
      </c>
    </row>
    <row r="284" spans="1:9" ht="14.25" customHeight="1" x14ac:dyDescent="0.3">
      <c r="A284" s="208">
        <v>281</v>
      </c>
      <c r="B284" s="212">
        <v>44530</v>
      </c>
      <c r="C284" s="214" t="s">
        <v>631</v>
      </c>
      <c r="D284" s="208" t="s">
        <v>632</v>
      </c>
      <c r="E284" s="208" t="s">
        <v>45</v>
      </c>
      <c r="F284" s="212">
        <v>43847</v>
      </c>
      <c r="G284" s="220" t="s">
        <v>275</v>
      </c>
      <c r="H284" s="220" t="s">
        <v>271</v>
      </c>
      <c r="I284" s="220" t="s">
        <v>272</v>
      </c>
    </row>
    <row r="285" spans="1:9" ht="14.25" customHeight="1" x14ac:dyDescent="0.3">
      <c r="A285" s="208">
        <v>282</v>
      </c>
      <c r="B285" s="212">
        <v>44501</v>
      </c>
      <c r="C285" s="214" t="s">
        <v>633</v>
      </c>
      <c r="D285" s="208" t="s">
        <v>634</v>
      </c>
      <c r="E285" s="208" t="s">
        <v>45</v>
      </c>
      <c r="F285" s="212">
        <v>43893</v>
      </c>
      <c r="G285" s="220" t="s">
        <v>275</v>
      </c>
      <c r="H285" s="220" t="s">
        <v>8</v>
      </c>
      <c r="I285" s="220" t="s">
        <v>272</v>
      </c>
    </row>
    <row r="286" spans="1:9" ht="14.25" customHeight="1" x14ac:dyDescent="0.3">
      <c r="A286" s="208">
        <v>283</v>
      </c>
      <c r="B286" s="212">
        <v>44526</v>
      </c>
      <c r="C286" s="214" t="s">
        <v>635</v>
      </c>
      <c r="D286" s="208" t="s">
        <v>636</v>
      </c>
      <c r="E286" s="208" t="s">
        <v>45</v>
      </c>
      <c r="F286" s="212">
        <v>44137</v>
      </c>
      <c r="G286" s="220" t="s">
        <v>271</v>
      </c>
      <c r="H286" s="220" t="s">
        <v>8</v>
      </c>
      <c r="I286" s="220" t="s">
        <v>272</v>
      </c>
    </row>
    <row r="287" spans="1:9" ht="14.25" customHeight="1" x14ac:dyDescent="0.3">
      <c r="A287" s="208">
        <v>284</v>
      </c>
      <c r="B287" s="212">
        <v>44525</v>
      </c>
      <c r="C287" s="214" t="s">
        <v>637</v>
      </c>
      <c r="D287" s="208" t="s">
        <v>638</v>
      </c>
      <c r="E287" s="208" t="s">
        <v>45</v>
      </c>
      <c r="F287" s="212">
        <v>43099</v>
      </c>
      <c r="G287" s="220" t="s">
        <v>271</v>
      </c>
      <c r="H287" s="220" t="s">
        <v>8</v>
      </c>
      <c r="I287" s="220" t="s">
        <v>272</v>
      </c>
    </row>
    <row r="288" spans="1:9" ht="14.25" customHeight="1" x14ac:dyDescent="0.3">
      <c r="A288" s="208">
        <v>285</v>
      </c>
      <c r="B288" s="212">
        <v>44517</v>
      </c>
      <c r="C288" s="214" t="s">
        <v>639</v>
      </c>
      <c r="D288" s="208" t="s">
        <v>640</v>
      </c>
      <c r="E288" s="208" t="s">
        <v>45</v>
      </c>
      <c r="F288" s="212">
        <v>43688</v>
      </c>
      <c r="G288" s="220" t="s">
        <v>275</v>
      </c>
      <c r="H288" s="220" t="s">
        <v>271</v>
      </c>
      <c r="I288" s="220" t="s">
        <v>272</v>
      </c>
    </row>
    <row r="289" spans="1:9" ht="14.25" customHeight="1" x14ac:dyDescent="0.3">
      <c r="A289" s="208">
        <v>286</v>
      </c>
      <c r="B289" s="212">
        <v>44507</v>
      </c>
      <c r="C289" s="214" t="s">
        <v>641</v>
      </c>
      <c r="D289" s="208" t="s">
        <v>642</v>
      </c>
      <c r="E289" s="208" t="s">
        <v>45</v>
      </c>
      <c r="F289" s="212">
        <v>43455</v>
      </c>
      <c r="G289" s="220" t="s">
        <v>271</v>
      </c>
      <c r="H289" s="220" t="s">
        <v>271</v>
      </c>
      <c r="I289" s="220" t="s">
        <v>272</v>
      </c>
    </row>
    <row r="290" spans="1:9" ht="14.25" customHeight="1" x14ac:dyDescent="0.3">
      <c r="A290" s="208">
        <v>287</v>
      </c>
      <c r="B290" s="212">
        <v>44506</v>
      </c>
      <c r="C290" s="214" t="s">
        <v>643</v>
      </c>
      <c r="D290" s="208" t="s">
        <v>644</v>
      </c>
      <c r="E290" s="208" t="s">
        <v>45</v>
      </c>
      <c r="F290" s="212">
        <v>43403</v>
      </c>
      <c r="G290" s="220" t="s">
        <v>291</v>
      </c>
      <c r="H290" s="220" t="s">
        <v>275</v>
      </c>
      <c r="I290" s="220" t="s">
        <v>272</v>
      </c>
    </row>
    <row r="291" spans="1:9" ht="14.25" customHeight="1" x14ac:dyDescent="0.3">
      <c r="A291" s="208">
        <v>288</v>
      </c>
      <c r="B291" s="212">
        <v>44507</v>
      </c>
      <c r="C291" s="214" t="s">
        <v>645</v>
      </c>
      <c r="D291" s="208" t="s">
        <v>646</v>
      </c>
      <c r="E291" s="208" t="s">
        <v>45</v>
      </c>
      <c r="F291" s="212">
        <v>43203</v>
      </c>
      <c r="G291" s="220" t="s">
        <v>275</v>
      </c>
      <c r="H291" s="220" t="s">
        <v>275</v>
      </c>
      <c r="I291" s="220" t="s">
        <v>272</v>
      </c>
    </row>
    <row r="292" spans="1:9" ht="14.25" customHeight="1" x14ac:dyDescent="0.3">
      <c r="A292" s="208">
        <v>289</v>
      </c>
      <c r="B292" s="212">
        <v>44485</v>
      </c>
      <c r="C292" s="214" t="s">
        <v>647</v>
      </c>
      <c r="D292" s="208" t="s">
        <v>648</v>
      </c>
      <c r="E292" s="208" t="s">
        <v>111</v>
      </c>
      <c r="F292" s="212">
        <v>43196</v>
      </c>
      <c r="G292" s="220" t="s">
        <v>8</v>
      </c>
      <c r="H292" s="220" t="s">
        <v>275</v>
      </c>
      <c r="I292" s="220" t="s">
        <v>272</v>
      </c>
    </row>
    <row r="293" spans="1:9" ht="14.25" customHeight="1" x14ac:dyDescent="0.3">
      <c r="A293" s="208">
        <v>290</v>
      </c>
      <c r="B293" s="212">
        <v>44493</v>
      </c>
      <c r="C293" s="214" t="s">
        <v>649</v>
      </c>
      <c r="D293" s="208" t="s">
        <v>650</v>
      </c>
      <c r="E293" s="208" t="s">
        <v>111</v>
      </c>
      <c r="F293" s="212">
        <v>43397</v>
      </c>
      <c r="G293" s="220" t="s">
        <v>271</v>
      </c>
      <c r="H293" s="220" t="s">
        <v>340</v>
      </c>
      <c r="I293" s="220" t="s">
        <v>272</v>
      </c>
    </row>
    <row r="294" spans="1:9" ht="14.25" customHeight="1" x14ac:dyDescent="0.3">
      <c r="A294" s="208">
        <v>291</v>
      </c>
      <c r="B294" s="212">
        <v>44486</v>
      </c>
      <c r="C294" s="214" t="s">
        <v>651</v>
      </c>
      <c r="D294" s="208" t="s">
        <v>652</v>
      </c>
      <c r="E294" s="208" t="s">
        <v>111</v>
      </c>
      <c r="F294" s="212">
        <v>43911</v>
      </c>
      <c r="G294" s="220" t="s">
        <v>363</v>
      </c>
      <c r="H294" s="220" t="s">
        <v>275</v>
      </c>
      <c r="I294" s="220" t="s">
        <v>272</v>
      </c>
    </row>
    <row r="295" spans="1:9" ht="14.25" customHeight="1" x14ac:dyDescent="0.3">
      <c r="A295" s="208">
        <v>292</v>
      </c>
      <c r="B295" s="212">
        <v>44479</v>
      </c>
      <c r="C295" s="214" t="s">
        <v>653</v>
      </c>
      <c r="D295" s="208" t="s">
        <v>654</v>
      </c>
      <c r="E295" s="208" t="s">
        <v>111</v>
      </c>
      <c r="F295" s="212">
        <v>43402</v>
      </c>
      <c r="G295" s="220" t="s">
        <v>320</v>
      </c>
      <c r="H295" s="220" t="s">
        <v>275</v>
      </c>
      <c r="I295" s="220" t="s">
        <v>272</v>
      </c>
    </row>
    <row r="296" spans="1:9" ht="14.25" customHeight="1" x14ac:dyDescent="0.3">
      <c r="A296" s="208">
        <v>293</v>
      </c>
      <c r="B296" s="212">
        <v>44490</v>
      </c>
      <c r="C296" s="214" t="s">
        <v>655</v>
      </c>
      <c r="D296" s="208" t="s">
        <v>656</v>
      </c>
      <c r="E296" s="208" t="s">
        <v>111</v>
      </c>
      <c r="F296" s="212" t="s">
        <v>8</v>
      </c>
      <c r="G296" s="220" t="s">
        <v>275</v>
      </c>
      <c r="H296" s="220" t="s">
        <v>271</v>
      </c>
      <c r="I296" s="220" t="s">
        <v>272</v>
      </c>
    </row>
    <row r="297" spans="1:9" ht="14.25" customHeight="1" x14ac:dyDescent="0.3">
      <c r="A297" s="208">
        <v>294</v>
      </c>
      <c r="B297" s="212">
        <v>44495</v>
      </c>
      <c r="C297" s="214" t="s">
        <v>657</v>
      </c>
      <c r="D297" s="208" t="s">
        <v>658</v>
      </c>
      <c r="E297" s="208" t="s">
        <v>346</v>
      </c>
      <c r="F297" s="212">
        <v>43605</v>
      </c>
      <c r="G297" s="220" t="s">
        <v>271</v>
      </c>
      <c r="H297" s="220" t="s">
        <v>271</v>
      </c>
      <c r="I297" s="220" t="s">
        <v>272</v>
      </c>
    </row>
    <row r="298" spans="1:9" ht="14.25" customHeight="1" x14ac:dyDescent="0.3">
      <c r="A298" s="208">
        <v>295</v>
      </c>
      <c r="B298" s="212">
        <v>44487</v>
      </c>
      <c r="C298" s="214" t="s">
        <v>659</v>
      </c>
      <c r="D298" s="208" t="s">
        <v>660</v>
      </c>
      <c r="E298" s="208" t="s">
        <v>111</v>
      </c>
      <c r="F298" s="212">
        <v>43564</v>
      </c>
      <c r="G298" s="220" t="s">
        <v>271</v>
      </c>
      <c r="H298" s="220" t="s">
        <v>271</v>
      </c>
      <c r="I298" s="220" t="s">
        <v>272</v>
      </c>
    </row>
    <row r="299" spans="1:9" ht="14.25" customHeight="1" x14ac:dyDescent="0.3">
      <c r="A299" s="208">
        <v>296</v>
      </c>
      <c r="B299" s="212">
        <v>44520</v>
      </c>
      <c r="C299" s="214" t="s">
        <v>661</v>
      </c>
      <c r="D299" s="208" t="s">
        <v>662</v>
      </c>
      <c r="E299" s="208" t="s">
        <v>78</v>
      </c>
      <c r="F299" s="212">
        <v>42688</v>
      </c>
      <c r="G299" s="220" t="s">
        <v>275</v>
      </c>
      <c r="H299" s="220" t="s">
        <v>271</v>
      </c>
      <c r="I299" s="220" t="s">
        <v>341</v>
      </c>
    </row>
    <row r="300" spans="1:9" ht="14.25" customHeight="1" x14ac:dyDescent="0.3">
      <c r="A300" s="208">
        <v>297</v>
      </c>
      <c r="B300" s="212">
        <v>44514</v>
      </c>
      <c r="C300" s="214" t="s">
        <v>663</v>
      </c>
      <c r="D300" s="208" t="s">
        <v>664</v>
      </c>
      <c r="E300" s="208" t="s">
        <v>56</v>
      </c>
      <c r="F300" s="212">
        <v>43995</v>
      </c>
      <c r="G300" s="220" t="s">
        <v>275</v>
      </c>
      <c r="H300" s="220" t="s">
        <v>271</v>
      </c>
      <c r="I300" s="220" t="s">
        <v>341</v>
      </c>
    </row>
    <row r="301" spans="1:9" ht="14.25" customHeight="1" x14ac:dyDescent="0.3">
      <c r="A301" s="208">
        <v>298</v>
      </c>
      <c r="B301" s="212">
        <v>44511</v>
      </c>
      <c r="C301" s="214" t="s">
        <v>665</v>
      </c>
      <c r="D301" s="208" t="s">
        <v>666</v>
      </c>
      <c r="E301" s="208" t="s">
        <v>56</v>
      </c>
      <c r="F301" s="212">
        <v>43163</v>
      </c>
      <c r="G301" s="220" t="s">
        <v>8</v>
      </c>
      <c r="H301" s="220" t="s">
        <v>8</v>
      </c>
      <c r="I301" s="220" t="s">
        <v>341</v>
      </c>
    </row>
    <row r="302" spans="1:9" ht="14.25" customHeight="1" x14ac:dyDescent="0.3">
      <c r="A302" s="208">
        <v>299</v>
      </c>
      <c r="B302" s="212">
        <v>44516</v>
      </c>
      <c r="C302" s="214" t="s">
        <v>667</v>
      </c>
      <c r="D302" s="208" t="s">
        <v>668</v>
      </c>
      <c r="E302" s="208" t="s">
        <v>56</v>
      </c>
      <c r="F302" s="212">
        <v>44042</v>
      </c>
      <c r="G302" s="220" t="s">
        <v>275</v>
      </c>
      <c r="H302" s="220" t="s">
        <v>8</v>
      </c>
      <c r="I302" s="220" t="s">
        <v>341</v>
      </c>
    </row>
    <row r="303" spans="1:9" ht="14.25" customHeight="1" x14ac:dyDescent="0.3">
      <c r="A303" s="208">
        <v>300</v>
      </c>
      <c r="B303" s="212">
        <v>44516</v>
      </c>
      <c r="C303" s="214" t="s">
        <v>669</v>
      </c>
      <c r="D303" s="208" t="s">
        <v>670</v>
      </c>
      <c r="E303" s="208" t="s">
        <v>56</v>
      </c>
      <c r="F303" s="212">
        <v>42924</v>
      </c>
      <c r="G303" s="220" t="s">
        <v>275</v>
      </c>
      <c r="H303" s="220" t="s">
        <v>275</v>
      </c>
      <c r="I303" s="220" t="s">
        <v>341</v>
      </c>
    </row>
    <row r="304" spans="1:9" ht="14.25" customHeight="1" x14ac:dyDescent="0.3">
      <c r="A304" s="208">
        <v>301</v>
      </c>
      <c r="B304" s="212">
        <v>44512</v>
      </c>
      <c r="C304" s="214" t="s">
        <v>671</v>
      </c>
      <c r="D304" s="208" t="s">
        <v>672</v>
      </c>
      <c r="E304" s="208" t="s">
        <v>78</v>
      </c>
      <c r="F304" s="212">
        <v>42988</v>
      </c>
      <c r="G304" s="220" t="s">
        <v>327</v>
      </c>
      <c r="H304" s="220" t="s">
        <v>8</v>
      </c>
      <c r="I304" s="220" t="s">
        <v>341</v>
      </c>
    </row>
    <row r="305" spans="1:9" ht="14.25" customHeight="1" x14ac:dyDescent="0.3">
      <c r="A305" s="208">
        <v>302</v>
      </c>
      <c r="B305" s="212">
        <v>44513</v>
      </c>
      <c r="C305" s="214" t="s">
        <v>673</v>
      </c>
      <c r="D305" s="208" t="s">
        <v>674</v>
      </c>
      <c r="E305" s="208" t="s">
        <v>111</v>
      </c>
      <c r="F305" s="212">
        <v>43015</v>
      </c>
      <c r="G305" s="220" t="s">
        <v>271</v>
      </c>
      <c r="H305" s="220" t="s">
        <v>271</v>
      </c>
      <c r="I305" s="220" t="s">
        <v>341</v>
      </c>
    </row>
    <row r="306" spans="1:9" ht="14.25" customHeight="1" x14ac:dyDescent="0.3">
      <c r="A306" s="208">
        <v>303</v>
      </c>
      <c r="B306" s="212">
        <v>44517</v>
      </c>
      <c r="C306" s="214" t="s">
        <v>675</v>
      </c>
      <c r="D306" s="208" t="s">
        <v>676</v>
      </c>
      <c r="E306" s="208" t="s">
        <v>111</v>
      </c>
      <c r="F306" s="212">
        <v>43493</v>
      </c>
      <c r="G306" s="220" t="s">
        <v>275</v>
      </c>
      <c r="H306" s="220" t="s">
        <v>735</v>
      </c>
      <c r="I306" s="220" t="s">
        <v>341</v>
      </c>
    </row>
    <row r="307" spans="1:9" ht="14.25" customHeight="1" x14ac:dyDescent="0.3">
      <c r="A307" s="208">
        <v>304</v>
      </c>
      <c r="B307" s="212">
        <v>44520</v>
      </c>
      <c r="C307" s="214" t="s">
        <v>677</v>
      </c>
      <c r="D307" s="208" t="s">
        <v>678</v>
      </c>
      <c r="E307" s="208" t="s">
        <v>111</v>
      </c>
      <c r="F307" s="212">
        <v>43815</v>
      </c>
      <c r="G307" s="220" t="s">
        <v>271</v>
      </c>
      <c r="H307" s="220" t="s">
        <v>8</v>
      </c>
      <c r="I307" s="220" t="s">
        <v>341</v>
      </c>
    </row>
    <row r="308" spans="1:9" ht="14.25" customHeight="1" x14ac:dyDescent="0.3">
      <c r="A308" s="208">
        <v>305</v>
      </c>
      <c r="B308" s="212">
        <v>44503</v>
      </c>
      <c r="C308" s="214" t="s">
        <v>679</v>
      </c>
      <c r="D308" s="208" t="s">
        <v>680</v>
      </c>
      <c r="E308" s="208" t="s">
        <v>111</v>
      </c>
      <c r="F308" s="212">
        <v>43520</v>
      </c>
      <c r="G308" s="220" t="s">
        <v>271</v>
      </c>
      <c r="H308" s="220" t="s">
        <v>271</v>
      </c>
      <c r="I308" s="220" t="s">
        <v>341</v>
      </c>
    </row>
    <row r="309" spans="1:9" ht="14.25" customHeight="1" x14ac:dyDescent="0.3">
      <c r="A309" s="208">
        <v>306</v>
      </c>
      <c r="B309" s="212">
        <v>44521</v>
      </c>
      <c r="C309" s="214" t="s">
        <v>681</v>
      </c>
      <c r="D309" s="208" t="s">
        <v>682</v>
      </c>
      <c r="E309" s="208" t="s">
        <v>111</v>
      </c>
      <c r="F309" s="212">
        <v>43289</v>
      </c>
      <c r="G309" s="220" t="s">
        <v>271</v>
      </c>
      <c r="H309" s="220" t="s">
        <v>275</v>
      </c>
      <c r="I309" s="220" t="s">
        <v>341</v>
      </c>
    </row>
    <row r="310" spans="1:9" ht="14.25" customHeight="1" x14ac:dyDescent="0.3">
      <c r="A310" s="208">
        <v>307</v>
      </c>
      <c r="B310" s="212">
        <v>44506</v>
      </c>
      <c r="C310" s="214" t="s">
        <v>683</v>
      </c>
      <c r="D310" s="208" t="s">
        <v>684</v>
      </c>
      <c r="E310" s="208" t="s">
        <v>111</v>
      </c>
      <c r="F310" s="212" t="s">
        <v>8</v>
      </c>
      <c r="G310" s="220" t="s">
        <v>271</v>
      </c>
      <c r="H310" s="220" t="s">
        <v>275</v>
      </c>
      <c r="I310" s="220" t="s">
        <v>341</v>
      </c>
    </row>
    <row r="311" spans="1:9" ht="14.25" customHeight="1" x14ac:dyDescent="0.3">
      <c r="A311" s="208">
        <v>308</v>
      </c>
      <c r="B311" s="212">
        <v>44527</v>
      </c>
      <c r="C311" s="214" t="s">
        <v>685</v>
      </c>
      <c r="D311" s="208" t="s">
        <v>686</v>
      </c>
      <c r="E311" s="208" t="s">
        <v>111</v>
      </c>
      <c r="F311" s="212">
        <v>44056</v>
      </c>
      <c r="G311" s="220" t="s">
        <v>8</v>
      </c>
      <c r="H311" s="220" t="s">
        <v>8</v>
      </c>
      <c r="I311" s="220" t="s">
        <v>341</v>
      </c>
    </row>
    <row r="312" spans="1:9" ht="14.25" customHeight="1" x14ac:dyDescent="0.3">
      <c r="A312" s="208">
        <v>309</v>
      </c>
      <c r="B312" s="212">
        <v>44512</v>
      </c>
      <c r="C312" s="214" t="s">
        <v>687</v>
      </c>
      <c r="D312" s="208" t="s">
        <v>688</v>
      </c>
      <c r="E312" s="208" t="s">
        <v>111</v>
      </c>
      <c r="F312" s="212">
        <v>44201</v>
      </c>
      <c r="G312" s="220" t="s">
        <v>275</v>
      </c>
      <c r="H312" s="220" t="s">
        <v>735</v>
      </c>
      <c r="I312" s="220" t="s">
        <v>341</v>
      </c>
    </row>
    <row r="313" spans="1:9" ht="14.25" customHeight="1" x14ac:dyDescent="0.3">
      <c r="A313" s="208">
        <v>310</v>
      </c>
      <c r="B313" s="212">
        <v>44505</v>
      </c>
      <c r="C313" s="214" t="s">
        <v>689</v>
      </c>
      <c r="D313" s="208" t="s">
        <v>690</v>
      </c>
      <c r="E313" s="208" t="s">
        <v>75</v>
      </c>
      <c r="F313" s="212">
        <v>43987</v>
      </c>
      <c r="G313" s="220" t="s">
        <v>271</v>
      </c>
      <c r="H313" s="220" t="s">
        <v>271</v>
      </c>
      <c r="I313" s="220" t="s">
        <v>272</v>
      </c>
    </row>
    <row r="314" spans="1:9" ht="14.25" customHeight="1" x14ac:dyDescent="0.3">
      <c r="A314" s="208">
        <v>311</v>
      </c>
      <c r="B314" s="212">
        <v>44509</v>
      </c>
      <c r="C314" s="214" t="s">
        <v>691</v>
      </c>
      <c r="D314" s="208" t="s">
        <v>692</v>
      </c>
      <c r="E314" s="208" t="s">
        <v>111</v>
      </c>
      <c r="F314" s="212">
        <v>44069</v>
      </c>
      <c r="G314" s="220" t="s">
        <v>275</v>
      </c>
      <c r="H314" s="220" t="s">
        <v>271</v>
      </c>
      <c r="I314" s="220" t="s">
        <v>272</v>
      </c>
    </row>
    <row r="315" spans="1:9" ht="14.25" customHeight="1" x14ac:dyDescent="0.3">
      <c r="A315" s="208">
        <v>312</v>
      </c>
      <c r="B315" s="212">
        <v>44514</v>
      </c>
      <c r="C315" s="214" t="s">
        <v>693</v>
      </c>
      <c r="D315" s="208" t="s">
        <v>694</v>
      </c>
      <c r="E315" s="208" t="s">
        <v>111</v>
      </c>
      <c r="F315" s="212">
        <v>43342</v>
      </c>
      <c r="G315" s="220" t="s">
        <v>271</v>
      </c>
      <c r="H315" s="220" t="s">
        <v>275</v>
      </c>
      <c r="I315" s="220" t="s">
        <v>272</v>
      </c>
    </row>
    <row r="316" spans="1:9" ht="14.25" customHeight="1" x14ac:dyDescent="0.3">
      <c r="A316" s="208">
        <v>313</v>
      </c>
      <c r="B316" s="212">
        <v>44511</v>
      </c>
      <c r="C316" s="214" t="s">
        <v>695</v>
      </c>
      <c r="D316" s="208" t="s">
        <v>696</v>
      </c>
      <c r="E316" s="208" t="s">
        <v>111</v>
      </c>
      <c r="F316" s="212">
        <v>42837</v>
      </c>
      <c r="G316" s="220" t="s">
        <v>275</v>
      </c>
      <c r="H316" s="220" t="s">
        <v>275</v>
      </c>
      <c r="I316" s="220" t="s">
        <v>272</v>
      </c>
    </row>
    <row r="317" spans="1:9" ht="14.25" customHeight="1" x14ac:dyDescent="0.3">
      <c r="A317" s="208">
        <v>314</v>
      </c>
      <c r="B317" s="212">
        <v>44510</v>
      </c>
      <c r="C317" s="214" t="s">
        <v>697</v>
      </c>
      <c r="D317" s="208" t="s">
        <v>698</v>
      </c>
      <c r="E317" s="208" t="s">
        <v>111</v>
      </c>
      <c r="F317" s="212">
        <v>43854</v>
      </c>
      <c r="G317" s="220" t="s">
        <v>271</v>
      </c>
      <c r="H317" s="220" t="s">
        <v>8</v>
      </c>
      <c r="I317" s="220" t="s">
        <v>272</v>
      </c>
    </row>
    <row r="318" spans="1:9" ht="14.25" customHeight="1" x14ac:dyDescent="0.3">
      <c r="A318" s="208">
        <v>315</v>
      </c>
      <c r="B318" s="212">
        <v>44521</v>
      </c>
      <c r="C318" s="214" t="s">
        <v>699</v>
      </c>
      <c r="D318" s="208" t="s">
        <v>700</v>
      </c>
      <c r="E318" s="208" t="s">
        <v>579</v>
      </c>
      <c r="F318" s="212">
        <v>44077</v>
      </c>
      <c r="G318" s="220" t="s">
        <v>275</v>
      </c>
      <c r="H318" s="220" t="s">
        <v>275</v>
      </c>
      <c r="I318" s="220" t="s">
        <v>272</v>
      </c>
    </row>
    <row r="319" spans="1:9" ht="14.25" customHeight="1" x14ac:dyDescent="0.3">
      <c r="A319" s="208">
        <v>316</v>
      </c>
      <c r="B319" s="212">
        <v>44518</v>
      </c>
      <c r="C319" s="214" t="s">
        <v>701</v>
      </c>
      <c r="D319" s="208" t="s">
        <v>702</v>
      </c>
      <c r="E319" s="208" t="s">
        <v>45</v>
      </c>
      <c r="F319" s="212">
        <v>43997</v>
      </c>
      <c r="G319" s="220" t="s">
        <v>275</v>
      </c>
      <c r="H319" s="220" t="s">
        <v>8</v>
      </c>
      <c r="I319" s="220" t="s">
        <v>272</v>
      </c>
    </row>
    <row r="320" spans="1:9" ht="14.25" customHeight="1" x14ac:dyDescent="0.3">
      <c r="A320" s="208">
        <v>317</v>
      </c>
      <c r="B320" s="212">
        <v>44525</v>
      </c>
      <c r="C320" s="214" t="s">
        <v>703</v>
      </c>
      <c r="D320" s="208" t="s">
        <v>704</v>
      </c>
      <c r="E320" s="208" t="s">
        <v>111</v>
      </c>
      <c r="F320" s="212">
        <v>43867</v>
      </c>
      <c r="G320" s="220" t="s">
        <v>8</v>
      </c>
      <c r="H320" s="220" t="s">
        <v>8</v>
      </c>
      <c r="I320" s="220" t="s">
        <v>272</v>
      </c>
    </row>
    <row r="321" spans="1:9" ht="14.25" customHeight="1" x14ac:dyDescent="0.3">
      <c r="A321" s="208">
        <v>318</v>
      </c>
      <c r="B321" s="212">
        <v>44522</v>
      </c>
      <c r="C321" s="214" t="s">
        <v>705</v>
      </c>
      <c r="D321" s="208" t="s">
        <v>706</v>
      </c>
      <c r="E321" s="208" t="s">
        <v>111</v>
      </c>
      <c r="F321" s="212">
        <v>43011</v>
      </c>
      <c r="G321" s="220" t="s">
        <v>271</v>
      </c>
      <c r="H321" s="220" t="s">
        <v>275</v>
      </c>
      <c r="I321" s="220" t="s">
        <v>272</v>
      </c>
    </row>
    <row r="322" spans="1:9" ht="14.25" customHeight="1" x14ac:dyDescent="0.3">
      <c r="A322" s="208">
        <v>319</v>
      </c>
      <c r="B322" s="212">
        <v>44511</v>
      </c>
      <c r="C322" s="214" t="s">
        <v>707</v>
      </c>
      <c r="D322" s="208" t="s">
        <v>708</v>
      </c>
      <c r="E322" s="208" t="s">
        <v>111</v>
      </c>
      <c r="F322" s="212">
        <v>43519</v>
      </c>
      <c r="G322" s="220" t="s">
        <v>271</v>
      </c>
      <c r="H322" s="220" t="s">
        <v>275</v>
      </c>
      <c r="I322" s="220" t="s">
        <v>272</v>
      </c>
    </row>
    <row r="323" spans="1:9" ht="14.25" customHeight="1" x14ac:dyDescent="0.3">
      <c r="A323" s="208">
        <v>320</v>
      </c>
      <c r="B323" s="212">
        <v>44558</v>
      </c>
      <c r="C323" s="214" t="s">
        <v>709</v>
      </c>
      <c r="D323" s="208" t="s">
        <v>710</v>
      </c>
      <c r="E323" s="208" t="s">
        <v>78</v>
      </c>
      <c r="F323" s="212">
        <v>43904</v>
      </c>
      <c r="G323" s="220" t="s">
        <v>8</v>
      </c>
      <c r="H323" s="220" t="s">
        <v>275</v>
      </c>
      <c r="I323" s="220" t="s">
        <v>272</v>
      </c>
    </row>
    <row r="324" spans="1:9" ht="14.25" customHeight="1" x14ac:dyDescent="0.3">
      <c r="A324" s="208">
        <v>321</v>
      </c>
      <c r="B324" s="212">
        <v>44541</v>
      </c>
      <c r="C324" s="214" t="s">
        <v>711</v>
      </c>
      <c r="D324" s="208" t="s">
        <v>712</v>
      </c>
      <c r="E324" s="208" t="s">
        <v>78</v>
      </c>
      <c r="F324" s="212">
        <v>44110</v>
      </c>
      <c r="G324" s="220" t="s">
        <v>275</v>
      </c>
      <c r="H324" s="220" t="s">
        <v>275</v>
      </c>
      <c r="I324" s="220" t="s">
        <v>272</v>
      </c>
    </row>
    <row r="325" spans="1:9" ht="14.25" customHeight="1" x14ac:dyDescent="0.3">
      <c r="A325" s="208">
        <v>322</v>
      </c>
      <c r="B325" s="212">
        <v>44559</v>
      </c>
      <c r="C325" s="214" t="s">
        <v>713</v>
      </c>
      <c r="D325" s="208" t="s">
        <v>714</v>
      </c>
      <c r="E325" s="208" t="s">
        <v>78</v>
      </c>
      <c r="F325" s="212">
        <v>43339</v>
      </c>
      <c r="G325" s="220" t="s">
        <v>8</v>
      </c>
      <c r="H325" s="220" t="s">
        <v>275</v>
      </c>
      <c r="I325" s="220" t="s">
        <v>272</v>
      </c>
    </row>
    <row r="326" spans="1:9" ht="14.25" customHeight="1" x14ac:dyDescent="0.3">
      <c r="A326" s="208">
        <v>323</v>
      </c>
      <c r="B326" s="212">
        <v>44541</v>
      </c>
      <c r="C326" s="214" t="s">
        <v>715</v>
      </c>
      <c r="D326" s="208" t="s">
        <v>716</v>
      </c>
      <c r="E326" s="208" t="s">
        <v>78</v>
      </c>
      <c r="F326" s="212">
        <v>43118</v>
      </c>
      <c r="G326" s="220" t="s">
        <v>275</v>
      </c>
      <c r="H326" s="220" t="s">
        <v>271</v>
      </c>
      <c r="I326" s="220" t="s">
        <v>272</v>
      </c>
    </row>
    <row r="327" spans="1:9" ht="14.25" customHeight="1" x14ac:dyDescent="0.3">
      <c r="A327" s="208">
        <v>324</v>
      </c>
      <c r="B327" s="212">
        <v>44536</v>
      </c>
      <c r="C327" s="214" t="s">
        <v>717</v>
      </c>
      <c r="D327" s="208" t="s">
        <v>718</v>
      </c>
      <c r="E327" s="208" t="s">
        <v>78</v>
      </c>
      <c r="F327" s="212">
        <v>44106</v>
      </c>
      <c r="G327" s="220" t="s">
        <v>275</v>
      </c>
      <c r="H327" s="220" t="s">
        <v>271</v>
      </c>
      <c r="I327" s="220" t="s">
        <v>272</v>
      </c>
    </row>
    <row r="328" spans="1:9" ht="14.25" customHeight="1" x14ac:dyDescent="0.3">
      <c r="A328" s="208">
        <v>325</v>
      </c>
      <c r="B328" s="212">
        <v>44560</v>
      </c>
      <c r="C328" s="214" t="s">
        <v>719</v>
      </c>
      <c r="D328" s="208" t="s">
        <v>720</v>
      </c>
      <c r="E328" s="208" t="s">
        <v>56</v>
      </c>
      <c r="F328" s="212">
        <v>42765</v>
      </c>
      <c r="G328" s="220" t="s">
        <v>8</v>
      </c>
      <c r="H328" s="220" t="s">
        <v>8</v>
      </c>
      <c r="I328" s="220" t="s">
        <v>272</v>
      </c>
    </row>
    <row r="329" spans="1:9" ht="14.25" customHeight="1" x14ac:dyDescent="0.3">
      <c r="A329" s="208">
        <v>326</v>
      </c>
      <c r="B329" s="212">
        <v>44553</v>
      </c>
      <c r="C329" s="214" t="s">
        <v>721</v>
      </c>
      <c r="D329" s="208" t="s">
        <v>722</v>
      </c>
      <c r="E329" s="208" t="s">
        <v>78</v>
      </c>
      <c r="F329" s="212">
        <v>43187</v>
      </c>
      <c r="G329" s="220" t="s">
        <v>271</v>
      </c>
      <c r="H329" s="220" t="s">
        <v>275</v>
      </c>
      <c r="I329" s="220" t="s">
        <v>272</v>
      </c>
    </row>
    <row r="330" spans="1:9" ht="14.25" customHeight="1" x14ac:dyDescent="0.3">
      <c r="A330" s="208">
        <v>327</v>
      </c>
      <c r="B330" s="212">
        <v>44537</v>
      </c>
      <c r="C330" s="214" t="s">
        <v>723</v>
      </c>
      <c r="D330" s="208" t="s">
        <v>724</v>
      </c>
      <c r="E330" s="208" t="s">
        <v>78</v>
      </c>
      <c r="F330" s="212">
        <v>43622</v>
      </c>
      <c r="G330" s="220" t="s">
        <v>271</v>
      </c>
      <c r="H330" s="220" t="s">
        <v>594</v>
      </c>
      <c r="I330" s="220" t="s">
        <v>272</v>
      </c>
    </row>
    <row r="331" spans="1:9" ht="14.25" customHeight="1" x14ac:dyDescent="0.3">
      <c r="A331" s="208">
        <v>328</v>
      </c>
      <c r="B331" s="212">
        <v>44551</v>
      </c>
      <c r="C331" s="214" t="s">
        <v>725</v>
      </c>
      <c r="D331" s="208" t="s">
        <v>726</v>
      </c>
      <c r="E331" s="208" t="s">
        <v>56</v>
      </c>
      <c r="F331" s="212">
        <v>42812</v>
      </c>
      <c r="G331" s="220" t="s">
        <v>271</v>
      </c>
      <c r="H331" s="220" t="s">
        <v>271</v>
      </c>
      <c r="I331" s="220" t="s">
        <v>272</v>
      </c>
    </row>
    <row r="332" spans="1:9" ht="14.25" customHeight="1" x14ac:dyDescent="0.3">
      <c r="A332" s="208">
        <v>329</v>
      </c>
      <c r="B332" s="212">
        <v>44540</v>
      </c>
      <c r="C332" s="214" t="s">
        <v>727</v>
      </c>
      <c r="D332" s="208" t="s">
        <v>728</v>
      </c>
      <c r="E332" s="208" t="s">
        <v>78</v>
      </c>
      <c r="F332" s="212">
        <v>43452</v>
      </c>
      <c r="G332" s="220" t="s">
        <v>8</v>
      </c>
      <c r="H332" s="220" t="s">
        <v>275</v>
      </c>
      <c r="I332" s="220" t="s">
        <v>272</v>
      </c>
    </row>
    <row r="333" spans="1:9" ht="14.25" customHeight="1" x14ac:dyDescent="0.3">
      <c r="A333" s="208">
        <v>330</v>
      </c>
      <c r="B333" s="212">
        <v>44544</v>
      </c>
      <c r="C333" s="214" t="s">
        <v>729</v>
      </c>
      <c r="D333" s="208" t="s">
        <v>730</v>
      </c>
      <c r="E333" s="208" t="s">
        <v>78</v>
      </c>
      <c r="F333" s="212">
        <v>43750</v>
      </c>
      <c r="G333" s="220" t="s">
        <v>275</v>
      </c>
      <c r="H333" s="220" t="s">
        <v>271</v>
      </c>
      <c r="I333" s="220" t="s">
        <v>272</v>
      </c>
    </row>
    <row r="334" spans="1:9" ht="14.25" customHeight="1" x14ac:dyDescent="0.3">
      <c r="A334" s="208">
        <v>331</v>
      </c>
      <c r="B334" s="212">
        <v>44537</v>
      </c>
      <c r="C334" s="214" t="s">
        <v>731</v>
      </c>
      <c r="D334" s="208" t="s">
        <v>732</v>
      </c>
      <c r="E334" s="208" t="s">
        <v>78</v>
      </c>
      <c r="F334" s="212">
        <v>43343</v>
      </c>
      <c r="G334" s="220" t="s">
        <v>8</v>
      </c>
      <c r="H334" s="220" t="s">
        <v>271</v>
      </c>
      <c r="I334" s="220" t="s">
        <v>341</v>
      </c>
    </row>
    <row r="335" spans="1:9" ht="14.25" customHeight="1" x14ac:dyDescent="0.3">
      <c r="A335" s="208">
        <v>332</v>
      </c>
      <c r="B335" s="212">
        <v>44542</v>
      </c>
      <c r="C335" s="214" t="s">
        <v>733</v>
      </c>
      <c r="D335" s="208" t="s">
        <v>734</v>
      </c>
      <c r="E335" s="208" t="s">
        <v>78</v>
      </c>
      <c r="F335" s="212">
        <v>43190</v>
      </c>
      <c r="G335" s="220" t="s">
        <v>271</v>
      </c>
      <c r="H335" s="220" t="s">
        <v>275</v>
      </c>
      <c r="I335" s="220" t="s">
        <v>341</v>
      </c>
    </row>
    <row r="336" spans="1:9" ht="14.25" customHeight="1" x14ac:dyDescent="0.3">
      <c r="A336" s="208">
        <v>333</v>
      </c>
      <c r="B336" s="212">
        <v>44543</v>
      </c>
      <c r="C336" s="214" t="s">
        <v>736</v>
      </c>
      <c r="D336" s="208" t="s">
        <v>737</v>
      </c>
      <c r="E336" s="208" t="s">
        <v>78</v>
      </c>
      <c r="F336" s="212">
        <v>43158</v>
      </c>
      <c r="G336" s="220" t="s">
        <v>275</v>
      </c>
      <c r="H336" s="220" t="s">
        <v>275</v>
      </c>
      <c r="I336" s="220" t="s">
        <v>341</v>
      </c>
    </row>
    <row r="337" spans="1:9" ht="14.25" customHeight="1" x14ac:dyDescent="0.3">
      <c r="A337" s="208">
        <v>334</v>
      </c>
      <c r="B337" s="212">
        <v>44536</v>
      </c>
      <c r="C337" s="214" t="s">
        <v>738</v>
      </c>
      <c r="D337" s="208" t="s">
        <v>739</v>
      </c>
      <c r="E337" s="208" t="s">
        <v>312</v>
      </c>
      <c r="F337" s="212" t="s">
        <v>8</v>
      </c>
      <c r="G337" s="220" t="s">
        <v>8</v>
      </c>
      <c r="H337" s="220" t="s">
        <v>8</v>
      </c>
      <c r="I337" s="220" t="s">
        <v>341</v>
      </c>
    </row>
    <row r="338" spans="1:9" ht="14.25" customHeight="1" x14ac:dyDescent="0.3">
      <c r="A338" s="208">
        <v>335</v>
      </c>
      <c r="B338" s="212">
        <v>44546</v>
      </c>
      <c r="C338" s="214" t="s">
        <v>740</v>
      </c>
      <c r="D338" s="208" t="s">
        <v>741</v>
      </c>
      <c r="E338" s="208" t="s">
        <v>111</v>
      </c>
      <c r="F338" s="212">
        <v>44070</v>
      </c>
      <c r="G338" s="220" t="s">
        <v>275</v>
      </c>
      <c r="H338" s="220" t="s">
        <v>275</v>
      </c>
      <c r="I338" s="220" t="s">
        <v>341</v>
      </c>
    </row>
    <row r="339" spans="1:9" ht="14.25" customHeight="1" x14ac:dyDescent="0.3">
      <c r="A339" s="208">
        <v>336</v>
      </c>
      <c r="B339" s="212">
        <v>44556</v>
      </c>
      <c r="C339" s="214" t="s">
        <v>742</v>
      </c>
      <c r="D339" s="208" t="s">
        <v>743</v>
      </c>
      <c r="E339" s="208" t="s">
        <v>111</v>
      </c>
      <c r="F339" s="212">
        <v>43847</v>
      </c>
      <c r="G339" s="220" t="s">
        <v>275</v>
      </c>
      <c r="H339" s="220" t="s">
        <v>275</v>
      </c>
      <c r="I339" s="220" t="s">
        <v>341</v>
      </c>
    </row>
    <row r="340" spans="1:9" ht="14.25" customHeight="1" x14ac:dyDescent="0.3">
      <c r="A340" s="208">
        <v>337</v>
      </c>
      <c r="B340" s="212">
        <v>44550</v>
      </c>
      <c r="C340" s="214" t="s">
        <v>744</v>
      </c>
      <c r="D340" s="208" t="s">
        <v>745</v>
      </c>
      <c r="E340" s="208" t="s">
        <v>111</v>
      </c>
      <c r="F340" s="212">
        <v>44124</v>
      </c>
      <c r="G340" s="220" t="s">
        <v>271</v>
      </c>
      <c r="H340" s="220" t="s">
        <v>275</v>
      </c>
      <c r="I340" s="220" t="s">
        <v>341</v>
      </c>
    </row>
    <row r="341" spans="1:9" ht="14.25" customHeight="1" x14ac:dyDescent="0.3">
      <c r="A341" s="208">
        <v>338</v>
      </c>
      <c r="B341" s="212">
        <v>44538</v>
      </c>
      <c r="C341" s="214" t="s">
        <v>746</v>
      </c>
      <c r="D341" s="208" t="s">
        <v>747</v>
      </c>
      <c r="E341" s="208" t="s">
        <v>111</v>
      </c>
      <c r="F341" s="212">
        <v>43158</v>
      </c>
      <c r="G341" s="220" t="s">
        <v>275</v>
      </c>
      <c r="H341" s="220" t="s">
        <v>8</v>
      </c>
      <c r="I341" s="220" t="s">
        <v>341</v>
      </c>
    </row>
    <row r="342" spans="1:9" ht="14.25" customHeight="1" x14ac:dyDescent="0.3">
      <c r="A342" s="208">
        <v>339</v>
      </c>
      <c r="B342" s="212">
        <v>44549</v>
      </c>
      <c r="C342" s="214" t="s">
        <v>748</v>
      </c>
      <c r="D342" s="208" t="s">
        <v>749</v>
      </c>
      <c r="E342" s="208" t="s">
        <v>270</v>
      </c>
      <c r="F342" s="212">
        <v>43705</v>
      </c>
      <c r="G342" s="220" t="s">
        <v>275</v>
      </c>
      <c r="H342" s="220" t="s">
        <v>271</v>
      </c>
      <c r="I342" s="220" t="s">
        <v>272</v>
      </c>
    </row>
    <row r="343" spans="1:9" ht="14.25" customHeight="1" x14ac:dyDescent="0.3">
      <c r="A343" s="208">
        <v>340</v>
      </c>
      <c r="B343" s="212">
        <v>44538</v>
      </c>
      <c r="C343" s="214" t="s">
        <v>750</v>
      </c>
      <c r="D343" s="208" t="s">
        <v>751</v>
      </c>
      <c r="E343" s="208" t="s">
        <v>270</v>
      </c>
      <c r="F343" s="212" t="s">
        <v>8</v>
      </c>
      <c r="G343" s="220" t="s">
        <v>8</v>
      </c>
      <c r="H343" s="220" t="s">
        <v>8</v>
      </c>
      <c r="I343" s="220" t="s">
        <v>272</v>
      </c>
    </row>
    <row r="344" spans="1:9" ht="14.25" customHeight="1" x14ac:dyDescent="0.3">
      <c r="A344" s="208">
        <v>341</v>
      </c>
      <c r="B344" s="212">
        <v>44532</v>
      </c>
      <c r="C344" s="214" t="s">
        <v>752</v>
      </c>
      <c r="D344" s="208" t="s">
        <v>753</v>
      </c>
      <c r="E344" s="208" t="s">
        <v>270</v>
      </c>
      <c r="F344" s="212">
        <v>43024</v>
      </c>
      <c r="G344" s="220" t="s">
        <v>275</v>
      </c>
      <c r="H344" s="220" t="s">
        <v>275</v>
      </c>
      <c r="I344" s="220" t="s">
        <v>272</v>
      </c>
    </row>
    <row r="345" spans="1:9" ht="14.25" customHeight="1" x14ac:dyDescent="0.3">
      <c r="A345" s="208">
        <v>342</v>
      </c>
      <c r="B345" s="212">
        <v>44558</v>
      </c>
      <c r="C345" s="214" t="s">
        <v>754</v>
      </c>
      <c r="D345" s="208" t="s">
        <v>755</v>
      </c>
      <c r="E345" s="208" t="s">
        <v>270</v>
      </c>
      <c r="F345" s="212">
        <v>42751</v>
      </c>
      <c r="G345" s="220" t="s">
        <v>271</v>
      </c>
      <c r="H345" s="220" t="s">
        <v>271</v>
      </c>
      <c r="I345" s="220" t="s">
        <v>272</v>
      </c>
    </row>
    <row r="346" spans="1:9" ht="14.25" customHeight="1" x14ac:dyDescent="0.3">
      <c r="A346" s="208">
        <v>343</v>
      </c>
      <c r="B346" s="212">
        <v>44514</v>
      </c>
      <c r="C346" s="214" t="s">
        <v>756</v>
      </c>
      <c r="D346" s="208" t="s">
        <v>757</v>
      </c>
      <c r="E346" s="208" t="s">
        <v>270</v>
      </c>
      <c r="F346" s="212">
        <v>43959</v>
      </c>
      <c r="G346" s="220" t="s">
        <v>275</v>
      </c>
      <c r="H346" s="220" t="s">
        <v>275</v>
      </c>
      <c r="I346" s="220" t="s">
        <v>272</v>
      </c>
    </row>
    <row r="347" spans="1:9" ht="14.25" customHeight="1" x14ac:dyDescent="0.3">
      <c r="A347" s="208">
        <v>344</v>
      </c>
      <c r="B347" s="212">
        <v>44530</v>
      </c>
      <c r="C347" s="214" t="s">
        <v>758</v>
      </c>
      <c r="D347" s="208" t="s">
        <v>759</v>
      </c>
      <c r="E347" s="208" t="s">
        <v>111</v>
      </c>
      <c r="F347" s="212">
        <v>43430</v>
      </c>
      <c r="G347" s="220" t="s">
        <v>271</v>
      </c>
      <c r="H347" s="220" t="s">
        <v>271</v>
      </c>
      <c r="I347" s="220" t="s">
        <v>272</v>
      </c>
    </row>
    <row r="348" spans="1:9" ht="14.25" customHeight="1" x14ac:dyDescent="0.3">
      <c r="A348" s="208">
        <v>345</v>
      </c>
      <c r="B348" s="212">
        <v>44526</v>
      </c>
      <c r="C348" s="214" t="s">
        <v>760</v>
      </c>
      <c r="D348" s="208" t="s">
        <v>761</v>
      </c>
      <c r="E348" s="208" t="s">
        <v>270</v>
      </c>
      <c r="F348" s="212">
        <v>43192</v>
      </c>
      <c r="G348" s="220" t="s">
        <v>275</v>
      </c>
      <c r="H348" s="220" t="s">
        <v>271</v>
      </c>
      <c r="I348" s="220" t="s">
        <v>272</v>
      </c>
    </row>
    <row r="349" spans="1:9" ht="14.25" customHeight="1" x14ac:dyDescent="0.3">
      <c r="A349" s="208">
        <v>346</v>
      </c>
      <c r="B349" s="212">
        <v>44517</v>
      </c>
      <c r="C349" s="214" t="s">
        <v>762</v>
      </c>
      <c r="D349" s="208" t="s">
        <v>763</v>
      </c>
      <c r="E349" s="208" t="s">
        <v>270</v>
      </c>
      <c r="F349" s="212">
        <v>43608</v>
      </c>
      <c r="G349" s="220" t="s">
        <v>275</v>
      </c>
      <c r="H349" s="220" t="s">
        <v>271</v>
      </c>
      <c r="I349" s="220" t="s">
        <v>272</v>
      </c>
    </row>
    <row r="350" spans="1:9" ht="14.25" customHeight="1" x14ac:dyDescent="0.3">
      <c r="A350" s="208">
        <v>347</v>
      </c>
      <c r="B350" s="212">
        <v>44559</v>
      </c>
      <c r="C350" s="214" t="s">
        <v>764</v>
      </c>
      <c r="D350" s="208" t="s">
        <v>765</v>
      </c>
      <c r="E350" s="208" t="s">
        <v>111</v>
      </c>
      <c r="F350" s="212">
        <v>43849</v>
      </c>
      <c r="G350" s="220" t="s">
        <v>340</v>
      </c>
      <c r="H350" s="220" t="s">
        <v>271</v>
      </c>
      <c r="I350" s="220" t="s">
        <v>272</v>
      </c>
    </row>
    <row r="351" spans="1:9" ht="14.25" customHeight="1" x14ac:dyDescent="0.3">
      <c r="A351" s="208">
        <v>348</v>
      </c>
      <c r="B351" s="212">
        <v>44539</v>
      </c>
      <c r="C351" s="214" t="s">
        <v>766</v>
      </c>
      <c r="D351" s="208" t="s">
        <v>767</v>
      </c>
      <c r="E351" s="208" t="s">
        <v>346</v>
      </c>
      <c r="F351" s="212">
        <v>42921</v>
      </c>
      <c r="G351" s="220" t="s">
        <v>275</v>
      </c>
      <c r="H351" s="220" t="s">
        <v>340</v>
      </c>
      <c r="I351" s="220" t="s">
        <v>272</v>
      </c>
    </row>
    <row r="352" spans="1:9" ht="14.25" customHeight="1" x14ac:dyDescent="0.3">
      <c r="A352" s="208">
        <v>349</v>
      </c>
      <c r="B352" s="212">
        <v>44559</v>
      </c>
      <c r="C352" s="214" t="s">
        <v>768</v>
      </c>
      <c r="D352" s="208" t="s">
        <v>769</v>
      </c>
      <c r="E352" s="208" t="s">
        <v>111</v>
      </c>
      <c r="F352" s="212">
        <v>42902</v>
      </c>
      <c r="G352" s="220" t="s">
        <v>8</v>
      </c>
      <c r="H352" s="220" t="s">
        <v>271</v>
      </c>
      <c r="I352" s="220" t="s">
        <v>272</v>
      </c>
    </row>
    <row r="353" spans="1:9" ht="14.25" customHeight="1" x14ac:dyDescent="0.3">
      <c r="A353" s="208">
        <v>350</v>
      </c>
      <c r="B353" s="212">
        <v>44555</v>
      </c>
      <c r="C353" s="214" t="s">
        <v>770</v>
      </c>
      <c r="D353" s="208" t="s">
        <v>771</v>
      </c>
      <c r="E353" s="208" t="s">
        <v>111</v>
      </c>
      <c r="F353" s="212">
        <v>43210</v>
      </c>
      <c r="G353" s="220" t="s">
        <v>275</v>
      </c>
      <c r="H353" s="220" t="s">
        <v>275</v>
      </c>
      <c r="I353" s="220" t="s">
        <v>272</v>
      </c>
    </row>
    <row r="354" spans="1:9" ht="14.25" customHeight="1" x14ac:dyDescent="0.3">
      <c r="A354" s="208">
        <v>351</v>
      </c>
      <c r="B354" s="212">
        <v>44543</v>
      </c>
      <c r="C354" s="214" t="s">
        <v>772</v>
      </c>
      <c r="D354" s="208" t="s">
        <v>773</v>
      </c>
      <c r="E354" s="208" t="s">
        <v>111</v>
      </c>
      <c r="F354" s="212" t="s">
        <v>8</v>
      </c>
      <c r="G354" s="220" t="s">
        <v>320</v>
      </c>
      <c r="H354" s="220" t="s">
        <v>275</v>
      </c>
      <c r="I354" s="220" t="s">
        <v>272</v>
      </c>
    </row>
    <row r="355" spans="1:9" ht="14.25" customHeight="1" x14ac:dyDescent="0.3">
      <c r="A355" s="208">
        <v>352</v>
      </c>
      <c r="B355" s="212">
        <v>44553</v>
      </c>
      <c r="C355" s="214" t="s">
        <v>774</v>
      </c>
      <c r="D355" s="208" t="s">
        <v>775</v>
      </c>
      <c r="E355" s="208" t="s">
        <v>111</v>
      </c>
      <c r="F355" s="212">
        <v>44002</v>
      </c>
      <c r="G355" s="220" t="s">
        <v>271</v>
      </c>
      <c r="H355" s="220" t="s">
        <v>735</v>
      </c>
      <c r="I355" s="220" t="s">
        <v>272</v>
      </c>
    </row>
    <row r="356" spans="1:9" ht="14.25" customHeight="1" x14ac:dyDescent="0.3">
      <c r="A356" s="208">
        <v>353</v>
      </c>
      <c r="B356" s="212">
        <v>44561</v>
      </c>
      <c r="C356" s="214" t="s">
        <v>776</v>
      </c>
      <c r="D356" s="208" t="s">
        <v>777</v>
      </c>
      <c r="E356" s="208" t="s">
        <v>111</v>
      </c>
      <c r="F356" s="212">
        <v>43853</v>
      </c>
      <c r="G356" s="220" t="s">
        <v>275</v>
      </c>
      <c r="H356" s="220" t="s">
        <v>275</v>
      </c>
      <c r="I356" s="220" t="s">
        <v>272</v>
      </c>
    </row>
    <row r="357" spans="1:9" ht="14.25" customHeight="1" x14ac:dyDescent="0.3">
      <c r="A357" s="208">
        <v>354</v>
      </c>
      <c r="B357" s="212">
        <v>44549</v>
      </c>
      <c r="C357" s="214" t="s">
        <v>778</v>
      </c>
      <c r="D357" s="208" t="s">
        <v>779</v>
      </c>
      <c r="E357" s="208" t="s">
        <v>75</v>
      </c>
      <c r="F357" s="212">
        <v>43986</v>
      </c>
      <c r="G357" s="220" t="s">
        <v>271</v>
      </c>
      <c r="H357" s="220" t="s">
        <v>275</v>
      </c>
      <c r="I357" s="220" t="s">
        <v>341</v>
      </c>
    </row>
    <row r="358" spans="1:9" ht="14.25" customHeight="1" x14ac:dyDescent="0.3">
      <c r="A358" s="208">
        <v>355</v>
      </c>
      <c r="B358" s="212">
        <v>44531</v>
      </c>
      <c r="C358" s="214" t="s">
        <v>780</v>
      </c>
      <c r="D358" s="208" t="s">
        <v>781</v>
      </c>
      <c r="E358" s="208" t="s">
        <v>75</v>
      </c>
      <c r="F358" s="212">
        <v>43394</v>
      </c>
      <c r="G358" s="220" t="s">
        <v>275</v>
      </c>
      <c r="H358" s="220" t="s">
        <v>271</v>
      </c>
      <c r="I358" s="220" t="s">
        <v>341</v>
      </c>
    </row>
    <row r="359" spans="1:9" ht="14.25" customHeight="1" x14ac:dyDescent="0.3">
      <c r="A359" s="208">
        <v>356</v>
      </c>
      <c r="B359" s="212">
        <v>44560</v>
      </c>
      <c r="C359" s="214" t="s">
        <v>782</v>
      </c>
      <c r="D359" s="208" t="s">
        <v>783</v>
      </c>
      <c r="E359" s="208" t="s">
        <v>75</v>
      </c>
      <c r="F359" s="212">
        <v>43095</v>
      </c>
      <c r="G359" s="220" t="s">
        <v>275</v>
      </c>
      <c r="H359" s="220" t="s">
        <v>8</v>
      </c>
      <c r="I359" s="220" t="s">
        <v>341</v>
      </c>
    </row>
    <row r="360" spans="1:9" ht="14.25" customHeight="1" x14ac:dyDescent="0.3">
      <c r="A360" s="208">
        <v>357</v>
      </c>
      <c r="B360" s="212">
        <v>44556</v>
      </c>
      <c r="C360" s="214" t="s">
        <v>784</v>
      </c>
      <c r="D360" s="208" t="s">
        <v>785</v>
      </c>
      <c r="E360" s="208" t="s">
        <v>111</v>
      </c>
      <c r="F360" s="212">
        <v>43145</v>
      </c>
      <c r="G360" s="220" t="s">
        <v>271</v>
      </c>
      <c r="H360" s="220" t="s">
        <v>271</v>
      </c>
      <c r="I360" s="220" t="s">
        <v>272</v>
      </c>
    </row>
    <row r="361" spans="1:9" ht="14.25" customHeight="1" x14ac:dyDescent="0.3">
      <c r="A361" s="208">
        <v>358</v>
      </c>
      <c r="B361" s="212">
        <v>44540</v>
      </c>
      <c r="C361" s="214" t="s">
        <v>786</v>
      </c>
      <c r="D361" s="208" t="s">
        <v>787</v>
      </c>
      <c r="E361" s="208" t="s">
        <v>56</v>
      </c>
      <c r="F361" s="212" t="s">
        <v>8</v>
      </c>
      <c r="G361" s="220" t="s">
        <v>275</v>
      </c>
      <c r="H361" s="220" t="s">
        <v>275</v>
      </c>
      <c r="I361" s="220" t="s">
        <v>272</v>
      </c>
    </row>
    <row r="362" spans="1:9" ht="14.25" customHeight="1" x14ac:dyDescent="0.3">
      <c r="A362" s="208">
        <v>359</v>
      </c>
      <c r="B362" s="212">
        <v>44536</v>
      </c>
      <c r="C362" s="214" t="s">
        <v>788</v>
      </c>
      <c r="D362" s="208" t="s">
        <v>789</v>
      </c>
      <c r="E362" s="208" t="s">
        <v>45</v>
      </c>
      <c r="F362" s="212" t="s">
        <v>8</v>
      </c>
      <c r="G362" s="220" t="s">
        <v>275</v>
      </c>
      <c r="H362" s="220" t="s">
        <v>8</v>
      </c>
      <c r="I362" s="220" t="s">
        <v>272</v>
      </c>
    </row>
    <row r="363" spans="1:9" ht="14.25" customHeight="1" x14ac:dyDescent="0.3">
      <c r="A363" s="208">
        <v>360</v>
      </c>
      <c r="B363" s="212">
        <v>44544</v>
      </c>
      <c r="C363" s="214" t="s">
        <v>790</v>
      </c>
      <c r="D363" s="208" t="s">
        <v>791</v>
      </c>
      <c r="E363" s="208" t="s">
        <v>45</v>
      </c>
      <c r="F363" s="212">
        <v>43556</v>
      </c>
      <c r="G363" s="220" t="s">
        <v>271</v>
      </c>
      <c r="H363" s="220" t="s">
        <v>8</v>
      </c>
      <c r="I363" s="220" t="s">
        <v>272</v>
      </c>
    </row>
    <row r="364" spans="1:9" ht="14.25" customHeight="1" x14ac:dyDescent="0.3">
      <c r="A364" s="208">
        <v>361</v>
      </c>
      <c r="B364" s="212">
        <v>44551</v>
      </c>
      <c r="C364" s="214" t="s">
        <v>792</v>
      </c>
      <c r="D364" s="208" t="s">
        <v>793</v>
      </c>
      <c r="E364" s="208" t="s">
        <v>45</v>
      </c>
      <c r="F364" s="212">
        <v>43964</v>
      </c>
      <c r="G364" s="220" t="s">
        <v>275</v>
      </c>
      <c r="H364" s="220" t="s">
        <v>291</v>
      </c>
      <c r="I364" s="220" t="s">
        <v>272</v>
      </c>
    </row>
    <row r="365" spans="1:9" ht="14.25" customHeight="1" x14ac:dyDescent="0.3">
      <c r="A365" s="208">
        <v>362</v>
      </c>
      <c r="B365" s="212">
        <v>44532</v>
      </c>
      <c r="C365" s="214" t="s">
        <v>794</v>
      </c>
      <c r="D365" s="208" t="s">
        <v>795</v>
      </c>
      <c r="E365" s="208" t="s">
        <v>312</v>
      </c>
      <c r="F365" s="212">
        <v>43002</v>
      </c>
      <c r="G365" s="220" t="s">
        <v>271</v>
      </c>
      <c r="H365" s="220" t="s">
        <v>271</v>
      </c>
      <c r="I365" s="220" t="s">
        <v>272</v>
      </c>
    </row>
    <row r="366" spans="1:9" ht="14.25" customHeight="1" x14ac:dyDescent="0.3">
      <c r="A366" s="208">
        <v>363</v>
      </c>
      <c r="B366" s="212">
        <v>44554</v>
      </c>
      <c r="C366" s="214" t="s">
        <v>796</v>
      </c>
      <c r="D366" s="208" t="s">
        <v>797</v>
      </c>
      <c r="E366" s="208" t="s">
        <v>312</v>
      </c>
      <c r="F366" s="212">
        <v>43898</v>
      </c>
      <c r="G366" s="220" t="s">
        <v>340</v>
      </c>
      <c r="H366" s="220" t="s">
        <v>275</v>
      </c>
      <c r="I366" s="220" t="s">
        <v>272</v>
      </c>
    </row>
    <row r="367" spans="1:9" ht="14.25" customHeight="1" x14ac:dyDescent="0.3">
      <c r="A367" s="208">
        <v>364</v>
      </c>
      <c r="B367" s="212">
        <v>44534</v>
      </c>
      <c r="C367" s="217" t="s">
        <v>798</v>
      </c>
      <c r="D367" s="208" t="s">
        <v>799</v>
      </c>
      <c r="E367" s="208" t="s">
        <v>78</v>
      </c>
      <c r="F367" s="212">
        <v>43496</v>
      </c>
      <c r="G367" s="220" t="s">
        <v>275</v>
      </c>
      <c r="H367" s="220" t="s">
        <v>275</v>
      </c>
      <c r="I367" s="220" t="s">
        <v>272</v>
      </c>
    </row>
    <row r="368" spans="1:9" ht="14.25" customHeight="1" x14ac:dyDescent="0.3">
      <c r="A368" s="208">
        <v>365</v>
      </c>
      <c r="B368" s="212">
        <v>44533</v>
      </c>
      <c r="C368" s="217" t="s">
        <v>800</v>
      </c>
      <c r="D368" s="208" t="s">
        <v>801</v>
      </c>
      <c r="E368" s="208" t="s">
        <v>45</v>
      </c>
      <c r="F368" s="212">
        <v>43389</v>
      </c>
      <c r="G368" s="220" t="s">
        <v>8</v>
      </c>
      <c r="H368" s="220" t="s">
        <v>271</v>
      </c>
      <c r="I368" s="220" t="s">
        <v>272</v>
      </c>
    </row>
    <row r="369" spans="1:9" ht="14.25" customHeight="1" x14ac:dyDescent="0.3">
      <c r="A369" s="208">
        <v>366</v>
      </c>
      <c r="B369" s="212">
        <v>44559</v>
      </c>
      <c r="C369" s="217" t="s">
        <v>802</v>
      </c>
      <c r="D369" s="208" t="s">
        <v>803</v>
      </c>
      <c r="E369" s="208" t="s">
        <v>45</v>
      </c>
      <c r="F369" s="212">
        <v>42933</v>
      </c>
      <c r="G369" s="220" t="s">
        <v>8</v>
      </c>
      <c r="H369" s="220" t="s">
        <v>275</v>
      </c>
      <c r="I369" s="220" t="s">
        <v>272</v>
      </c>
    </row>
    <row r="370" spans="1:9" ht="14.25" customHeight="1" x14ac:dyDescent="0.3">
      <c r="A370" s="208">
        <v>367</v>
      </c>
      <c r="B370" s="212">
        <v>44536</v>
      </c>
      <c r="C370" s="217" t="s">
        <v>496</v>
      </c>
      <c r="D370" s="208" t="s">
        <v>497</v>
      </c>
      <c r="E370" s="208" t="s">
        <v>45</v>
      </c>
      <c r="F370" s="212">
        <v>43777</v>
      </c>
      <c r="G370" s="220" t="s">
        <v>275</v>
      </c>
      <c r="H370" s="220" t="s">
        <v>8</v>
      </c>
      <c r="I370" s="220" t="s">
        <v>272</v>
      </c>
    </row>
    <row r="371" spans="1:9" ht="14.25" customHeight="1" x14ac:dyDescent="0.3">
      <c r="A371" s="208">
        <v>368</v>
      </c>
      <c r="B371" s="212">
        <v>44535</v>
      </c>
      <c r="C371" s="217" t="s">
        <v>804</v>
      </c>
      <c r="D371" s="208" t="s">
        <v>805</v>
      </c>
      <c r="E371" s="208" t="s">
        <v>45</v>
      </c>
      <c r="F371" s="212">
        <v>43785</v>
      </c>
      <c r="G371" s="220" t="s">
        <v>8</v>
      </c>
      <c r="H371" s="220" t="s">
        <v>271</v>
      </c>
      <c r="I371" s="220" t="s">
        <v>272</v>
      </c>
    </row>
    <row r="372" spans="1:9" ht="14.25" customHeight="1" x14ac:dyDescent="0.3">
      <c r="A372" s="208">
        <v>369</v>
      </c>
      <c r="B372" s="212">
        <v>44550</v>
      </c>
      <c r="C372" s="217" t="s">
        <v>806</v>
      </c>
      <c r="D372" s="208" t="s">
        <v>807</v>
      </c>
      <c r="E372" s="208" t="s">
        <v>45</v>
      </c>
      <c r="F372" s="212" t="s">
        <v>8</v>
      </c>
      <c r="G372" s="220" t="s">
        <v>275</v>
      </c>
      <c r="H372" s="220" t="s">
        <v>271</v>
      </c>
      <c r="I372" s="220" t="s">
        <v>272</v>
      </c>
    </row>
    <row r="373" spans="1:9" ht="14.25" customHeight="1" x14ac:dyDescent="0.3">
      <c r="A373" s="208">
        <v>370</v>
      </c>
      <c r="B373" s="212">
        <v>44558</v>
      </c>
      <c r="C373" s="214" t="s">
        <v>808</v>
      </c>
      <c r="D373" s="208" t="s">
        <v>809</v>
      </c>
      <c r="E373" s="208" t="s">
        <v>45</v>
      </c>
      <c r="F373" s="212">
        <v>44052</v>
      </c>
      <c r="G373" s="220" t="s">
        <v>275</v>
      </c>
      <c r="H373" s="220" t="s">
        <v>8</v>
      </c>
      <c r="I373" s="220" t="s">
        <v>272</v>
      </c>
    </row>
    <row r="374" spans="1:9" ht="14.25" customHeight="1" x14ac:dyDescent="0.3">
      <c r="A374" s="208">
        <v>371</v>
      </c>
      <c r="B374" s="212">
        <v>44532</v>
      </c>
      <c r="C374" s="214" t="s">
        <v>810</v>
      </c>
      <c r="D374" s="208" t="s">
        <v>811</v>
      </c>
      <c r="E374" s="208" t="s">
        <v>45</v>
      </c>
      <c r="F374" s="212">
        <v>44043</v>
      </c>
      <c r="G374" s="220" t="s">
        <v>271</v>
      </c>
      <c r="H374" s="220" t="s">
        <v>8</v>
      </c>
      <c r="I374" s="220" t="s">
        <v>272</v>
      </c>
    </row>
    <row r="375" spans="1:9" ht="14.25" customHeight="1" x14ac:dyDescent="0.3">
      <c r="A375" s="208">
        <v>372</v>
      </c>
      <c r="B375" s="212">
        <v>44553</v>
      </c>
      <c r="C375" s="214" t="s">
        <v>812</v>
      </c>
      <c r="D375" s="208" t="s">
        <v>813</v>
      </c>
      <c r="E375" s="208" t="s">
        <v>270</v>
      </c>
      <c r="F375" s="212">
        <v>43276</v>
      </c>
      <c r="G375" s="220" t="s">
        <v>8</v>
      </c>
      <c r="H375" s="220" t="s">
        <v>271</v>
      </c>
      <c r="I375" s="220" t="s">
        <v>272</v>
      </c>
    </row>
    <row r="376" spans="1:9" ht="14.25" customHeight="1" x14ac:dyDescent="0.3">
      <c r="A376" s="208">
        <v>373</v>
      </c>
      <c r="B376" s="212">
        <v>44533</v>
      </c>
      <c r="C376" s="214" t="s">
        <v>814</v>
      </c>
      <c r="D376" s="208" t="s">
        <v>815</v>
      </c>
      <c r="E376" s="208" t="s">
        <v>45</v>
      </c>
      <c r="F376" s="212">
        <v>44056</v>
      </c>
      <c r="G376" s="220" t="s">
        <v>327</v>
      </c>
      <c r="H376" s="220" t="s">
        <v>275</v>
      </c>
      <c r="I376" s="220" t="s">
        <v>272</v>
      </c>
    </row>
    <row r="377" spans="1:9" ht="14.25" customHeight="1" x14ac:dyDescent="0.3">
      <c r="A377" s="208">
        <v>374</v>
      </c>
      <c r="B377" s="212">
        <v>44539</v>
      </c>
      <c r="C377" s="214" t="s">
        <v>816</v>
      </c>
      <c r="D377" s="208" t="s">
        <v>817</v>
      </c>
      <c r="E377" s="208" t="s">
        <v>45</v>
      </c>
      <c r="F377" s="212">
        <v>43464</v>
      </c>
      <c r="G377" s="220" t="s">
        <v>340</v>
      </c>
      <c r="H377" s="220" t="s">
        <v>594</v>
      </c>
      <c r="I377" s="220" t="s">
        <v>272</v>
      </c>
    </row>
    <row r="378" spans="1:9" ht="14.25" customHeight="1" x14ac:dyDescent="0.3">
      <c r="A378" s="208">
        <v>375</v>
      </c>
      <c r="B378" s="212">
        <v>44543</v>
      </c>
      <c r="C378" s="214" t="s">
        <v>818</v>
      </c>
      <c r="D378" s="208" t="s">
        <v>819</v>
      </c>
      <c r="E378" s="208" t="s">
        <v>45</v>
      </c>
      <c r="F378" s="212">
        <v>44241</v>
      </c>
      <c r="G378" s="220" t="s">
        <v>275</v>
      </c>
      <c r="H378" s="220" t="s">
        <v>271</v>
      </c>
      <c r="I378" s="220" t="s">
        <v>272</v>
      </c>
    </row>
    <row r="379" spans="1:9" ht="14.25" customHeight="1" x14ac:dyDescent="0.3">
      <c r="A379" s="208">
        <v>376</v>
      </c>
      <c r="B379" s="212">
        <v>44549</v>
      </c>
      <c r="C379" s="214" t="s">
        <v>820</v>
      </c>
      <c r="D379" s="208" t="s">
        <v>821</v>
      </c>
      <c r="E379" s="208" t="s">
        <v>270</v>
      </c>
      <c r="F379" s="212">
        <v>43426</v>
      </c>
      <c r="G379" s="220" t="s">
        <v>275</v>
      </c>
      <c r="H379" s="220" t="s">
        <v>271</v>
      </c>
      <c r="I379" s="220" t="s">
        <v>272</v>
      </c>
    </row>
    <row r="380" spans="1:9" ht="14.25" customHeight="1" x14ac:dyDescent="0.3">
      <c r="A380" s="208">
        <v>377</v>
      </c>
      <c r="B380" s="212">
        <v>44549</v>
      </c>
      <c r="C380" s="214" t="s">
        <v>822</v>
      </c>
      <c r="D380" s="208" t="s">
        <v>823</v>
      </c>
      <c r="E380" s="208" t="s">
        <v>45</v>
      </c>
      <c r="F380" s="212">
        <v>43621</v>
      </c>
      <c r="G380" s="220" t="s">
        <v>271</v>
      </c>
      <c r="H380" s="220" t="s">
        <v>8</v>
      </c>
      <c r="I380" s="220" t="s">
        <v>272</v>
      </c>
    </row>
    <row r="381" spans="1:9" ht="14.25" customHeight="1" x14ac:dyDescent="0.3">
      <c r="A381" s="208">
        <v>378</v>
      </c>
      <c r="B381" s="212">
        <v>44546</v>
      </c>
      <c r="C381" s="214" t="s">
        <v>824</v>
      </c>
      <c r="D381" s="208" t="s">
        <v>825</v>
      </c>
      <c r="E381" s="208" t="s">
        <v>45</v>
      </c>
      <c r="F381" s="212">
        <v>43475</v>
      </c>
      <c r="G381" s="220" t="s">
        <v>271</v>
      </c>
      <c r="H381" s="220" t="s">
        <v>275</v>
      </c>
      <c r="I381" s="220" t="s">
        <v>272</v>
      </c>
    </row>
    <row r="382" spans="1:9" ht="14.25" customHeight="1" x14ac:dyDescent="0.3">
      <c r="A382" s="208">
        <v>379</v>
      </c>
      <c r="B382" s="212">
        <v>44539</v>
      </c>
      <c r="C382" s="214" t="s">
        <v>826</v>
      </c>
      <c r="D382" s="208" t="s">
        <v>827</v>
      </c>
      <c r="E382" s="208" t="s">
        <v>111</v>
      </c>
      <c r="F382" s="212">
        <v>43310</v>
      </c>
      <c r="G382" s="220" t="s">
        <v>271</v>
      </c>
      <c r="H382" s="220" t="s">
        <v>271</v>
      </c>
      <c r="I382" s="220" t="s">
        <v>272</v>
      </c>
    </row>
    <row r="383" spans="1:9" ht="14.25" customHeight="1" x14ac:dyDescent="0.3">
      <c r="A383" s="208">
        <v>380</v>
      </c>
      <c r="B383" s="212">
        <v>44554</v>
      </c>
      <c r="C383" s="214" t="s">
        <v>828</v>
      </c>
      <c r="D383" s="208" t="s">
        <v>829</v>
      </c>
      <c r="E383" s="208" t="s">
        <v>45</v>
      </c>
      <c r="F383" s="212">
        <v>43158</v>
      </c>
      <c r="G383" s="220" t="s">
        <v>275</v>
      </c>
      <c r="H383" s="220" t="s">
        <v>271</v>
      </c>
      <c r="I383" s="220" t="s">
        <v>272</v>
      </c>
    </row>
    <row r="384" spans="1:9" ht="14.25" customHeight="1" x14ac:dyDescent="0.3">
      <c r="A384" s="208">
        <v>381</v>
      </c>
      <c r="B384" s="212">
        <v>44541</v>
      </c>
      <c r="C384" s="214" t="s">
        <v>830</v>
      </c>
      <c r="D384" s="208" t="s">
        <v>831</v>
      </c>
      <c r="E384" s="208" t="s">
        <v>56</v>
      </c>
      <c r="F384" s="212">
        <v>43757</v>
      </c>
      <c r="G384" s="220" t="s">
        <v>271</v>
      </c>
      <c r="H384" s="220" t="s">
        <v>363</v>
      </c>
      <c r="I384" s="220" t="s">
        <v>272</v>
      </c>
    </row>
    <row r="385" spans="1:9" ht="14.25" customHeight="1" x14ac:dyDescent="0.3">
      <c r="A385" s="208">
        <v>382</v>
      </c>
      <c r="B385" s="212">
        <v>44543</v>
      </c>
      <c r="C385" s="214" t="s">
        <v>832</v>
      </c>
      <c r="D385" s="208" t="s">
        <v>833</v>
      </c>
      <c r="E385" s="208" t="s">
        <v>312</v>
      </c>
      <c r="F385" s="212">
        <v>43747</v>
      </c>
      <c r="G385" s="220" t="s">
        <v>275</v>
      </c>
      <c r="H385" s="220" t="s">
        <v>271</v>
      </c>
      <c r="I385" s="220" t="s">
        <v>272</v>
      </c>
    </row>
    <row r="386" spans="1:9" ht="14.25" customHeight="1" x14ac:dyDescent="0.3">
      <c r="A386" s="208">
        <v>383</v>
      </c>
      <c r="B386" s="212">
        <v>44552</v>
      </c>
      <c r="C386" s="214" t="s">
        <v>834</v>
      </c>
      <c r="D386" s="208" t="s">
        <v>835</v>
      </c>
      <c r="E386" s="208" t="s">
        <v>45</v>
      </c>
      <c r="F386" s="212">
        <v>42913</v>
      </c>
      <c r="G386" s="220" t="s">
        <v>271</v>
      </c>
      <c r="H386" s="220" t="s">
        <v>320</v>
      </c>
      <c r="I386" s="220" t="s">
        <v>272</v>
      </c>
    </row>
    <row r="387" spans="1:9" ht="14.25" customHeight="1" x14ac:dyDescent="0.3">
      <c r="A387" s="208">
        <v>384</v>
      </c>
      <c r="B387" s="212">
        <v>44544</v>
      </c>
      <c r="C387" s="214" t="s">
        <v>836</v>
      </c>
      <c r="D387" s="208" t="s">
        <v>837</v>
      </c>
      <c r="E387" s="208" t="s">
        <v>45</v>
      </c>
      <c r="F387" s="212">
        <v>43632</v>
      </c>
      <c r="G387" s="220" t="s">
        <v>327</v>
      </c>
      <c r="H387" s="220" t="s">
        <v>291</v>
      </c>
      <c r="I387" s="220" t="s">
        <v>272</v>
      </c>
    </row>
    <row r="388" spans="1:9" ht="14.25" customHeight="1" x14ac:dyDescent="0.3">
      <c r="A388" s="208">
        <v>385</v>
      </c>
      <c r="B388" s="212">
        <v>44547</v>
      </c>
      <c r="C388" s="214" t="s">
        <v>838</v>
      </c>
      <c r="D388" s="208" t="s">
        <v>839</v>
      </c>
      <c r="E388" s="208" t="s">
        <v>111</v>
      </c>
      <c r="F388" s="212">
        <v>43534</v>
      </c>
      <c r="G388" s="220" t="s">
        <v>275</v>
      </c>
      <c r="H388" s="220" t="s">
        <v>271</v>
      </c>
      <c r="I388" s="220" t="s">
        <v>272</v>
      </c>
    </row>
    <row r="389" spans="1:9" ht="14.25" customHeight="1" x14ac:dyDescent="0.3">
      <c r="A389" s="208">
        <v>386</v>
      </c>
      <c r="B389" s="212">
        <v>44544</v>
      </c>
      <c r="C389" s="214" t="s">
        <v>840</v>
      </c>
      <c r="D389" s="208" t="s">
        <v>841</v>
      </c>
      <c r="E389" s="208" t="s">
        <v>579</v>
      </c>
      <c r="F389" s="212">
        <v>43461</v>
      </c>
      <c r="G389" s="220" t="s">
        <v>275</v>
      </c>
      <c r="H389" s="220" t="s">
        <v>271</v>
      </c>
      <c r="I389" s="220" t="s">
        <v>272</v>
      </c>
    </row>
    <row r="390" spans="1:9" ht="14.25" customHeight="1" x14ac:dyDescent="0.3">
      <c r="A390" s="208">
        <v>387</v>
      </c>
      <c r="B390" s="212">
        <v>44535</v>
      </c>
      <c r="C390" s="214" t="s">
        <v>842</v>
      </c>
      <c r="D390" s="208" t="s">
        <v>843</v>
      </c>
      <c r="E390" s="208" t="s">
        <v>111</v>
      </c>
      <c r="F390" s="212">
        <v>43580</v>
      </c>
      <c r="G390" s="220" t="s">
        <v>271</v>
      </c>
      <c r="H390" s="220" t="s">
        <v>271</v>
      </c>
      <c r="I390" s="220" t="s">
        <v>272</v>
      </c>
    </row>
    <row r="391" spans="1:9" ht="14.25" customHeight="1" x14ac:dyDescent="0.3">
      <c r="A391" s="208">
        <v>388</v>
      </c>
      <c r="B391" s="212">
        <v>44546</v>
      </c>
      <c r="C391" s="214" t="s">
        <v>844</v>
      </c>
      <c r="D391" s="208" t="s">
        <v>845</v>
      </c>
      <c r="E391" s="208" t="s">
        <v>312</v>
      </c>
      <c r="F391" s="212">
        <v>42961</v>
      </c>
      <c r="G391" s="220" t="s">
        <v>275</v>
      </c>
      <c r="H391" s="220" t="s">
        <v>275</v>
      </c>
      <c r="I391" s="220" t="s">
        <v>272</v>
      </c>
    </row>
    <row r="392" spans="1:9" ht="14.25" customHeight="1" x14ac:dyDescent="0.3">
      <c r="A392" s="208">
        <v>389</v>
      </c>
      <c r="B392" s="212">
        <v>44532</v>
      </c>
      <c r="C392" s="214" t="s">
        <v>846</v>
      </c>
      <c r="D392" s="208" t="s">
        <v>847</v>
      </c>
      <c r="E392" s="208" t="s">
        <v>346</v>
      </c>
      <c r="F392" s="212">
        <v>44145</v>
      </c>
      <c r="G392" s="220" t="s">
        <v>275</v>
      </c>
      <c r="H392" s="220" t="s">
        <v>275</v>
      </c>
      <c r="I392" s="220" t="s">
        <v>272</v>
      </c>
    </row>
    <row r="393" spans="1:9" ht="14.25" customHeight="1" x14ac:dyDescent="0.3">
      <c r="A393" s="208">
        <v>390</v>
      </c>
      <c r="B393" s="212">
        <v>44553</v>
      </c>
      <c r="C393" s="214" t="s">
        <v>848</v>
      </c>
      <c r="D393" s="208" t="s">
        <v>849</v>
      </c>
      <c r="E393" s="208" t="s">
        <v>346</v>
      </c>
      <c r="F393" s="212">
        <v>42972</v>
      </c>
      <c r="G393" s="220" t="s">
        <v>300</v>
      </c>
      <c r="H393" s="220" t="s">
        <v>271</v>
      </c>
      <c r="I393" s="220" t="s">
        <v>272</v>
      </c>
    </row>
    <row r="394" spans="1:9" ht="14.25" customHeight="1" x14ac:dyDescent="0.3">
      <c r="A394" s="208">
        <v>391</v>
      </c>
      <c r="B394" s="212">
        <v>44550</v>
      </c>
      <c r="C394" s="214" t="s">
        <v>850</v>
      </c>
      <c r="D394" s="208" t="s">
        <v>851</v>
      </c>
      <c r="E394" s="208" t="s">
        <v>111</v>
      </c>
      <c r="F394" s="212">
        <v>43293</v>
      </c>
      <c r="G394" s="220" t="s">
        <v>275</v>
      </c>
      <c r="H394" s="220" t="s">
        <v>8</v>
      </c>
      <c r="I394" s="220" t="s">
        <v>272</v>
      </c>
    </row>
    <row r="395" spans="1:9" ht="14.25" customHeight="1" x14ac:dyDescent="0.3">
      <c r="A395" s="208">
        <v>392</v>
      </c>
      <c r="B395" s="212">
        <v>44550</v>
      </c>
      <c r="C395" s="214" t="s">
        <v>852</v>
      </c>
      <c r="D395" s="208" t="s">
        <v>853</v>
      </c>
      <c r="E395" s="208" t="s">
        <v>75</v>
      </c>
      <c r="F395" s="212">
        <v>43330</v>
      </c>
      <c r="G395" s="220" t="s">
        <v>8</v>
      </c>
      <c r="H395" s="220" t="s">
        <v>271</v>
      </c>
      <c r="I395" s="220" t="s">
        <v>272</v>
      </c>
    </row>
    <row r="396" spans="1:9" ht="14.25" customHeight="1" x14ac:dyDescent="0.3">
      <c r="A396" s="208">
        <v>393</v>
      </c>
      <c r="B396" s="212">
        <v>44535</v>
      </c>
      <c r="C396" s="214" t="s">
        <v>855</v>
      </c>
      <c r="D396" s="208" t="s">
        <v>856</v>
      </c>
      <c r="E396" s="208" t="s">
        <v>75</v>
      </c>
      <c r="F396" s="212">
        <v>42787</v>
      </c>
      <c r="G396" s="220" t="s">
        <v>275</v>
      </c>
      <c r="H396" s="220" t="s">
        <v>275</v>
      </c>
      <c r="I396" s="220" t="s">
        <v>272</v>
      </c>
    </row>
    <row r="397" spans="1:9" ht="14.25" customHeight="1" x14ac:dyDescent="0.3">
      <c r="A397" s="208">
        <v>394</v>
      </c>
      <c r="B397" s="212">
        <v>44539</v>
      </c>
      <c r="C397" s="214" t="s">
        <v>857</v>
      </c>
      <c r="D397" s="208" t="s">
        <v>858</v>
      </c>
      <c r="E397" s="208" t="s">
        <v>75</v>
      </c>
      <c r="F397" s="212">
        <v>43711</v>
      </c>
      <c r="G397" s="220" t="s">
        <v>8</v>
      </c>
      <c r="H397" s="220" t="s">
        <v>275</v>
      </c>
      <c r="I397" s="220" t="s">
        <v>272</v>
      </c>
    </row>
    <row r="398" spans="1:9" ht="14.25" customHeight="1" x14ac:dyDescent="0.3">
      <c r="A398" s="208">
        <v>395</v>
      </c>
      <c r="B398" s="212">
        <v>44553</v>
      </c>
      <c r="C398" s="214" t="s">
        <v>859</v>
      </c>
      <c r="D398" s="208" t="s">
        <v>860</v>
      </c>
      <c r="E398" s="208" t="s">
        <v>75</v>
      </c>
      <c r="F398" s="212">
        <v>43968</v>
      </c>
      <c r="G398" s="220" t="s">
        <v>271</v>
      </c>
      <c r="H398" s="220" t="s">
        <v>594</v>
      </c>
      <c r="I398" s="220" t="s">
        <v>272</v>
      </c>
    </row>
    <row r="399" spans="1:9" ht="14.25" customHeight="1" x14ac:dyDescent="0.3">
      <c r="A399" s="208">
        <v>396</v>
      </c>
      <c r="B399" s="212">
        <v>44551</v>
      </c>
      <c r="C399" s="214" t="s">
        <v>861</v>
      </c>
      <c r="D399" s="208" t="s">
        <v>862</v>
      </c>
      <c r="E399" s="208" t="s">
        <v>75</v>
      </c>
      <c r="F399" s="212">
        <v>43772</v>
      </c>
      <c r="G399" s="220" t="s">
        <v>340</v>
      </c>
      <c r="H399" s="220" t="s">
        <v>275</v>
      </c>
      <c r="I399" s="220" t="s">
        <v>272</v>
      </c>
    </row>
    <row r="400" spans="1:9" ht="14.25" customHeight="1" x14ac:dyDescent="0.3">
      <c r="A400" s="208">
        <v>397</v>
      </c>
      <c r="B400" s="212">
        <v>44552</v>
      </c>
      <c r="C400" s="214" t="s">
        <v>863</v>
      </c>
      <c r="D400" s="208" t="s">
        <v>864</v>
      </c>
      <c r="E400" s="208" t="s">
        <v>56</v>
      </c>
      <c r="F400" s="212">
        <v>43056</v>
      </c>
      <c r="G400" s="220" t="s">
        <v>275</v>
      </c>
      <c r="H400" s="220" t="s">
        <v>8</v>
      </c>
      <c r="I400" s="220" t="s">
        <v>272</v>
      </c>
    </row>
    <row r="401" spans="1:9" ht="14.25" customHeight="1" x14ac:dyDescent="0.3">
      <c r="A401" s="208">
        <v>398</v>
      </c>
      <c r="B401" s="212">
        <v>44536</v>
      </c>
      <c r="C401" s="214" t="s">
        <v>865</v>
      </c>
      <c r="D401" s="208" t="s">
        <v>866</v>
      </c>
      <c r="E401" s="208" t="s">
        <v>45</v>
      </c>
      <c r="F401" s="212" t="s">
        <v>8</v>
      </c>
      <c r="G401" s="220" t="s">
        <v>275</v>
      </c>
      <c r="H401" s="220" t="s">
        <v>275</v>
      </c>
      <c r="I401" s="220" t="s">
        <v>272</v>
      </c>
    </row>
    <row r="402" spans="1:9" ht="14.25" customHeight="1" x14ac:dyDescent="0.3">
      <c r="A402" s="208">
        <v>399</v>
      </c>
      <c r="B402" s="212">
        <v>44553</v>
      </c>
      <c r="C402" s="214" t="s">
        <v>867</v>
      </c>
      <c r="D402" s="208" t="s">
        <v>868</v>
      </c>
      <c r="E402" s="208" t="s">
        <v>111</v>
      </c>
      <c r="F402" s="212">
        <v>42998</v>
      </c>
      <c r="G402" s="220" t="s">
        <v>271</v>
      </c>
      <c r="H402" s="220" t="s">
        <v>275</v>
      </c>
      <c r="I402" s="220" t="s">
        <v>272</v>
      </c>
    </row>
    <row r="403" spans="1:9" ht="14.25" customHeight="1" x14ac:dyDescent="0.3">
      <c r="A403" s="208">
        <v>400</v>
      </c>
      <c r="B403" s="212">
        <v>44534</v>
      </c>
      <c r="C403" s="214" t="s">
        <v>869</v>
      </c>
      <c r="D403" s="208" t="s">
        <v>870</v>
      </c>
      <c r="E403" s="208" t="s">
        <v>56</v>
      </c>
      <c r="F403" s="212" t="s">
        <v>8</v>
      </c>
      <c r="G403" s="220" t="s">
        <v>271</v>
      </c>
      <c r="H403" s="220" t="s">
        <v>271</v>
      </c>
      <c r="I403" s="220" t="s">
        <v>272</v>
      </c>
    </row>
    <row r="404" spans="1:9" ht="14.25" customHeight="1" x14ac:dyDescent="0.3">
      <c r="A404" s="208">
        <v>401</v>
      </c>
      <c r="B404" s="212">
        <v>44546</v>
      </c>
      <c r="C404" s="214" t="s">
        <v>871</v>
      </c>
      <c r="D404" s="208" t="s">
        <v>872</v>
      </c>
      <c r="E404" s="208" t="s">
        <v>45</v>
      </c>
      <c r="F404" s="212" t="s">
        <v>8</v>
      </c>
      <c r="G404" s="220" t="s">
        <v>271</v>
      </c>
      <c r="H404" s="220" t="s">
        <v>271</v>
      </c>
      <c r="I404" s="220" t="s">
        <v>272</v>
      </c>
    </row>
    <row r="405" spans="1:9" ht="14.25" customHeight="1" x14ac:dyDescent="0.3">
      <c r="A405" s="208">
        <v>402</v>
      </c>
      <c r="B405" s="212">
        <v>44531</v>
      </c>
      <c r="C405" s="214" t="s">
        <v>873</v>
      </c>
      <c r="D405" s="208" t="s">
        <v>874</v>
      </c>
      <c r="E405" s="208" t="s">
        <v>45</v>
      </c>
      <c r="F405" s="212" t="s">
        <v>8</v>
      </c>
      <c r="G405" s="220" t="s">
        <v>1606</v>
      </c>
      <c r="H405" s="220" t="s">
        <v>340</v>
      </c>
      <c r="I405" s="220" t="s">
        <v>272</v>
      </c>
    </row>
    <row r="406" spans="1:9" ht="14.25" customHeight="1" x14ac:dyDescent="0.3">
      <c r="A406" s="208">
        <v>403</v>
      </c>
      <c r="B406" s="212">
        <v>44532</v>
      </c>
      <c r="C406" s="214" t="s">
        <v>875</v>
      </c>
      <c r="D406" s="208" t="s">
        <v>876</v>
      </c>
      <c r="E406" s="208" t="s">
        <v>45</v>
      </c>
      <c r="F406" s="212" t="s">
        <v>8</v>
      </c>
      <c r="G406" s="220" t="s">
        <v>291</v>
      </c>
      <c r="H406" s="220" t="s">
        <v>275</v>
      </c>
      <c r="I406" s="220" t="s">
        <v>272</v>
      </c>
    </row>
    <row r="407" spans="1:9" ht="14.25" customHeight="1" x14ac:dyDescent="0.3">
      <c r="A407" s="208">
        <v>404</v>
      </c>
      <c r="B407" s="212">
        <v>44560</v>
      </c>
      <c r="C407" s="214" t="s">
        <v>877</v>
      </c>
      <c r="D407" s="208" t="s">
        <v>878</v>
      </c>
      <c r="E407" s="208" t="s">
        <v>56</v>
      </c>
      <c r="F407" s="212">
        <v>43989</v>
      </c>
      <c r="G407" s="220" t="s">
        <v>271</v>
      </c>
      <c r="H407" s="220" t="s">
        <v>363</v>
      </c>
      <c r="I407" s="220" t="s">
        <v>272</v>
      </c>
    </row>
    <row r="408" spans="1:9" ht="14.25" customHeight="1" x14ac:dyDescent="0.3">
      <c r="A408" s="208">
        <v>405</v>
      </c>
      <c r="B408" s="212">
        <v>44536</v>
      </c>
      <c r="C408" s="214" t="s">
        <v>879</v>
      </c>
      <c r="D408" s="208" t="s">
        <v>880</v>
      </c>
      <c r="E408" s="208" t="s">
        <v>45</v>
      </c>
      <c r="F408" s="212" t="s">
        <v>8</v>
      </c>
      <c r="G408" s="220" t="s">
        <v>275</v>
      </c>
      <c r="H408" s="220" t="s">
        <v>275</v>
      </c>
      <c r="I408" s="220" t="s">
        <v>272</v>
      </c>
    </row>
    <row r="409" spans="1:9" ht="14.25" customHeight="1" x14ac:dyDescent="0.3">
      <c r="A409" s="208">
        <v>406</v>
      </c>
      <c r="B409" s="212">
        <v>44532</v>
      </c>
      <c r="C409" s="214" t="s">
        <v>881</v>
      </c>
      <c r="D409" s="208" t="s">
        <v>882</v>
      </c>
      <c r="E409" s="208" t="s">
        <v>45</v>
      </c>
      <c r="F409" s="212" t="s">
        <v>8</v>
      </c>
      <c r="G409" s="220" t="s">
        <v>8</v>
      </c>
      <c r="H409" s="220" t="s">
        <v>275</v>
      </c>
      <c r="I409" s="220" t="s">
        <v>272</v>
      </c>
    </row>
    <row r="410" spans="1:9" ht="14.25" customHeight="1" x14ac:dyDescent="0.3">
      <c r="A410" s="208">
        <v>407</v>
      </c>
      <c r="B410" s="212">
        <v>44547</v>
      </c>
      <c r="C410" s="214" t="s">
        <v>883</v>
      </c>
      <c r="D410" s="208" t="s">
        <v>884</v>
      </c>
      <c r="E410" s="208" t="s">
        <v>45</v>
      </c>
      <c r="F410" s="212">
        <v>42895</v>
      </c>
      <c r="G410" s="220" t="s">
        <v>8</v>
      </c>
      <c r="H410" s="220" t="s">
        <v>271</v>
      </c>
      <c r="I410" s="220" t="s">
        <v>272</v>
      </c>
    </row>
    <row r="411" spans="1:9" ht="14.25" customHeight="1" x14ac:dyDescent="0.3">
      <c r="A411" s="208">
        <v>408</v>
      </c>
      <c r="B411" s="212">
        <v>44553</v>
      </c>
      <c r="C411" s="214" t="s">
        <v>885</v>
      </c>
      <c r="D411" s="208" t="s">
        <v>886</v>
      </c>
      <c r="E411" s="208" t="s">
        <v>45</v>
      </c>
      <c r="F411" s="212" t="s">
        <v>8</v>
      </c>
      <c r="G411" s="220" t="s">
        <v>275</v>
      </c>
      <c r="H411" s="220" t="s">
        <v>275</v>
      </c>
      <c r="I411" s="220" t="s">
        <v>272</v>
      </c>
    </row>
    <row r="412" spans="1:9" ht="14.25" customHeight="1" x14ac:dyDescent="0.3">
      <c r="A412" s="208">
        <v>409</v>
      </c>
      <c r="B412" s="212">
        <v>44542</v>
      </c>
      <c r="C412" s="214" t="s">
        <v>887</v>
      </c>
      <c r="D412" s="208" t="s">
        <v>888</v>
      </c>
      <c r="E412" s="208" t="s">
        <v>579</v>
      </c>
      <c r="F412" s="212" t="s">
        <v>8</v>
      </c>
      <c r="G412" s="220" t="s">
        <v>8</v>
      </c>
      <c r="H412" s="220" t="s">
        <v>275</v>
      </c>
      <c r="I412" s="220" t="s">
        <v>272</v>
      </c>
    </row>
    <row r="413" spans="1:9" ht="14.25" customHeight="1" x14ac:dyDescent="0.3">
      <c r="A413" s="208">
        <v>410</v>
      </c>
      <c r="B413" s="212">
        <v>44535</v>
      </c>
      <c r="C413" s="214" t="s">
        <v>889</v>
      </c>
      <c r="D413" s="208" t="s">
        <v>890</v>
      </c>
      <c r="E413" s="208" t="s">
        <v>45</v>
      </c>
      <c r="F413" s="212">
        <v>42807</v>
      </c>
      <c r="G413" s="220" t="s">
        <v>271</v>
      </c>
      <c r="H413" s="220" t="s">
        <v>275</v>
      </c>
      <c r="I413" s="220" t="s">
        <v>272</v>
      </c>
    </row>
    <row r="414" spans="1:9" ht="14.25" customHeight="1" x14ac:dyDescent="0.3">
      <c r="A414" s="208">
        <v>411</v>
      </c>
      <c r="B414" s="212">
        <v>44531</v>
      </c>
      <c r="C414" s="214" t="s">
        <v>891</v>
      </c>
      <c r="D414" s="208" t="s">
        <v>892</v>
      </c>
      <c r="E414" s="208" t="s">
        <v>346</v>
      </c>
      <c r="F414" s="212">
        <v>43691</v>
      </c>
      <c r="G414" s="220" t="s">
        <v>271</v>
      </c>
      <c r="H414" s="220" t="s">
        <v>854</v>
      </c>
      <c r="I414" s="220" t="s">
        <v>272</v>
      </c>
    </row>
    <row r="415" spans="1:9" ht="14.25" customHeight="1" x14ac:dyDescent="0.3">
      <c r="A415" s="208">
        <v>412</v>
      </c>
      <c r="B415" s="212">
        <v>44550</v>
      </c>
      <c r="C415" s="214" t="s">
        <v>893</v>
      </c>
      <c r="D415" s="208" t="s">
        <v>894</v>
      </c>
      <c r="E415" s="208" t="s">
        <v>312</v>
      </c>
      <c r="F415" s="212">
        <v>43040</v>
      </c>
      <c r="G415" s="220" t="s">
        <v>271</v>
      </c>
      <c r="H415" s="220" t="s">
        <v>271</v>
      </c>
      <c r="I415" s="220" t="s">
        <v>272</v>
      </c>
    </row>
    <row r="416" spans="1:9" ht="14.25" customHeight="1" x14ac:dyDescent="0.3">
      <c r="A416" s="208">
        <v>413</v>
      </c>
      <c r="B416" s="212">
        <v>44548</v>
      </c>
      <c r="C416" s="214" t="s">
        <v>895</v>
      </c>
      <c r="D416" s="208" t="s">
        <v>896</v>
      </c>
      <c r="E416" s="208" t="s">
        <v>78</v>
      </c>
      <c r="F416" s="212">
        <v>43637</v>
      </c>
      <c r="G416" s="220" t="s">
        <v>275</v>
      </c>
      <c r="H416" s="220" t="s">
        <v>275</v>
      </c>
      <c r="I416" s="220" t="s">
        <v>272</v>
      </c>
    </row>
    <row r="417" spans="1:9" ht="14.25" customHeight="1" x14ac:dyDescent="0.3">
      <c r="A417" s="208">
        <v>414</v>
      </c>
      <c r="B417" s="212">
        <v>44552</v>
      </c>
      <c r="C417" s="214" t="s">
        <v>897</v>
      </c>
      <c r="D417" s="208" t="s">
        <v>898</v>
      </c>
      <c r="E417" s="208" t="s">
        <v>75</v>
      </c>
      <c r="F417" s="212">
        <v>43497</v>
      </c>
      <c r="G417" s="220" t="s">
        <v>305</v>
      </c>
      <c r="H417" s="220" t="s">
        <v>275</v>
      </c>
      <c r="I417" s="220" t="s">
        <v>272</v>
      </c>
    </row>
    <row r="418" spans="1:9" ht="14.25" customHeight="1" x14ac:dyDescent="0.3">
      <c r="A418" s="208">
        <v>415</v>
      </c>
      <c r="B418" s="212">
        <v>44540</v>
      </c>
      <c r="C418" s="214" t="s">
        <v>899</v>
      </c>
      <c r="D418" s="208" t="s">
        <v>900</v>
      </c>
      <c r="E418" s="208" t="s">
        <v>45</v>
      </c>
      <c r="F418" s="212">
        <v>43090</v>
      </c>
      <c r="G418" s="220" t="s">
        <v>271</v>
      </c>
      <c r="H418" s="220" t="s">
        <v>271</v>
      </c>
      <c r="I418" s="220" t="s">
        <v>272</v>
      </c>
    </row>
    <row r="419" spans="1:9" ht="14.25" customHeight="1" x14ac:dyDescent="0.3">
      <c r="A419" s="208">
        <v>416</v>
      </c>
      <c r="B419" s="212">
        <v>44556</v>
      </c>
      <c r="C419" s="214" t="s">
        <v>901</v>
      </c>
      <c r="D419" s="208" t="s">
        <v>902</v>
      </c>
      <c r="E419" s="208" t="s">
        <v>78</v>
      </c>
      <c r="F419" s="212">
        <v>43913</v>
      </c>
      <c r="G419" s="220" t="s">
        <v>271</v>
      </c>
      <c r="H419" s="220" t="s">
        <v>8</v>
      </c>
      <c r="I419" s="220" t="s">
        <v>272</v>
      </c>
    </row>
    <row r="420" spans="1:9" ht="14.25" customHeight="1" x14ac:dyDescent="0.3">
      <c r="A420" s="208">
        <v>417</v>
      </c>
      <c r="B420" s="212">
        <v>44556</v>
      </c>
      <c r="C420" s="214" t="s">
        <v>901</v>
      </c>
      <c r="D420" s="208" t="s">
        <v>902</v>
      </c>
      <c r="E420" s="208" t="s">
        <v>56</v>
      </c>
      <c r="F420" s="212" t="s">
        <v>8</v>
      </c>
      <c r="G420" s="220" t="s">
        <v>271</v>
      </c>
      <c r="H420" s="220" t="s">
        <v>8</v>
      </c>
      <c r="I420" s="220" t="s">
        <v>272</v>
      </c>
    </row>
    <row r="421" spans="1:9" ht="14.25" customHeight="1" x14ac:dyDescent="0.3">
      <c r="A421" s="208">
        <v>418</v>
      </c>
      <c r="B421" s="212">
        <v>44546</v>
      </c>
      <c r="C421" s="214" t="s">
        <v>903</v>
      </c>
      <c r="D421" s="208" t="s">
        <v>904</v>
      </c>
      <c r="E421" s="208" t="s">
        <v>78</v>
      </c>
      <c r="F421" s="212">
        <v>42847</v>
      </c>
      <c r="G421" s="220" t="s">
        <v>275</v>
      </c>
      <c r="H421" s="220" t="s">
        <v>271</v>
      </c>
      <c r="I421" s="220" t="s">
        <v>272</v>
      </c>
    </row>
    <row r="422" spans="1:9" ht="14.25" customHeight="1" x14ac:dyDescent="0.3">
      <c r="A422" s="208">
        <v>419</v>
      </c>
      <c r="B422" s="212">
        <v>44561</v>
      </c>
      <c r="C422" s="214" t="s">
        <v>905</v>
      </c>
      <c r="D422" s="208" t="s">
        <v>906</v>
      </c>
      <c r="E422" s="208" t="s">
        <v>78</v>
      </c>
      <c r="F422" s="212">
        <v>42846</v>
      </c>
      <c r="G422" s="220" t="s">
        <v>8</v>
      </c>
      <c r="H422" s="220" t="s">
        <v>271</v>
      </c>
      <c r="I422" s="220" t="s">
        <v>272</v>
      </c>
    </row>
    <row r="423" spans="1:9" ht="14.25" customHeight="1" x14ac:dyDescent="0.3">
      <c r="A423" s="208">
        <v>420</v>
      </c>
      <c r="B423" s="212">
        <v>44554</v>
      </c>
      <c r="C423" s="214" t="s">
        <v>907</v>
      </c>
      <c r="D423" s="208" t="s">
        <v>908</v>
      </c>
      <c r="E423" s="208" t="s">
        <v>56</v>
      </c>
      <c r="F423" s="212" t="s">
        <v>8</v>
      </c>
      <c r="G423" s="220" t="s">
        <v>275</v>
      </c>
      <c r="H423" s="220" t="s">
        <v>275</v>
      </c>
      <c r="I423" s="220" t="s">
        <v>272</v>
      </c>
    </row>
    <row r="424" spans="1:9" ht="14.25" customHeight="1" x14ac:dyDescent="0.3">
      <c r="A424" s="208">
        <v>421</v>
      </c>
      <c r="B424" s="212">
        <v>44560</v>
      </c>
      <c r="C424" s="214" t="s">
        <v>909</v>
      </c>
      <c r="D424" s="208" t="s">
        <v>910</v>
      </c>
      <c r="E424" s="208" t="s">
        <v>56</v>
      </c>
      <c r="F424" s="212">
        <v>43486</v>
      </c>
      <c r="G424" s="220" t="s">
        <v>8</v>
      </c>
      <c r="H424" s="220" t="s">
        <v>8</v>
      </c>
      <c r="I424" s="220" t="s">
        <v>272</v>
      </c>
    </row>
    <row r="425" spans="1:9" ht="14.25" customHeight="1" x14ac:dyDescent="0.3">
      <c r="A425" s="208">
        <v>422</v>
      </c>
      <c r="B425" s="212">
        <v>44537</v>
      </c>
      <c r="C425" s="214" t="s">
        <v>911</v>
      </c>
      <c r="D425" s="208" t="s">
        <v>912</v>
      </c>
      <c r="E425" s="208" t="s">
        <v>111</v>
      </c>
      <c r="F425" s="212">
        <v>42822</v>
      </c>
      <c r="G425" s="220" t="s">
        <v>8</v>
      </c>
      <c r="H425" s="220" t="s">
        <v>275</v>
      </c>
      <c r="I425" s="220" t="s">
        <v>272</v>
      </c>
    </row>
    <row r="426" spans="1:9" ht="14.25" customHeight="1" x14ac:dyDescent="0.3">
      <c r="A426" s="208">
        <v>423</v>
      </c>
      <c r="B426" s="212">
        <v>44548</v>
      </c>
      <c r="C426" s="214" t="s">
        <v>913</v>
      </c>
      <c r="D426" s="208" t="s">
        <v>914</v>
      </c>
      <c r="E426" s="208" t="s">
        <v>111</v>
      </c>
      <c r="F426" s="212">
        <v>42909</v>
      </c>
      <c r="G426" s="220" t="s">
        <v>275</v>
      </c>
      <c r="H426" s="220" t="s">
        <v>271</v>
      </c>
      <c r="I426" s="220" t="s">
        <v>272</v>
      </c>
    </row>
    <row r="427" spans="1:9" ht="14.25" customHeight="1" thickBot="1" x14ac:dyDescent="0.35">
      <c r="A427" s="209">
        <v>424</v>
      </c>
      <c r="B427" s="213">
        <v>44543</v>
      </c>
      <c r="C427" s="218" t="s">
        <v>915</v>
      </c>
      <c r="D427" s="209" t="s">
        <v>916</v>
      </c>
      <c r="E427" s="209" t="s">
        <v>111</v>
      </c>
      <c r="F427" s="213" t="s">
        <v>8</v>
      </c>
      <c r="G427" s="222" t="s">
        <v>271</v>
      </c>
      <c r="H427" s="222" t="s">
        <v>271</v>
      </c>
      <c r="I427" s="222" t="s">
        <v>272</v>
      </c>
    </row>
    <row r="428" spans="1:9" ht="14.25" customHeight="1" x14ac:dyDescent="0.3">
      <c r="A428" s="1"/>
      <c r="B428" s="188"/>
      <c r="C428" s="207"/>
      <c r="D428" s="1"/>
      <c r="E428" s="1"/>
      <c r="F428" s="188"/>
    </row>
    <row r="429" spans="1:9" ht="14.25" customHeight="1" x14ac:dyDescent="0.3">
      <c r="A429" s="1"/>
      <c r="B429" s="188"/>
      <c r="C429" s="207"/>
      <c r="D429" s="1"/>
      <c r="E429" s="1"/>
      <c r="F429" s="188"/>
    </row>
    <row r="430" spans="1:9" ht="14.25" customHeight="1" x14ac:dyDescent="0.3">
      <c r="A430" s="1"/>
      <c r="B430" s="188"/>
      <c r="C430" s="207"/>
      <c r="D430" s="1"/>
      <c r="E430" s="1"/>
      <c r="F430" s="188"/>
    </row>
    <row r="431" spans="1:9" ht="14.25" customHeight="1" x14ac:dyDescent="0.3">
      <c r="A431" s="1"/>
      <c r="B431" s="188"/>
      <c r="C431" s="207"/>
      <c r="D431" s="1"/>
      <c r="E431" s="1"/>
      <c r="F431" s="188"/>
    </row>
    <row r="432" spans="1:9" ht="14.25" customHeight="1" x14ac:dyDescent="0.3">
      <c r="A432" s="1"/>
      <c r="B432" s="188"/>
      <c r="C432" s="207"/>
      <c r="D432" s="1"/>
      <c r="E432" s="1"/>
      <c r="F432" s="188"/>
    </row>
    <row r="433" spans="1:6" ht="14.25" customHeight="1" x14ac:dyDescent="0.3">
      <c r="A433" s="1"/>
      <c r="B433" s="188"/>
      <c r="C433" s="207"/>
      <c r="D433" s="1"/>
      <c r="E433" s="1"/>
      <c r="F433" s="188"/>
    </row>
    <row r="434" spans="1:6" ht="14.25" customHeight="1" x14ac:dyDescent="0.3">
      <c r="A434" s="1"/>
      <c r="B434" s="188"/>
      <c r="C434" s="207"/>
      <c r="D434" s="1"/>
      <c r="E434" s="1"/>
      <c r="F434" s="188"/>
    </row>
    <row r="435" spans="1:6" ht="14.25" customHeight="1" x14ac:dyDescent="0.3">
      <c r="A435" s="1"/>
      <c r="B435" s="188"/>
      <c r="C435" s="207"/>
      <c r="D435" s="1"/>
      <c r="E435" s="1"/>
      <c r="F435" s="188"/>
    </row>
    <row r="436" spans="1:6" ht="14.25" customHeight="1" x14ac:dyDescent="0.3">
      <c r="A436" s="1"/>
      <c r="B436" s="188"/>
      <c r="C436" s="207"/>
      <c r="D436" s="1"/>
      <c r="E436" s="1"/>
      <c r="F436" s="188"/>
    </row>
    <row r="437" spans="1:6" ht="14.25" customHeight="1" x14ac:dyDescent="0.3">
      <c r="A437" s="1"/>
      <c r="B437" s="188"/>
      <c r="C437" s="207"/>
      <c r="D437" s="1"/>
      <c r="E437" s="1"/>
      <c r="F437" s="188"/>
    </row>
    <row r="438" spans="1:6" ht="14.25" customHeight="1" x14ac:dyDescent="0.3">
      <c r="A438" s="1"/>
      <c r="B438" s="188"/>
      <c r="C438" s="207"/>
      <c r="D438" s="1"/>
      <c r="E438" s="1"/>
      <c r="F438" s="188"/>
    </row>
    <row r="439" spans="1:6" ht="14.25" customHeight="1" x14ac:dyDescent="0.3">
      <c r="A439" s="1"/>
      <c r="B439" s="188"/>
      <c r="C439" s="207"/>
      <c r="D439" s="1"/>
      <c r="E439" s="1"/>
      <c r="F439" s="188"/>
    </row>
    <row r="440" spans="1:6" ht="14.25" customHeight="1" x14ac:dyDescent="0.3">
      <c r="A440" s="1"/>
      <c r="B440" s="188"/>
      <c r="C440" s="207"/>
      <c r="D440" s="1"/>
      <c r="E440" s="1"/>
      <c r="F440" s="188"/>
    </row>
    <row r="441" spans="1:6" ht="14.25" customHeight="1" x14ac:dyDescent="0.3">
      <c r="A441" s="1"/>
      <c r="B441" s="188"/>
      <c r="C441" s="207"/>
      <c r="D441" s="1"/>
      <c r="E441" s="1"/>
      <c r="F441" s="188"/>
    </row>
    <row r="442" spans="1:6" ht="14.25" customHeight="1" x14ac:dyDescent="0.3">
      <c r="A442" s="1"/>
      <c r="B442" s="188"/>
      <c r="C442" s="207"/>
      <c r="D442" s="1"/>
      <c r="E442" s="1"/>
      <c r="F442" s="188"/>
    </row>
    <row r="443" spans="1:6" ht="14.25" customHeight="1" x14ac:dyDescent="0.3">
      <c r="A443" s="1"/>
      <c r="B443" s="188"/>
      <c r="C443" s="207"/>
      <c r="D443" s="1"/>
      <c r="E443" s="1"/>
      <c r="F443" s="188"/>
    </row>
    <row r="444" spans="1:6" ht="14.25" customHeight="1" x14ac:dyDescent="0.3">
      <c r="A444" s="1"/>
      <c r="B444" s="188"/>
      <c r="C444" s="207"/>
      <c r="D444" s="1"/>
      <c r="E444" s="1"/>
      <c r="F444" s="188"/>
    </row>
    <row r="445" spans="1:6" ht="14.25" customHeight="1" x14ac:dyDescent="0.3">
      <c r="A445" s="1"/>
      <c r="B445" s="188"/>
      <c r="C445" s="207"/>
      <c r="D445" s="1"/>
      <c r="E445" s="1"/>
      <c r="F445" s="188"/>
    </row>
    <row r="446" spans="1:6" ht="14.25" customHeight="1" x14ac:dyDescent="0.3">
      <c r="A446" s="1"/>
      <c r="B446" s="188"/>
      <c r="C446" s="207"/>
      <c r="D446" s="1"/>
      <c r="E446" s="1"/>
      <c r="F446" s="188"/>
    </row>
    <row r="447" spans="1:6" ht="14.25" customHeight="1" x14ac:dyDescent="0.3">
      <c r="A447" s="1"/>
      <c r="B447" s="188"/>
      <c r="C447" s="207"/>
      <c r="D447" s="1"/>
      <c r="E447" s="1"/>
      <c r="F447" s="188"/>
    </row>
    <row r="448" spans="1:6" ht="14.25" customHeight="1" x14ac:dyDescent="0.3">
      <c r="A448" s="1"/>
      <c r="B448" s="188"/>
      <c r="C448" s="207"/>
      <c r="D448" s="1"/>
      <c r="E448" s="1"/>
      <c r="F448" s="188"/>
    </row>
    <row r="449" spans="1:6" ht="14.25" customHeight="1" x14ac:dyDescent="0.3">
      <c r="A449" s="1"/>
      <c r="B449" s="188"/>
      <c r="C449" s="207"/>
      <c r="D449" s="1"/>
      <c r="E449" s="1"/>
      <c r="F449" s="188"/>
    </row>
    <row r="450" spans="1:6" ht="14.25" customHeight="1" x14ac:dyDescent="0.3">
      <c r="A450" s="1"/>
      <c r="B450" s="188"/>
      <c r="C450" s="207"/>
      <c r="D450" s="1"/>
      <c r="E450" s="1"/>
      <c r="F450" s="188"/>
    </row>
    <row r="451" spans="1:6" ht="14.25" customHeight="1" x14ac:dyDescent="0.3">
      <c r="A451" s="1"/>
      <c r="B451" s="188"/>
      <c r="C451" s="207"/>
      <c r="D451" s="1"/>
      <c r="E451" s="1"/>
      <c r="F451" s="188"/>
    </row>
    <row r="452" spans="1:6" ht="14.25" customHeight="1" x14ac:dyDescent="0.3">
      <c r="A452" s="1"/>
      <c r="B452" s="188"/>
      <c r="C452" s="207"/>
      <c r="D452" s="1"/>
      <c r="E452" s="1"/>
      <c r="F452" s="188"/>
    </row>
    <row r="453" spans="1:6" ht="14.25" customHeight="1" x14ac:dyDescent="0.3">
      <c r="A453" s="1"/>
      <c r="B453" s="188"/>
      <c r="C453" s="207"/>
      <c r="D453" s="1"/>
      <c r="E453" s="1"/>
      <c r="F453" s="188"/>
    </row>
    <row r="454" spans="1:6" ht="14.25" customHeight="1" x14ac:dyDescent="0.3">
      <c r="A454" s="1"/>
      <c r="B454" s="188"/>
      <c r="C454" s="207"/>
      <c r="D454" s="1"/>
      <c r="E454" s="1"/>
      <c r="F454" s="188"/>
    </row>
    <row r="455" spans="1:6" ht="14.25" customHeight="1" x14ac:dyDescent="0.3">
      <c r="A455" s="1"/>
      <c r="B455" s="188"/>
      <c r="C455" s="207"/>
      <c r="D455" s="1"/>
      <c r="E455" s="1"/>
      <c r="F455" s="188"/>
    </row>
    <row r="456" spans="1:6" ht="14.25" customHeight="1" x14ac:dyDescent="0.3">
      <c r="A456" s="1"/>
      <c r="B456" s="188"/>
      <c r="C456" s="207"/>
      <c r="D456" s="1"/>
      <c r="E456" s="1"/>
      <c r="F456" s="188"/>
    </row>
    <row r="457" spans="1:6" ht="14.25" customHeight="1" x14ac:dyDescent="0.3">
      <c r="A457" s="1"/>
      <c r="B457" s="188"/>
      <c r="C457" s="207"/>
      <c r="D457" s="1"/>
      <c r="E457" s="1"/>
      <c r="F457" s="188"/>
    </row>
    <row r="458" spans="1:6" ht="14.25" customHeight="1" x14ac:dyDescent="0.3">
      <c r="A458" s="1"/>
      <c r="B458" s="188"/>
      <c r="C458" s="207"/>
      <c r="D458" s="1"/>
      <c r="E458" s="1"/>
      <c r="F458" s="188"/>
    </row>
    <row r="459" spans="1:6" ht="14.25" customHeight="1" x14ac:dyDescent="0.3">
      <c r="A459" s="1"/>
      <c r="B459" s="188"/>
      <c r="C459" s="207"/>
      <c r="D459" s="1"/>
      <c r="E459" s="1"/>
      <c r="F459" s="188"/>
    </row>
    <row r="460" spans="1:6" ht="14.25" customHeight="1" x14ac:dyDescent="0.3">
      <c r="A460" s="1"/>
      <c r="B460" s="188"/>
      <c r="C460" s="207"/>
      <c r="D460" s="1"/>
      <c r="E460" s="1"/>
      <c r="F460" s="188"/>
    </row>
    <row r="461" spans="1:6" ht="14.25" customHeight="1" x14ac:dyDescent="0.3">
      <c r="A461" s="1"/>
      <c r="B461" s="188"/>
      <c r="C461" s="207"/>
      <c r="D461" s="1"/>
      <c r="E461" s="1"/>
      <c r="F461" s="188"/>
    </row>
    <row r="462" spans="1:6" ht="14.25" customHeight="1" x14ac:dyDescent="0.3">
      <c r="A462" s="1"/>
      <c r="B462" s="188"/>
      <c r="C462" s="207"/>
      <c r="D462" s="1"/>
      <c r="E462" s="1"/>
      <c r="F462" s="188"/>
    </row>
    <row r="463" spans="1:6" ht="14.25" customHeight="1" x14ac:dyDescent="0.3">
      <c r="A463" s="1"/>
      <c r="B463" s="188"/>
      <c r="C463" s="207"/>
      <c r="D463" s="1"/>
      <c r="E463" s="1"/>
      <c r="F463" s="188"/>
    </row>
    <row r="464" spans="1:6" ht="14.25" customHeight="1" x14ac:dyDescent="0.3">
      <c r="A464" s="1"/>
      <c r="B464" s="188"/>
      <c r="C464" s="207"/>
      <c r="D464" s="1"/>
      <c r="E464" s="1"/>
      <c r="F464" s="188"/>
    </row>
    <row r="465" spans="1:6" ht="14.25" customHeight="1" x14ac:dyDescent="0.3">
      <c r="A465" s="1"/>
      <c r="B465" s="188"/>
      <c r="C465" s="207"/>
      <c r="D465" s="1"/>
      <c r="E465" s="1"/>
      <c r="F465" s="188"/>
    </row>
    <row r="466" spans="1:6" ht="14.25" customHeight="1" x14ac:dyDescent="0.3">
      <c r="A466" s="1"/>
      <c r="B466" s="188"/>
      <c r="C466" s="207"/>
      <c r="D466" s="1"/>
      <c r="E466" s="1"/>
      <c r="F466" s="188"/>
    </row>
    <row r="467" spans="1:6" ht="14.25" customHeight="1" x14ac:dyDescent="0.3">
      <c r="A467" s="1"/>
      <c r="B467" s="188"/>
      <c r="C467" s="207"/>
      <c r="D467" s="1"/>
      <c r="E467" s="1"/>
      <c r="F467" s="188"/>
    </row>
    <row r="468" spans="1:6" ht="14.25" customHeight="1" x14ac:dyDescent="0.3">
      <c r="A468" s="1"/>
      <c r="B468" s="188"/>
      <c r="C468" s="207"/>
      <c r="D468" s="1"/>
      <c r="E468" s="1"/>
      <c r="F468" s="188"/>
    </row>
    <row r="469" spans="1:6" ht="14.25" customHeight="1" x14ac:dyDescent="0.3">
      <c r="A469" s="1"/>
      <c r="B469" s="188"/>
      <c r="C469" s="207"/>
      <c r="D469" s="1"/>
      <c r="E469" s="1"/>
      <c r="F469" s="188"/>
    </row>
    <row r="470" spans="1:6" ht="14.25" customHeight="1" x14ac:dyDescent="0.3">
      <c r="A470" s="1"/>
      <c r="B470" s="188"/>
      <c r="C470" s="207"/>
      <c r="D470" s="1"/>
      <c r="E470" s="1"/>
      <c r="F470" s="188"/>
    </row>
    <row r="471" spans="1:6" ht="14.25" customHeight="1" x14ac:dyDescent="0.3">
      <c r="A471" s="1"/>
      <c r="B471" s="188"/>
      <c r="C471" s="207"/>
      <c r="D471" s="1"/>
      <c r="E471" s="1"/>
      <c r="F471" s="188"/>
    </row>
    <row r="472" spans="1:6" ht="14.25" customHeight="1" x14ac:dyDescent="0.3">
      <c r="A472" s="1"/>
      <c r="B472" s="188"/>
      <c r="C472" s="207"/>
      <c r="D472" s="1"/>
      <c r="E472" s="1"/>
      <c r="F472" s="188"/>
    </row>
    <row r="473" spans="1:6" ht="14.25" customHeight="1" x14ac:dyDescent="0.3">
      <c r="A473" s="1"/>
      <c r="B473" s="188"/>
      <c r="C473" s="207"/>
      <c r="D473" s="1"/>
      <c r="E473" s="1"/>
      <c r="F473" s="188"/>
    </row>
    <row r="474" spans="1:6" ht="14.25" customHeight="1" x14ac:dyDescent="0.3">
      <c r="A474" s="1"/>
      <c r="B474" s="188"/>
      <c r="C474" s="207"/>
      <c r="D474" s="1"/>
      <c r="E474" s="1"/>
      <c r="F474" s="188"/>
    </row>
    <row r="475" spans="1:6" ht="14.25" customHeight="1" x14ac:dyDescent="0.3">
      <c r="A475" s="1"/>
      <c r="B475" s="188"/>
      <c r="C475" s="207"/>
      <c r="D475" s="1"/>
      <c r="E475" s="1"/>
      <c r="F475" s="188"/>
    </row>
    <row r="476" spans="1:6" ht="14.25" customHeight="1" x14ac:dyDescent="0.3">
      <c r="A476" s="1"/>
      <c r="B476" s="188"/>
      <c r="C476" s="207"/>
      <c r="D476" s="1"/>
      <c r="E476" s="1"/>
      <c r="F476" s="188"/>
    </row>
    <row r="477" spans="1:6" ht="14.25" customHeight="1" x14ac:dyDescent="0.3">
      <c r="A477" s="1"/>
      <c r="B477" s="188"/>
      <c r="C477" s="207"/>
      <c r="D477" s="1"/>
      <c r="E477" s="1"/>
      <c r="F477" s="188"/>
    </row>
    <row r="478" spans="1:6" ht="14.25" customHeight="1" x14ac:dyDescent="0.3">
      <c r="A478" s="1"/>
      <c r="B478" s="188"/>
      <c r="C478" s="207"/>
      <c r="D478" s="1"/>
      <c r="E478" s="1"/>
      <c r="F478" s="188"/>
    </row>
    <row r="479" spans="1:6" ht="14.25" customHeight="1" x14ac:dyDescent="0.3">
      <c r="A479" s="1"/>
      <c r="B479" s="188"/>
      <c r="C479" s="207"/>
      <c r="D479" s="1"/>
      <c r="E479" s="1"/>
      <c r="F479" s="188"/>
    </row>
    <row r="480" spans="1:6" ht="14.25" customHeight="1" x14ac:dyDescent="0.3">
      <c r="A480" s="1"/>
      <c r="B480" s="188"/>
      <c r="C480" s="207"/>
      <c r="D480" s="1"/>
      <c r="E480" s="1"/>
      <c r="F480" s="188"/>
    </row>
    <row r="481" spans="1:6" ht="14.25" customHeight="1" x14ac:dyDescent="0.3">
      <c r="A481" s="1"/>
      <c r="B481" s="188"/>
      <c r="C481" s="207"/>
      <c r="D481" s="1"/>
      <c r="E481" s="1"/>
      <c r="F481" s="188"/>
    </row>
    <row r="482" spans="1:6" ht="14.25" customHeight="1" x14ac:dyDescent="0.3">
      <c r="A482" s="1"/>
      <c r="B482" s="188"/>
      <c r="C482" s="207"/>
      <c r="D482" s="1"/>
      <c r="E482" s="1"/>
      <c r="F482" s="188"/>
    </row>
    <row r="483" spans="1:6" ht="14.25" customHeight="1" x14ac:dyDescent="0.3">
      <c r="A483" s="1"/>
      <c r="B483" s="188"/>
      <c r="C483" s="207"/>
      <c r="D483" s="1"/>
      <c r="E483" s="1"/>
      <c r="F483" s="188"/>
    </row>
    <row r="484" spans="1:6" ht="14.25" customHeight="1" x14ac:dyDescent="0.3">
      <c r="A484" s="1"/>
      <c r="B484" s="188"/>
      <c r="C484" s="207"/>
      <c r="D484" s="1"/>
      <c r="E484" s="1"/>
      <c r="F484" s="188"/>
    </row>
    <row r="485" spans="1:6" ht="14.25" customHeight="1" x14ac:dyDescent="0.3">
      <c r="A485" s="1"/>
      <c r="B485" s="188"/>
      <c r="C485" s="207"/>
      <c r="D485" s="1"/>
      <c r="E485" s="1"/>
      <c r="F485" s="188"/>
    </row>
    <row r="486" spans="1:6" ht="14.25" customHeight="1" x14ac:dyDescent="0.3">
      <c r="A486" s="1"/>
      <c r="B486" s="188"/>
      <c r="C486" s="207"/>
      <c r="D486" s="1"/>
      <c r="E486" s="1"/>
      <c r="F486" s="188"/>
    </row>
    <row r="487" spans="1:6" ht="14.25" customHeight="1" x14ac:dyDescent="0.3">
      <c r="A487" s="1"/>
      <c r="B487" s="188"/>
      <c r="C487" s="207"/>
      <c r="D487" s="1"/>
      <c r="E487" s="1"/>
      <c r="F487" s="188"/>
    </row>
    <row r="488" spans="1:6" ht="14.25" customHeight="1" x14ac:dyDescent="0.3">
      <c r="A488" s="1"/>
      <c r="B488" s="188"/>
      <c r="C488" s="207"/>
      <c r="D488" s="1"/>
      <c r="E488" s="1"/>
      <c r="F488" s="188"/>
    </row>
    <row r="489" spans="1:6" ht="14.25" customHeight="1" x14ac:dyDescent="0.3">
      <c r="A489" s="1"/>
      <c r="B489" s="188"/>
      <c r="C489" s="207"/>
      <c r="D489" s="1"/>
      <c r="E489" s="1"/>
      <c r="F489" s="188"/>
    </row>
    <row r="490" spans="1:6" ht="14.25" customHeight="1" x14ac:dyDescent="0.3">
      <c r="A490" s="1"/>
      <c r="B490" s="188"/>
      <c r="C490" s="207"/>
      <c r="D490" s="1"/>
      <c r="E490" s="1"/>
      <c r="F490" s="188"/>
    </row>
    <row r="491" spans="1:6" ht="14.25" customHeight="1" x14ac:dyDescent="0.3">
      <c r="A491" s="1"/>
      <c r="B491" s="188"/>
      <c r="C491" s="207"/>
      <c r="D491" s="1"/>
      <c r="E491" s="1"/>
      <c r="F491" s="188"/>
    </row>
    <row r="492" spans="1:6" ht="14.25" customHeight="1" x14ac:dyDescent="0.3">
      <c r="A492" s="1"/>
      <c r="B492" s="188"/>
      <c r="C492" s="207"/>
      <c r="D492" s="1"/>
      <c r="E492" s="1"/>
      <c r="F492" s="188"/>
    </row>
    <row r="493" spans="1:6" ht="14.25" customHeight="1" x14ac:dyDescent="0.3">
      <c r="A493" s="1"/>
      <c r="B493" s="188"/>
      <c r="C493" s="207"/>
      <c r="D493" s="1"/>
      <c r="E493" s="1"/>
      <c r="F493" s="188"/>
    </row>
    <row r="494" spans="1:6" ht="14.25" customHeight="1" x14ac:dyDescent="0.3">
      <c r="A494" s="1"/>
      <c r="B494" s="188"/>
      <c r="C494" s="207"/>
      <c r="D494" s="1"/>
      <c r="E494" s="1"/>
      <c r="F494" s="188"/>
    </row>
    <row r="495" spans="1:6" ht="14.25" customHeight="1" x14ac:dyDescent="0.3">
      <c r="A495" s="1"/>
      <c r="B495" s="188"/>
      <c r="C495" s="207"/>
      <c r="D495" s="1"/>
      <c r="E495" s="1"/>
      <c r="F495" s="188"/>
    </row>
    <row r="496" spans="1:6" ht="14.25" customHeight="1" x14ac:dyDescent="0.3">
      <c r="A496" s="1"/>
      <c r="B496" s="188"/>
      <c r="C496" s="207"/>
      <c r="D496" s="1"/>
      <c r="E496" s="1"/>
      <c r="F496" s="188"/>
    </row>
    <row r="497" spans="1:6" ht="14.25" customHeight="1" x14ac:dyDescent="0.3">
      <c r="A497" s="1"/>
      <c r="B497" s="188"/>
      <c r="C497" s="207"/>
      <c r="D497" s="1"/>
      <c r="E497" s="1"/>
      <c r="F497" s="188"/>
    </row>
    <row r="498" spans="1:6" ht="14.25" customHeight="1" x14ac:dyDescent="0.3">
      <c r="A498" s="1"/>
      <c r="B498" s="188"/>
      <c r="C498" s="207"/>
      <c r="D498" s="1"/>
      <c r="E498" s="1"/>
      <c r="F498" s="188"/>
    </row>
    <row r="499" spans="1:6" ht="14.25" customHeight="1" x14ac:dyDescent="0.3">
      <c r="A499" s="1"/>
      <c r="B499" s="188"/>
      <c r="C499" s="207"/>
      <c r="D499" s="1"/>
      <c r="E499" s="1"/>
      <c r="F499" s="188"/>
    </row>
    <row r="500" spans="1:6" ht="14.25" customHeight="1" x14ac:dyDescent="0.3">
      <c r="A500" s="1"/>
      <c r="B500" s="188"/>
      <c r="C500" s="207"/>
      <c r="D500" s="1"/>
      <c r="E500" s="1"/>
      <c r="F500" s="188"/>
    </row>
    <row r="501" spans="1:6" ht="14.25" customHeight="1" x14ac:dyDescent="0.3">
      <c r="A501" s="1"/>
      <c r="B501" s="188"/>
      <c r="C501" s="207"/>
      <c r="D501" s="1"/>
      <c r="E501" s="1"/>
      <c r="F501" s="188"/>
    </row>
    <row r="502" spans="1:6" ht="14.25" customHeight="1" x14ac:dyDescent="0.3">
      <c r="A502" s="1"/>
      <c r="B502" s="188"/>
      <c r="C502" s="207"/>
      <c r="D502" s="1"/>
      <c r="E502" s="1"/>
      <c r="F502" s="188"/>
    </row>
    <row r="503" spans="1:6" ht="14.25" customHeight="1" x14ac:dyDescent="0.3">
      <c r="A503" s="1"/>
      <c r="B503" s="188"/>
      <c r="C503" s="207"/>
      <c r="D503" s="1"/>
      <c r="E503" s="1"/>
      <c r="F503" s="188"/>
    </row>
    <row r="504" spans="1:6" ht="14.25" customHeight="1" x14ac:dyDescent="0.3">
      <c r="A504" s="1"/>
      <c r="B504" s="188"/>
      <c r="C504" s="207"/>
      <c r="D504" s="1"/>
      <c r="E504" s="1"/>
      <c r="F504" s="188"/>
    </row>
    <row r="505" spans="1:6" ht="14.25" customHeight="1" x14ac:dyDescent="0.3">
      <c r="A505" s="1"/>
      <c r="B505" s="188"/>
      <c r="C505" s="207"/>
      <c r="D505" s="1"/>
      <c r="E505" s="1"/>
      <c r="F505" s="188"/>
    </row>
    <row r="506" spans="1:6" ht="14.25" customHeight="1" x14ac:dyDescent="0.3">
      <c r="A506" s="1"/>
      <c r="B506" s="188"/>
      <c r="C506" s="207"/>
      <c r="D506" s="1"/>
      <c r="E506" s="1"/>
      <c r="F506" s="188"/>
    </row>
    <row r="507" spans="1:6" ht="14.25" customHeight="1" x14ac:dyDescent="0.3">
      <c r="A507" s="1"/>
      <c r="B507" s="188"/>
      <c r="C507" s="207"/>
      <c r="D507" s="1"/>
      <c r="E507" s="1"/>
      <c r="F507" s="188"/>
    </row>
    <row r="508" spans="1:6" ht="14.25" customHeight="1" x14ac:dyDescent="0.3">
      <c r="A508" s="1"/>
      <c r="B508" s="188"/>
      <c r="C508" s="207"/>
      <c r="D508" s="1"/>
      <c r="E508" s="1"/>
      <c r="F508" s="188"/>
    </row>
    <row r="509" spans="1:6" ht="14.25" customHeight="1" x14ac:dyDescent="0.3">
      <c r="A509" s="1"/>
      <c r="B509" s="188"/>
      <c r="C509" s="207"/>
      <c r="D509" s="1"/>
      <c r="E509" s="1"/>
      <c r="F509" s="188"/>
    </row>
    <row r="510" spans="1:6" ht="14.25" customHeight="1" x14ac:dyDescent="0.3">
      <c r="A510" s="1"/>
      <c r="B510" s="188"/>
      <c r="C510" s="207"/>
      <c r="D510" s="1"/>
      <c r="E510" s="1"/>
      <c r="F510" s="188"/>
    </row>
    <row r="511" spans="1:6" ht="14.25" customHeight="1" x14ac:dyDescent="0.3">
      <c r="A511" s="1"/>
      <c r="B511" s="188"/>
      <c r="C511" s="207"/>
      <c r="D511" s="1"/>
      <c r="E511" s="1"/>
      <c r="F511" s="188"/>
    </row>
    <row r="512" spans="1:6" ht="14.25" customHeight="1" x14ac:dyDescent="0.3">
      <c r="A512" s="1"/>
      <c r="B512" s="188"/>
      <c r="C512" s="207"/>
      <c r="D512" s="1"/>
      <c r="E512" s="1"/>
      <c r="F512" s="188"/>
    </row>
    <row r="513" spans="1:6" ht="14.25" customHeight="1" x14ac:dyDescent="0.3">
      <c r="A513" s="1"/>
      <c r="B513" s="188"/>
      <c r="C513" s="207"/>
      <c r="D513" s="1"/>
      <c r="E513" s="1"/>
      <c r="F513" s="188"/>
    </row>
    <row r="514" spans="1:6" ht="14.25" customHeight="1" x14ac:dyDescent="0.3">
      <c r="A514" s="1"/>
      <c r="B514" s="188"/>
      <c r="C514" s="207"/>
      <c r="D514" s="1"/>
      <c r="E514" s="1"/>
      <c r="F514" s="188"/>
    </row>
    <row r="515" spans="1:6" ht="14.25" customHeight="1" x14ac:dyDescent="0.3">
      <c r="A515" s="1"/>
      <c r="B515" s="188"/>
      <c r="C515" s="207"/>
      <c r="D515" s="1"/>
      <c r="E515" s="1"/>
      <c r="F515" s="188"/>
    </row>
    <row r="516" spans="1:6" ht="14.25" customHeight="1" x14ac:dyDescent="0.3">
      <c r="A516" s="1"/>
      <c r="B516" s="188"/>
      <c r="C516" s="207"/>
      <c r="D516" s="1"/>
      <c r="E516" s="1"/>
      <c r="F516" s="188"/>
    </row>
    <row r="517" spans="1:6" ht="14.25" customHeight="1" x14ac:dyDescent="0.3">
      <c r="A517" s="1"/>
      <c r="B517" s="188"/>
      <c r="C517" s="207"/>
      <c r="D517" s="1"/>
      <c r="E517" s="1"/>
      <c r="F517" s="188"/>
    </row>
    <row r="518" spans="1:6" ht="14.25" customHeight="1" x14ac:dyDescent="0.3">
      <c r="A518" s="1"/>
      <c r="B518" s="188"/>
      <c r="C518" s="207"/>
      <c r="D518" s="1"/>
      <c r="E518" s="1"/>
      <c r="F518" s="188"/>
    </row>
    <row r="519" spans="1:6" ht="14.25" customHeight="1" x14ac:dyDescent="0.3">
      <c r="A519" s="1"/>
      <c r="B519" s="188"/>
      <c r="C519" s="207"/>
      <c r="D519" s="1"/>
      <c r="E519" s="1"/>
      <c r="F519" s="188"/>
    </row>
    <row r="520" spans="1:6" ht="14.25" customHeight="1" x14ac:dyDescent="0.3">
      <c r="A520" s="1"/>
      <c r="B520" s="188"/>
      <c r="C520" s="207"/>
      <c r="D520" s="1"/>
      <c r="E520" s="1"/>
      <c r="F520" s="188"/>
    </row>
    <row r="521" spans="1:6" ht="14.25" customHeight="1" x14ac:dyDescent="0.3">
      <c r="A521" s="1"/>
      <c r="B521" s="188"/>
      <c r="C521" s="207"/>
      <c r="D521" s="1"/>
      <c r="E521" s="1"/>
      <c r="F521" s="188"/>
    </row>
    <row r="522" spans="1:6" ht="14.25" customHeight="1" x14ac:dyDescent="0.3">
      <c r="A522" s="1"/>
      <c r="B522" s="188"/>
      <c r="C522" s="207"/>
      <c r="D522" s="1"/>
      <c r="E522" s="1"/>
      <c r="F522" s="188"/>
    </row>
    <row r="523" spans="1:6" ht="14.25" customHeight="1" x14ac:dyDescent="0.3">
      <c r="A523" s="1"/>
      <c r="B523" s="188"/>
      <c r="C523" s="207"/>
      <c r="D523" s="1"/>
      <c r="E523" s="1"/>
      <c r="F523" s="188"/>
    </row>
    <row r="524" spans="1:6" ht="14.25" customHeight="1" x14ac:dyDescent="0.3">
      <c r="A524" s="1"/>
      <c r="B524" s="188"/>
      <c r="C524" s="207"/>
      <c r="D524" s="1"/>
      <c r="E524" s="1"/>
      <c r="F524" s="188"/>
    </row>
    <row r="525" spans="1:6" ht="14.25" customHeight="1" x14ac:dyDescent="0.3">
      <c r="A525" s="1"/>
      <c r="B525" s="188"/>
      <c r="C525" s="207"/>
      <c r="D525" s="1"/>
      <c r="E525" s="1"/>
      <c r="F525" s="188"/>
    </row>
    <row r="526" spans="1:6" ht="14.25" customHeight="1" x14ac:dyDescent="0.3">
      <c r="A526" s="1"/>
      <c r="B526" s="188"/>
      <c r="C526" s="207"/>
      <c r="D526" s="1"/>
      <c r="E526" s="1"/>
      <c r="F526" s="188"/>
    </row>
    <row r="527" spans="1:6" ht="14.25" customHeight="1" x14ac:dyDescent="0.3">
      <c r="A527" s="1"/>
      <c r="B527" s="188"/>
      <c r="C527" s="207"/>
      <c r="D527" s="1"/>
      <c r="E527" s="1"/>
      <c r="F527" s="188"/>
    </row>
    <row r="528" spans="1:6" ht="14.25" customHeight="1" x14ac:dyDescent="0.3">
      <c r="A528" s="1"/>
      <c r="B528" s="188"/>
      <c r="C528" s="207"/>
      <c r="D528" s="1"/>
      <c r="E528" s="1"/>
      <c r="F528" s="188"/>
    </row>
    <row r="529" spans="1:6" ht="14.25" customHeight="1" x14ac:dyDescent="0.3">
      <c r="A529" s="1"/>
      <c r="B529" s="188"/>
      <c r="C529" s="207"/>
      <c r="D529" s="1"/>
      <c r="E529" s="1"/>
      <c r="F529" s="188"/>
    </row>
    <row r="530" spans="1:6" ht="14.25" customHeight="1" x14ac:dyDescent="0.3">
      <c r="A530" s="1"/>
      <c r="B530" s="188"/>
      <c r="C530" s="207"/>
      <c r="D530" s="1"/>
      <c r="E530" s="1"/>
      <c r="F530" s="188"/>
    </row>
    <row r="531" spans="1:6" ht="14.25" customHeight="1" x14ac:dyDescent="0.3">
      <c r="A531" s="1"/>
      <c r="B531" s="188"/>
      <c r="C531" s="207"/>
      <c r="D531" s="1"/>
      <c r="E531" s="1"/>
      <c r="F531" s="188"/>
    </row>
    <row r="532" spans="1:6" ht="14.25" customHeight="1" x14ac:dyDescent="0.3">
      <c r="A532" s="1"/>
      <c r="B532" s="188"/>
      <c r="C532" s="207"/>
      <c r="D532" s="1"/>
      <c r="E532" s="1"/>
      <c r="F532" s="188"/>
    </row>
    <row r="533" spans="1:6" ht="14.25" customHeight="1" x14ac:dyDescent="0.3">
      <c r="A533" s="1"/>
      <c r="B533" s="188"/>
      <c r="C533" s="207"/>
      <c r="D533" s="1"/>
      <c r="E533" s="1"/>
      <c r="F533" s="188"/>
    </row>
    <row r="534" spans="1:6" ht="14.25" customHeight="1" x14ac:dyDescent="0.3">
      <c r="A534" s="1"/>
      <c r="B534" s="188"/>
      <c r="C534" s="207"/>
      <c r="D534" s="1"/>
      <c r="E534" s="1"/>
      <c r="F534" s="188"/>
    </row>
    <row r="535" spans="1:6" ht="14.25" customHeight="1" x14ac:dyDescent="0.3">
      <c r="A535" s="1"/>
      <c r="B535" s="188"/>
      <c r="C535" s="207"/>
      <c r="D535" s="1"/>
      <c r="E535" s="1"/>
      <c r="F535" s="188"/>
    </row>
    <row r="536" spans="1:6" ht="14.25" customHeight="1" x14ac:dyDescent="0.3">
      <c r="A536" s="1"/>
      <c r="B536" s="188"/>
      <c r="C536" s="207"/>
      <c r="D536" s="1"/>
      <c r="E536" s="1"/>
      <c r="F536" s="188"/>
    </row>
    <row r="537" spans="1:6" ht="14.25" customHeight="1" x14ac:dyDescent="0.3">
      <c r="A537" s="1"/>
      <c r="B537" s="188"/>
      <c r="C537" s="207"/>
      <c r="D537" s="1"/>
      <c r="E537" s="1"/>
      <c r="F537" s="188"/>
    </row>
    <row r="538" spans="1:6" ht="14.25" customHeight="1" x14ac:dyDescent="0.3">
      <c r="A538" s="1"/>
      <c r="B538" s="188"/>
      <c r="C538" s="207"/>
      <c r="D538" s="1"/>
      <c r="E538" s="1"/>
      <c r="F538" s="188"/>
    </row>
    <row r="539" spans="1:6" ht="14.25" customHeight="1" x14ac:dyDescent="0.3">
      <c r="A539" s="1"/>
      <c r="B539" s="188"/>
      <c r="C539" s="207"/>
      <c r="D539" s="1"/>
      <c r="E539" s="1"/>
      <c r="F539" s="188"/>
    </row>
    <row r="540" spans="1:6" ht="14.25" customHeight="1" x14ac:dyDescent="0.3">
      <c r="A540" s="1"/>
      <c r="B540" s="188"/>
      <c r="C540" s="207"/>
      <c r="D540" s="1"/>
      <c r="E540" s="1"/>
      <c r="F540" s="188"/>
    </row>
    <row r="541" spans="1:6" ht="14.25" customHeight="1" x14ac:dyDescent="0.3">
      <c r="A541" s="1"/>
      <c r="B541" s="188"/>
      <c r="C541" s="207"/>
      <c r="D541" s="1"/>
      <c r="E541" s="1"/>
      <c r="F541" s="188"/>
    </row>
    <row r="542" spans="1:6" ht="14.25" customHeight="1" x14ac:dyDescent="0.3">
      <c r="A542" s="1"/>
      <c r="B542" s="188"/>
      <c r="C542" s="207"/>
      <c r="D542" s="1"/>
      <c r="E542" s="1"/>
      <c r="F542" s="188"/>
    </row>
    <row r="543" spans="1:6" ht="14.25" customHeight="1" x14ac:dyDescent="0.3">
      <c r="A543" s="1"/>
      <c r="B543" s="188"/>
      <c r="C543" s="207"/>
      <c r="D543" s="1"/>
      <c r="E543" s="1"/>
      <c r="F543" s="188"/>
    </row>
    <row r="544" spans="1:6" ht="14.25" customHeight="1" x14ac:dyDescent="0.3">
      <c r="A544" s="1"/>
      <c r="B544" s="188"/>
      <c r="C544" s="207"/>
      <c r="D544" s="1"/>
      <c r="E544" s="1"/>
      <c r="F544" s="188"/>
    </row>
    <row r="545" spans="1:6" ht="14.25" customHeight="1" x14ac:dyDescent="0.3">
      <c r="A545" s="1"/>
      <c r="B545" s="188"/>
      <c r="C545" s="207"/>
      <c r="D545" s="1"/>
      <c r="E545" s="1"/>
      <c r="F545" s="188"/>
    </row>
    <row r="546" spans="1:6" ht="14.25" customHeight="1" x14ac:dyDescent="0.3">
      <c r="A546" s="1"/>
      <c r="B546" s="188"/>
      <c r="C546" s="207"/>
      <c r="D546" s="1"/>
      <c r="E546" s="1"/>
      <c r="F546" s="188"/>
    </row>
    <row r="547" spans="1:6" ht="14.25" customHeight="1" x14ac:dyDescent="0.3">
      <c r="A547" s="1"/>
      <c r="B547" s="188"/>
      <c r="C547" s="207"/>
      <c r="D547" s="1"/>
      <c r="E547" s="1"/>
      <c r="F547" s="188"/>
    </row>
    <row r="548" spans="1:6" ht="14.25" customHeight="1" x14ac:dyDescent="0.3">
      <c r="A548" s="1"/>
      <c r="B548" s="188"/>
      <c r="C548" s="207"/>
      <c r="D548" s="1"/>
      <c r="E548" s="1"/>
      <c r="F548" s="188"/>
    </row>
    <row r="549" spans="1:6" ht="14.25" customHeight="1" x14ac:dyDescent="0.3">
      <c r="A549" s="1"/>
      <c r="B549" s="188"/>
      <c r="C549" s="207"/>
      <c r="D549" s="1"/>
      <c r="E549" s="1"/>
      <c r="F549" s="188"/>
    </row>
    <row r="550" spans="1:6" ht="14.25" customHeight="1" x14ac:dyDescent="0.3">
      <c r="A550" s="1"/>
      <c r="B550" s="188"/>
      <c r="C550" s="207"/>
      <c r="D550" s="1"/>
      <c r="E550" s="1"/>
      <c r="F550" s="188"/>
    </row>
    <row r="551" spans="1:6" ht="14.25" customHeight="1" x14ac:dyDescent="0.3">
      <c r="A551" s="1"/>
      <c r="B551" s="188"/>
      <c r="C551" s="207"/>
      <c r="D551" s="1"/>
      <c r="E551" s="1"/>
      <c r="F551" s="188"/>
    </row>
    <row r="552" spans="1:6" ht="14.25" customHeight="1" x14ac:dyDescent="0.3">
      <c r="A552" s="1"/>
      <c r="B552" s="188"/>
      <c r="C552" s="207"/>
      <c r="D552" s="1"/>
      <c r="E552" s="1"/>
      <c r="F552" s="188"/>
    </row>
    <row r="553" spans="1:6" ht="14.25" customHeight="1" x14ac:dyDescent="0.3">
      <c r="A553" s="1"/>
      <c r="B553" s="188"/>
      <c r="C553" s="207"/>
      <c r="D553" s="1"/>
      <c r="E553" s="1"/>
      <c r="F553" s="188"/>
    </row>
    <row r="554" spans="1:6" ht="14.25" customHeight="1" x14ac:dyDescent="0.3">
      <c r="A554" s="1"/>
      <c r="B554" s="188"/>
      <c r="C554" s="207"/>
      <c r="D554" s="1"/>
      <c r="E554" s="1"/>
      <c r="F554" s="188"/>
    </row>
    <row r="555" spans="1:6" ht="14.25" customHeight="1" x14ac:dyDescent="0.3">
      <c r="A555" s="1"/>
      <c r="B555" s="188"/>
      <c r="C555" s="207"/>
      <c r="D555" s="1"/>
      <c r="E555" s="1"/>
      <c r="F555" s="188"/>
    </row>
    <row r="556" spans="1:6" ht="14.25" customHeight="1" x14ac:dyDescent="0.3">
      <c r="A556" s="1"/>
      <c r="B556" s="188"/>
      <c r="C556" s="207"/>
      <c r="D556" s="1"/>
      <c r="E556" s="1"/>
      <c r="F556" s="188"/>
    </row>
    <row r="557" spans="1:6" ht="14.25" customHeight="1" x14ac:dyDescent="0.3">
      <c r="A557" s="1"/>
      <c r="B557" s="188"/>
      <c r="C557" s="207"/>
      <c r="D557" s="1"/>
      <c r="E557" s="1"/>
      <c r="F557" s="188"/>
    </row>
    <row r="558" spans="1:6" ht="14.25" customHeight="1" x14ac:dyDescent="0.3">
      <c r="A558" s="1"/>
      <c r="B558" s="188"/>
      <c r="C558" s="207"/>
      <c r="D558" s="1"/>
      <c r="E558" s="1"/>
      <c r="F558" s="188"/>
    </row>
    <row r="559" spans="1:6" ht="14.25" customHeight="1" x14ac:dyDescent="0.3">
      <c r="A559" s="1"/>
      <c r="B559" s="188"/>
      <c r="C559" s="207"/>
      <c r="D559" s="1"/>
      <c r="E559" s="1"/>
      <c r="F559" s="188"/>
    </row>
    <row r="560" spans="1:6" ht="14.25" customHeight="1" x14ac:dyDescent="0.3">
      <c r="A560" s="1"/>
      <c r="B560" s="188"/>
      <c r="C560" s="207"/>
      <c r="D560" s="1"/>
      <c r="E560" s="1"/>
      <c r="F560" s="188"/>
    </row>
    <row r="561" spans="1:6" ht="14.25" customHeight="1" x14ac:dyDescent="0.3">
      <c r="A561" s="1"/>
      <c r="B561" s="188"/>
      <c r="C561" s="207"/>
      <c r="D561" s="1"/>
      <c r="E561" s="1"/>
      <c r="F561" s="188"/>
    </row>
    <row r="562" spans="1:6" ht="14.25" customHeight="1" x14ac:dyDescent="0.3">
      <c r="A562" s="1"/>
      <c r="B562" s="188"/>
      <c r="C562" s="207"/>
      <c r="D562" s="1"/>
      <c r="E562" s="1"/>
      <c r="F562" s="188"/>
    </row>
    <row r="563" spans="1:6" ht="14.25" customHeight="1" x14ac:dyDescent="0.3">
      <c r="A563" s="1"/>
      <c r="B563" s="188"/>
      <c r="C563" s="207"/>
      <c r="D563" s="1"/>
      <c r="E563" s="1"/>
      <c r="F563" s="188"/>
    </row>
    <row r="564" spans="1:6" ht="14.25" customHeight="1" x14ac:dyDescent="0.3">
      <c r="A564" s="1"/>
      <c r="B564" s="188"/>
      <c r="C564" s="207"/>
      <c r="D564" s="1"/>
      <c r="E564" s="1"/>
      <c r="F564" s="188"/>
    </row>
    <row r="565" spans="1:6" ht="14.25" customHeight="1" x14ac:dyDescent="0.3">
      <c r="A565" s="1"/>
      <c r="B565" s="188"/>
      <c r="C565" s="207"/>
      <c r="D565" s="1"/>
      <c r="E565" s="1"/>
      <c r="F565" s="188"/>
    </row>
    <row r="566" spans="1:6" ht="14.25" customHeight="1" x14ac:dyDescent="0.3">
      <c r="A566" s="1"/>
      <c r="B566" s="188"/>
      <c r="C566" s="207"/>
      <c r="D566" s="1"/>
      <c r="E566" s="1"/>
      <c r="F566" s="188"/>
    </row>
    <row r="567" spans="1:6" ht="14.25" customHeight="1" x14ac:dyDescent="0.3">
      <c r="A567" s="1"/>
      <c r="B567" s="188"/>
      <c r="C567" s="207"/>
      <c r="D567" s="1"/>
      <c r="E567" s="1"/>
      <c r="F567" s="188"/>
    </row>
    <row r="568" spans="1:6" ht="14.25" customHeight="1" x14ac:dyDescent="0.3">
      <c r="A568" s="1"/>
      <c r="B568" s="188"/>
      <c r="C568" s="207"/>
      <c r="D568" s="1"/>
      <c r="E568" s="1"/>
      <c r="F568" s="188"/>
    </row>
    <row r="569" spans="1:6" ht="14.25" customHeight="1" x14ac:dyDescent="0.3">
      <c r="A569" s="1"/>
      <c r="B569" s="188"/>
      <c r="C569" s="207"/>
      <c r="D569" s="1"/>
      <c r="E569" s="1"/>
      <c r="F569" s="188"/>
    </row>
    <row r="570" spans="1:6" ht="14.25" customHeight="1" x14ac:dyDescent="0.3">
      <c r="A570" s="1"/>
      <c r="B570" s="188"/>
      <c r="C570" s="207"/>
      <c r="D570" s="1"/>
      <c r="E570" s="1"/>
      <c r="F570" s="188"/>
    </row>
    <row r="571" spans="1:6" ht="14.25" customHeight="1" x14ac:dyDescent="0.3">
      <c r="A571" s="1"/>
      <c r="B571" s="188"/>
      <c r="C571" s="207"/>
      <c r="D571" s="1"/>
      <c r="E571" s="1"/>
      <c r="F571" s="188"/>
    </row>
    <row r="572" spans="1:6" ht="14.25" customHeight="1" x14ac:dyDescent="0.3">
      <c r="A572" s="1"/>
      <c r="B572" s="188"/>
      <c r="C572" s="207"/>
      <c r="D572" s="1"/>
      <c r="E572" s="1"/>
      <c r="F572" s="188"/>
    </row>
    <row r="573" spans="1:6" ht="14.25" customHeight="1" x14ac:dyDescent="0.3">
      <c r="A573" s="1"/>
      <c r="B573" s="188"/>
      <c r="C573" s="207"/>
      <c r="D573" s="1"/>
      <c r="E573" s="1"/>
      <c r="F573" s="188"/>
    </row>
    <row r="574" spans="1:6" ht="14.25" customHeight="1" x14ac:dyDescent="0.3">
      <c r="A574" s="1"/>
      <c r="B574" s="188"/>
      <c r="C574" s="207"/>
      <c r="D574" s="1"/>
      <c r="E574" s="1"/>
      <c r="F574" s="188"/>
    </row>
    <row r="575" spans="1:6" ht="14.25" customHeight="1" x14ac:dyDescent="0.3">
      <c r="A575" s="1"/>
      <c r="B575" s="188"/>
      <c r="C575" s="207"/>
      <c r="D575" s="1"/>
      <c r="E575" s="1"/>
      <c r="F575" s="188"/>
    </row>
    <row r="576" spans="1:6" ht="14.25" customHeight="1" x14ac:dyDescent="0.3">
      <c r="A576" s="1"/>
      <c r="B576" s="188"/>
      <c r="C576" s="207"/>
      <c r="D576" s="1"/>
      <c r="E576" s="1"/>
      <c r="F576" s="188"/>
    </row>
    <row r="577" spans="1:6" ht="14.25" customHeight="1" x14ac:dyDescent="0.3">
      <c r="A577" s="1"/>
      <c r="B577" s="188"/>
      <c r="C577" s="207"/>
      <c r="D577" s="1"/>
      <c r="E577" s="1"/>
      <c r="F577" s="188"/>
    </row>
    <row r="578" spans="1:6" ht="14.25" customHeight="1" x14ac:dyDescent="0.3">
      <c r="A578" s="1"/>
      <c r="B578" s="188"/>
      <c r="C578" s="207"/>
      <c r="D578" s="1"/>
      <c r="E578" s="1"/>
      <c r="F578" s="188"/>
    </row>
    <row r="579" spans="1:6" ht="14.25" customHeight="1" x14ac:dyDescent="0.3">
      <c r="A579" s="1"/>
      <c r="B579" s="188"/>
      <c r="C579" s="207"/>
      <c r="D579" s="1"/>
      <c r="E579" s="1"/>
      <c r="F579" s="188"/>
    </row>
    <row r="580" spans="1:6" ht="14.25" customHeight="1" x14ac:dyDescent="0.3">
      <c r="A580" s="1"/>
      <c r="B580" s="188"/>
      <c r="C580" s="207"/>
      <c r="D580" s="1"/>
      <c r="E580" s="1"/>
      <c r="F580" s="188"/>
    </row>
    <row r="581" spans="1:6" ht="14.25" customHeight="1" x14ac:dyDescent="0.3">
      <c r="A581" s="1"/>
      <c r="B581" s="188"/>
      <c r="C581" s="207"/>
      <c r="D581" s="1"/>
      <c r="E581" s="1"/>
      <c r="F581" s="188"/>
    </row>
    <row r="582" spans="1:6" ht="14.25" customHeight="1" x14ac:dyDescent="0.3">
      <c r="A582" s="1"/>
      <c r="B582" s="188"/>
      <c r="C582" s="207"/>
      <c r="D582" s="1"/>
      <c r="E582" s="1"/>
      <c r="F582" s="188"/>
    </row>
    <row r="583" spans="1:6" ht="14.25" customHeight="1" x14ac:dyDescent="0.3">
      <c r="A583" s="1"/>
      <c r="B583" s="188"/>
      <c r="C583" s="207"/>
      <c r="D583" s="1"/>
      <c r="E583" s="1"/>
      <c r="F583" s="188"/>
    </row>
    <row r="584" spans="1:6" ht="14.25" customHeight="1" x14ac:dyDescent="0.3">
      <c r="A584" s="1"/>
      <c r="B584" s="188"/>
      <c r="C584" s="207"/>
      <c r="D584" s="1"/>
      <c r="E584" s="1"/>
      <c r="F584" s="188"/>
    </row>
    <row r="585" spans="1:6" ht="14.25" customHeight="1" x14ac:dyDescent="0.3">
      <c r="A585" s="1"/>
      <c r="B585" s="188"/>
      <c r="C585" s="207"/>
      <c r="D585" s="1"/>
      <c r="E585" s="1"/>
      <c r="F585" s="188"/>
    </row>
    <row r="586" spans="1:6" ht="14.25" customHeight="1" x14ac:dyDescent="0.3">
      <c r="A586" s="1"/>
      <c r="B586" s="188"/>
      <c r="C586" s="207"/>
      <c r="D586" s="1"/>
      <c r="E586" s="1"/>
      <c r="F586" s="188"/>
    </row>
    <row r="587" spans="1:6" ht="14.25" customHeight="1" x14ac:dyDescent="0.3">
      <c r="A587" s="1"/>
      <c r="B587" s="188"/>
      <c r="C587" s="207"/>
      <c r="D587" s="1"/>
      <c r="E587" s="1"/>
      <c r="F587" s="188"/>
    </row>
    <row r="588" spans="1:6" ht="14.25" customHeight="1" x14ac:dyDescent="0.3">
      <c r="A588" s="1"/>
      <c r="B588" s="188"/>
      <c r="C588" s="207"/>
      <c r="D588" s="1"/>
      <c r="E588" s="1"/>
      <c r="F588" s="188"/>
    </row>
    <row r="589" spans="1:6" ht="14.25" customHeight="1" x14ac:dyDescent="0.3">
      <c r="A589" s="1"/>
      <c r="B589" s="188"/>
      <c r="C589" s="207"/>
      <c r="D589" s="1"/>
      <c r="E589" s="1"/>
      <c r="F589" s="188"/>
    </row>
    <row r="590" spans="1:6" ht="14.25" customHeight="1" x14ac:dyDescent="0.3">
      <c r="A590" s="1"/>
      <c r="B590" s="188"/>
      <c r="C590" s="207"/>
      <c r="D590" s="1"/>
      <c r="E590" s="1"/>
      <c r="F590" s="188"/>
    </row>
    <row r="591" spans="1:6" ht="14.25" customHeight="1" x14ac:dyDescent="0.3">
      <c r="A591" s="1"/>
      <c r="B591" s="188"/>
      <c r="C591" s="207"/>
      <c r="D591" s="1"/>
      <c r="E591" s="1"/>
      <c r="F591" s="188"/>
    </row>
    <row r="592" spans="1:6" ht="14.25" customHeight="1" x14ac:dyDescent="0.3">
      <c r="A592" s="1"/>
      <c r="B592" s="188"/>
      <c r="C592" s="207"/>
      <c r="D592" s="1"/>
      <c r="E592" s="1"/>
      <c r="F592" s="188"/>
    </row>
    <row r="593" spans="1:6" ht="14.25" customHeight="1" x14ac:dyDescent="0.3">
      <c r="A593" s="1"/>
      <c r="B593" s="188"/>
      <c r="C593" s="207"/>
      <c r="D593" s="1"/>
      <c r="E593" s="1"/>
      <c r="F593" s="188"/>
    </row>
    <row r="594" spans="1:6" ht="14.25" customHeight="1" x14ac:dyDescent="0.3">
      <c r="A594" s="1"/>
      <c r="B594" s="188"/>
      <c r="C594" s="207"/>
      <c r="D594" s="1"/>
      <c r="E594" s="1"/>
      <c r="F594" s="188"/>
    </row>
    <row r="595" spans="1:6" ht="14.25" customHeight="1" x14ac:dyDescent="0.3">
      <c r="A595" s="1"/>
      <c r="B595" s="188"/>
      <c r="C595" s="207"/>
      <c r="D595" s="1"/>
      <c r="E595" s="1"/>
      <c r="F595" s="188"/>
    </row>
    <row r="596" spans="1:6" ht="14.25" customHeight="1" x14ac:dyDescent="0.3">
      <c r="A596" s="1"/>
      <c r="B596" s="188"/>
      <c r="C596" s="207"/>
      <c r="D596" s="1"/>
      <c r="E596" s="1"/>
      <c r="F596" s="188"/>
    </row>
    <row r="597" spans="1:6" ht="14.25" customHeight="1" x14ac:dyDescent="0.3">
      <c r="A597" s="1"/>
      <c r="B597" s="188"/>
      <c r="C597" s="207"/>
      <c r="D597" s="1"/>
      <c r="E597" s="1"/>
      <c r="F597" s="188"/>
    </row>
    <row r="598" spans="1:6" ht="14.25" customHeight="1" x14ac:dyDescent="0.3">
      <c r="A598" s="1"/>
      <c r="B598" s="188"/>
      <c r="C598" s="207"/>
      <c r="D598" s="1"/>
      <c r="E598" s="1"/>
      <c r="F598" s="188"/>
    </row>
    <row r="599" spans="1:6" ht="14.25" customHeight="1" x14ac:dyDescent="0.3">
      <c r="A599" s="1"/>
      <c r="B599" s="188"/>
      <c r="C599" s="207"/>
      <c r="D599" s="1"/>
      <c r="E599" s="1"/>
      <c r="F599" s="188"/>
    </row>
    <row r="600" spans="1:6" ht="14.25" customHeight="1" x14ac:dyDescent="0.3">
      <c r="A600" s="1"/>
      <c r="B600" s="188"/>
      <c r="C600" s="207"/>
      <c r="D600" s="1"/>
      <c r="E600" s="1"/>
      <c r="F600" s="188"/>
    </row>
    <row r="601" spans="1:6" ht="14.25" customHeight="1" x14ac:dyDescent="0.3">
      <c r="A601" s="1"/>
      <c r="B601" s="188"/>
      <c r="C601" s="207"/>
      <c r="D601" s="1"/>
      <c r="E601" s="1"/>
      <c r="F601" s="188"/>
    </row>
    <row r="602" spans="1:6" ht="14.25" customHeight="1" x14ac:dyDescent="0.3">
      <c r="A602" s="1"/>
      <c r="B602" s="188"/>
      <c r="C602" s="207"/>
      <c r="D602" s="1"/>
      <c r="E602" s="1"/>
      <c r="F602" s="188"/>
    </row>
    <row r="603" spans="1:6" ht="14.25" customHeight="1" x14ac:dyDescent="0.3">
      <c r="A603" s="1"/>
      <c r="B603" s="188"/>
      <c r="C603" s="207"/>
      <c r="D603" s="1"/>
      <c r="E603" s="1"/>
      <c r="F603" s="188"/>
    </row>
    <row r="604" spans="1:6" ht="14.25" customHeight="1" x14ac:dyDescent="0.3">
      <c r="A604" s="1"/>
      <c r="B604" s="188"/>
      <c r="C604" s="207"/>
      <c r="D604" s="1"/>
      <c r="E604" s="1"/>
      <c r="F604" s="188"/>
    </row>
    <row r="605" spans="1:6" ht="14.25" customHeight="1" x14ac:dyDescent="0.3">
      <c r="A605" s="1"/>
      <c r="B605" s="188"/>
      <c r="C605" s="207"/>
      <c r="D605" s="1"/>
      <c r="E605" s="1"/>
      <c r="F605" s="188"/>
    </row>
    <row r="606" spans="1:6" ht="14.25" customHeight="1" x14ac:dyDescent="0.3">
      <c r="A606" s="1"/>
      <c r="B606" s="188"/>
      <c r="C606" s="207"/>
      <c r="D606" s="1"/>
      <c r="E606" s="1"/>
      <c r="F606" s="188"/>
    </row>
    <row r="607" spans="1:6" ht="14.25" customHeight="1" x14ac:dyDescent="0.3">
      <c r="A607" s="1"/>
      <c r="B607" s="188"/>
      <c r="C607" s="207"/>
      <c r="D607" s="1"/>
      <c r="E607" s="1"/>
      <c r="F607" s="188"/>
    </row>
    <row r="608" spans="1:6" ht="14.25" customHeight="1" x14ac:dyDescent="0.3">
      <c r="A608" s="1"/>
      <c r="B608" s="188"/>
      <c r="C608" s="207"/>
      <c r="D608" s="1"/>
      <c r="E608" s="1"/>
      <c r="F608" s="188"/>
    </row>
    <row r="609" spans="1:6" ht="14.25" customHeight="1" x14ac:dyDescent="0.3">
      <c r="A609" s="1"/>
      <c r="B609" s="188"/>
      <c r="C609" s="207"/>
      <c r="D609" s="1"/>
      <c r="E609" s="1"/>
      <c r="F609" s="188"/>
    </row>
    <row r="610" spans="1:6" ht="14.25" customHeight="1" x14ac:dyDescent="0.3">
      <c r="A610" s="1"/>
      <c r="B610" s="188"/>
      <c r="C610" s="207"/>
      <c r="D610" s="1"/>
      <c r="E610" s="1"/>
      <c r="F610" s="188"/>
    </row>
    <row r="611" spans="1:6" ht="14.25" customHeight="1" x14ac:dyDescent="0.3">
      <c r="A611" s="1"/>
      <c r="B611" s="188"/>
      <c r="C611" s="207"/>
      <c r="D611" s="1"/>
      <c r="E611" s="1"/>
      <c r="F611" s="188"/>
    </row>
    <row r="612" spans="1:6" ht="14.25" customHeight="1" x14ac:dyDescent="0.3">
      <c r="A612" s="1"/>
      <c r="B612" s="188"/>
      <c r="C612" s="207"/>
      <c r="D612" s="1"/>
      <c r="E612" s="1"/>
      <c r="F612" s="188"/>
    </row>
    <row r="613" spans="1:6" ht="14.25" customHeight="1" x14ac:dyDescent="0.3">
      <c r="A613" s="1"/>
      <c r="B613" s="188"/>
      <c r="C613" s="207"/>
      <c r="D613" s="1"/>
      <c r="E613" s="1"/>
      <c r="F613" s="188"/>
    </row>
    <row r="614" spans="1:6" ht="14.25" customHeight="1" x14ac:dyDescent="0.3">
      <c r="A614" s="1"/>
      <c r="B614" s="188"/>
      <c r="C614" s="207"/>
      <c r="D614" s="1"/>
      <c r="E614" s="1"/>
      <c r="F614" s="188"/>
    </row>
    <row r="615" spans="1:6" ht="14.25" customHeight="1" x14ac:dyDescent="0.3">
      <c r="A615" s="1"/>
      <c r="B615" s="188"/>
      <c r="C615" s="207"/>
      <c r="D615" s="1"/>
      <c r="E615" s="1"/>
      <c r="F615" s="188"/>
    </row>
    <row r="616" spans="1:6" ht="14.25" customHeight="1" x14ac:dyDescent="0.3">
      <c r="A616" s="1"/>
      <c r="B616" s="188"/>
      <c r="C616" s="207"/>
      <c r="D616" s="1"/>
      <c r="E616" s="1"/>
      <c r="F616" s="188"/>
    </row>
    <row r="617" spans="1:6" ht="14.25" customHeight="1" x14ac:dyDescent="0.3">
      <c r="A617" s="1"/>
      <c r="B617" s="188"/>
      <c r="C617" s="207"/>
      <c r="D617" s="1"/>
      <c r="E617" s="1"/>
      <c r="F617" s="188"/>
    </row>
    <row r="618" spans="1:6" ht="14.25" customHeight="1" x14ac:dyDescent="0.3">
      <c r="A618" s="1"/>
      <c r="B618" s="188"/>
      <c r="C618" s="207"/>
      <c r="D618" s="1"/>
      <c r="E618" s="1"/>
      <c r="F618" s="188"/>
    </row>
    <row r="619" spans="1:6" ht="14.25" customHeight="1" x14ac:dyDescent="0.3">
      <c r="A619" s="1"/>
      <c r="B619" s="188"/>
      <c r="C619" s="207"/>
      <c r="D619" s="1"/>
      <c r="E619" s="1"/>
      <c r="F619" s="188"/>
    </row>
    <row r="620" spans="1:6" ht="14.25" customHeight="1" x14ac:dyDescent="0.3">
      <c r="A620" s="1"/>
      <c r="B620" s="188"/>
      <c r="C620" s="207"/>
      <c r="D620" s="1"/>
      <c r="E620" s="1"/>
      <c r="F620" s="188"/>
    </row>
    <row r="621" spans="1:6" ht="14.25" customHeight="1" x14ac:dyDescent="0.3">
      <c r="A621" s="1"/>
      <c r="B621" s="188"/>
      <c r="C621" s="207"/>
      <c r="D621" s="1"/>
      <c r="E621" s="1"/>
      <c r="F621" s="188"/>
    </row>
    <row r="622" spans="1:6" ht="14.25" customHeight="1" x14ac:dyDescent="0.3">
      <c r="A622" s="1"/>
      <c r="B622" s="188"/>
      <c r="C622" s="207"/>
      <c r="D622" s="1"/>
      <c r="E622" s="1"/>
      <c r="F622" s="188"/>
    </row>
    <row r="623" spans="1:6" ht="14.25" customHeight="1" x14ac:dyDescent="0.3">
      <c r="A623" s="1"/>
      <c r="B623" s="188"/>
      <c r="C623" s="207"/>
      <c r="D623" s="1"/>
      <c r="E623" s="1"/>
      <c r="F623" s="188"/>
    </row>
    <row r="624" spans="1:6" ht="14.25" customHeight="1" x14ac:dyDescent="0.3">
      <c r="A624" s="1"/>
      <c r="B624" s="188"/>
      <c r="C624" s="207"/>
      <c r="D624" s="1"/>
      <c r="E624" s="1"/>
      <c r="F624" s="188"/>
    </row>
    <row r="625" spans="1:6" ht="14.25" customHeight="1" x14ac:dyDescent="0.3">
      <c r="A625" s="1"/>
      <c r="B625" s="188"/>
      <c r="C625" s="207"/>
      <c r="D625" s="1"/>
      <c r="E625" s="1"/>
      <c r="F625" s="188"/>
    </row>
    <row r="626" spans="1:6" ht="14.25" customHeight="1" x14ac:dyDescent="0.3">
      <c r="A626" s="1"/>
      <c r="B626" s="188"/>
      <c r="C626" s="207"/>
      <c r="D626" s="1"/>
      <c r="E626" s="1"/>
      <c r="F626" s="188"/>
    </row>
    <row r="627" spans="1:6" ht="14.25" customHeight="1" x14ac:dyDescent="0.3">
      <c r="A627" s="1"/>
      <c r="B627" s="188"/>
      <c r="C627" s="207"/>
      <c r="D627" s="1"/>
      <c r="E627" s="1"/>
      <c r="F627" s="188"/>
    </row>
    <row r="628" spans="1:6" ht="14.25" customHeight="1" x14ac:dyDescent="0.3">
      <c r="A628" s="1"/>
      <c r="B628" s="188"/>
      <c r="C628" s="207"/>
      <c r="D628" s="1"/>
      <c r="E628" s="1"/>
      <c r="F628" s="188"/>
    </row>
    <row r="629" spans="1:6" ht="14.25" customHeight="1" x14ac:dyDescent="0.3">
      <c r="A629" s="1"/>
      <c r="B629" s="188"/>
      <c r="C629" s="207"/>
      <c r="D629" s="1"/>
      <c r="E629" s="1"/>
      <c r="F629" s="188"/>
    </row>
    <row r="630" spans="1:6" ht="14.25" customHeight="1" x14ac:dyDescent="0.3">
      <c r="A630" s="1"/>
      <c r="B630" s="188"/>
      <c r="C630" s="207"/>
      <c r="D630" s="1"/>
      <c r="E630" s="1"/>
      <c r="F630" s="188"/>
    </row>
    <row r="631" spans="1:6" ht="14.25" customHeight="1" x14ac:dyDescent="0.3">
      <c r="A631" s="1"/>
      <c r="B631" s="188"/>
      <c r="C631" s="207"/>
      <c r="D631" s="1"/>
      <c r="E631" s="1"/>
      <c r="F631" s="188"/>
    </row>
    <row r="632" spans="1:6" ht="14.25" customHeight="1" x14ac:dyDescent="0.3">
      <c r="A632" s="1"/>
      <c r="B632" s="188"/>
      <c r="C632" s="207"/>
      <c r="D632" s="1"/>
      <c r="E632" s="1"/>
      <c r="F632" s="188"/>
    </row>
    <row r="633" spans="1:6" ht="14.25" customHeight="1" x14ac:dyDescent="0.3">
      <c r="A633" s="1"/>
      <c r="B633" s="188"/>
      <c r="C633" s="207"/>
      <c r="D633" s="1"/>
      <c r="E633" s="1"/>
      <c r="F633" s="188"/>
    </row>
    <row r="634" spans="1:6" ht="14.25" customHeight="1" x14ac:dyDescent="0.3">
      <c r="A634" s="1"/>
      <c r="B634" s="188"/>
      <c r="C634" s="207"/>
      <c r="D634" s="1"/>
      <c r="E634" s="1"/>
      <c r="F634" s="188"/>
    </row>
    <row r="635" spans="1:6" ht="14.25" customHeight="1" x14ac:dyDescent="0.3">
      <c r="A635" s="1"/>
      <c r="B635" s="188"/>
      <c r="C635" s="207"/>
      <c r="D635" s="1"/>
      <c r="E635" s="1"/>
      <c r="F635" s="188"/>
    </row>
    <row r="636" spans="1:6" ht="14.25" customHeight="1" x14ac:dyDescent="0.3">
      <c r="A636" s="1"/>
      <c r="B636" s="188"/>
      <c r="C636" s="207"/>
      <c r="D636" s="1"/>
      <c r="E636" s="1"/>
      <c r="F636" s="188"/>
    </row>
    <row r="637" spans="1:6" ht="14.25" customHeight="1" x14ac:dyDescent="0.3">
      <c r="A637" s="1"/>
      <c r="B637" s="188"/>
      <c r="C637" s="207"/>
      <c r="D637" s="1"/>
      <c r="E637" s="1"/>
      <c r="F637" s="188"/>
    </row>
    <row r="638" spans="1:6" ht="14.25" customHeight="1" x14ac:dyDescent="0.3">
      <c r="A638" s="1"/>
      <c r="B638" s="188"/>
      <c r="C638" s="207"/>
      <c r="D638" s="1"/>
      <c r="E638" s="1"/>
      <c r="F638" s="188"/>
    </row>
    <row r="639" spans="1:6" ht="14.25" customHeight="1" x14ac:dyDescent="0.3">
      <c r="A639" s="1"/>
      <c r="B639" s="188"/>
      <c r="C639" s="207"/>
      <c r="D639" s="1"/>
      <c r="E639" s="1"/>
      <c r="F639" s="188"/>
    </row>
    <row r="640" spans="1:6" ht="14.25" customHeight="1" x14ac:dyDescent="0.3">
      <c r="A640" s="1"/>
      <c r="B640" s="188"/>
      <c r="C640" s="207"/>
      <c r="D640" s="1"/>
      <c r="E640" s="1"/>
      <c r="F640" s="188"/>
    </row>
    <row r="641" spans="1:6" ht="14.25" customHeight="1" x14ac:dyDescent="0.3">
      <c r="A641" s="1"/>
      <c r="B641" s="188"/>
      <c r="C641" s="207"/>
      <c r="D641" s="1"/>
      <c r="E641" s="1"/>
      <c r="F641" s="188"/>
    </row>
    <row r="642" spans="1:6" ht="14.25" customHeight="1" x14ac:dyDescent="0.3">
      <c r="A642" s="1"/>
      <c r="B642" s="188"/>
      <c r="C642" s="207"/>
      <c r="D642" s="1"/>
      <c r="E642" s="1"/>
      <c r="F642" s="188"/>
    </row>
    <row r="643" spans="1:6" ht="14.25" customHeight="1" x14ac:dyDescent="0.3">
      <c r="A643" s="1"/>
      <c r="B643" s="188"/>
      <c r="C643" s="207"/>
      <c r="D643" s="1"/>
      <c r="E643" s="1"/>
      <c r="F643" s="188"/>
    </row>
    <row r="644" spans="1:6" ht="14.25" customHeight="1" x14ac:dyDescent="0.3">
      <c r="A644" s="1"/>
      <c r="B644" s="188"/>
      <c r="C644" s="207"/>
      <c r="D644" s="1"/>
      <c r="E644" s="1"/>
      <c r="F644" s="188"/>
    </row>
    <row r="645" spans="1:6" ht="14.25" customHeight="1" x14ac:dyDescent="0.3">
      <c r="A645" s="1"/>
      <c r="B645" s="188"/>
      <c r="C645" s="207"/>
      <c r="D645" s="1"/>
      <c r="E645" s="1"/>
      <c r="F645" s="188"/>
    </row>
    <row r="646" spans="1:6" ht="14.25" customHeight="1" x14ac:dyDescent="0.3">
      <c r="A646" s="1"/>
      <c r="B646" s="188"/>
      <c r="C646" s="207"/>
      <c r="D646" s="1"/>
      <c r="E646" s="1"/>
      <c r="F646" s="188"/>
    </row>
    <row r="647" spans="1:6" ht="14.25" customHeight="1" x14ac:dyDescent="0.3">
      <c r="A647" s="1"/>
      <c r="B647" s="188"/>
      <c r="C647" s="207"/>
      <c r="D647" s="1"/>
      <c r="E647" s="1"/>
      <c r="F647" s="188"/>
    </row>
    <row r="648" spans="1:6" ht="14.25" customHeight="1" x14ac:dyDescent="0.3">
      <c r="A648" s="1"/>
      <c r="B648" s="188"/>
      <c r="C648" s="207"/>
      <c r="D648" s="1"/>
      <c r="E648" s="1"/>
      <c r="F648" s="188"/>
    </row>
    <row r="649" spans="1:6" ht="14.25" customHeight="1" x14ac:dyDescent="0.3">
      <c r="A649" s="1"/>
      <c r="B649" s="188"/>
      <c r="C649" s="207"/>
      <c r="D649" s="1"/>
      <c r="E649" s="1"/>
      <c r="F649" s="188"/>
    </row>
    <row r="650" spans="1:6" ht="14.25" customHeight="1" x14ac:dyDescent="0.3">
      <c r="A650" s="1"/>
      <c r="B650" s="188"/>
      <c r="C650" s="207"/>
      <c r="D650" s="1"/>
      <c r="E650" s="1"/>
      <c r="F650" s="188"/>
    </row>
    <row r="651" spans="1:6" ht="14.25" customHeight="1" x14ac:dyDescent="0.3">
      <c r="A651" s="1"/>
      <c r="B651" s="188"/>
      <c r="C651" s="207"/>
      <c r="D651" s="1"/>
      <c r="E651" s="1"/>
      <c r="F651" s="188"/>
    </row>
    <row r="652" spans="1:6" ht="14.25" customHeight="1" x14ac:dyDescent="0.3">
      <c r="A652" s="1"/>
      <c r="B652" s="188"/>
      <c r="C652" s="207"/>
      <c r="D652" s="1"/>
      <c r="E652" s="1"/>
      <c r="F652" s="188"/>
    </row>
    <row r="653" spans="1:6" ht="14.25" customHeight="1" x14ac:dyDescent="0.3">
      <c r="A653" s="1"/>
      <c r="B653" s="188"/>
      <c r="C653" s="207"/>
      <c r="D653" s="1"/>
      <c r="E653" s="1"/>
      <c r="F653" s="188"/>
    </row>
    <row r="654" spans="1:6" ht="14.25" customHeight="1" x14ac:dyDescent="0.3">
      <c r="A654" s="1"/>
      <c r="B654" s="188"/>
      <c r="C654" s="207"/>
      <c r="D654" s="1"/>
      <c r="E654" s="1"/>
      <c r="F654" s="188"/>
    </row>
    <row r="655" spans="1:6" ht="14.25" customHeight="1" x14ac:dyDescent="0.3">
      <c r="A655" s="1"/>
      <c r="B655" s="188"/>
      <c r="C655" s="207"/>
      <c r="D655" s="1"/>
      <c r="E655" s="1"/>
      <c r="F655" s="188"/>
    </row>
    <row r="656" spans="1:6" ht="14.25" customHeight="1" x14ac:dyDescent="0.3">
      <c r="A656" s="1"/>
      <c r="B656" s="188"/>
      <c r="C656" s="207"/>
      <c r="D656" s="1"/>
      <c r="E656" s="1"/>
      <c r="F656" s="188"/>
    </row>
    <row r="657" spans="1:6" ht="14.25" customHeight="1" x14ac:dyDescent="0.3">
      <c r="A657" s="1"/>
      <c r="B657" s="188"/>
      <c r="C657" s="207"/>
      <c r="D657" s="1"/>
      <c r="E657" s="1"/>
      <c r="F657" s="188"/>
    </row>
    <row r="658" spans="1:6" ht="14.25" customHeight="1" x14ac:dyDescent="0.3">
      <c r="A658" s="1"/>
      <c r="B658" s="188"/>
      <c r="C658" s="207"/>
      <c r="D658" s="1"/>
      <c r="E658" s="1"/>
      <c r="F658" s="188"/>
    </row>
    <row r="659" spans="1:6" ht="14.25" customHeight="1" x14ac:dyDescent="0.3">
      <c r="A659" s="1"/>
      <c r="B659" s="188"/>
      <c r="C659" s="207"/>
      <c r="D659" s="1"/>
      <c r="E659" s="1"/>
      <c r="F659" s="188"/>
    </row>
    <row r="660" spans="1:6" ht="14.25" customHeight="1" x14ac:dyDescent="0.3">
      <c r="A660" s="1"/>
      <c r="B660" s="188"/>
      <c r="C660" s="207"/>
      <c r="D660" s="1"/>
      <c r="E660" s="1"/>
      <c r="F660" s="188"/>
    </row>
    <row r="661" spans="1:6" ht="14.25" customHeight="1" x14ac:dyDescent="0.3">
      <c r="A661" s="1"/>
      <c r="B661" s="188"/>
      <c r="C661" s="207"/>
      <c r="D661" s="1"/>
      <c r="E661" s="1"/>
      <c r="F661" s="188"/>
    </row>
    <row r="662" spans="1:6" ht="14.25" customHeight="1" x14ac:dyDescent="0.3">
      <c r="A662" s="1"/>
      <c r="B662" s="188"/>
      <c r="C662" s="207"/>
      <c r="D662" s="1"/>
      <c r="E662" s="1"/>
      <c r="F662" s="188"/>
    </row>
    <row r="663" spans="1:6" ht="14.25" customHeight="1" x14ac:dyDescent="0.3">
      <c r="A663" s="1"/>
      <c r="B663" s="188"/>
      <c r="C663" s="207"/>
      <c r="D663" s="1"/>
      <c r="E663" s="1"/>
      <c r="F663" s="188"/>
    </row>
    <row r="664" spans="1:6" ht="14.25" customHeight="1" x14ac:dyDescent="0.3">
      <c r="A664" s="1"/>
      <c r="B664" s="188"/>
      <c r="C664" s="207"/>
      <c r="D664" s="1"/>
      <c r="E664" s="1"/>
      <c r="F664" s="188"/>
    </row>
    <row r="665" spans="1:6" ht="14.25" customHeight="1" x14ac:dyDescent="0.3">
      <c r="A665" s="1"/>
      <c r="B665" s="188"/>
      <c r="C665" s="207"/>
      <c r="D665" s="1"/>
      <c r="E665" s="1"/>
      <c r="F665" s="188"/>
    </row>
    <row r="666" spans="1:6" ht="14.25" customHeight="1" x14ac:dyDescent="0.3">
      <c r="A666" s="1"/>
      <c r="B666" s="188"/>
      <c r="C666" s="207"/>
      <c r="D666" s="1"/>
      <c r="E666" s="1"/>
      <c r="F666" s="188"/>
    </row>
    <row r="667" spans="1:6" ht="14.25" customHeight="1" x14ac:dyDescent="0.3">
      <c r="A667" s="1"/>
      <c r="B667" s="188"/>
      <c r="C667" s="207"/>
      <c r="D667" s="1"/>
      <c r="E667" s="1"/>
      <c r="F667" s="188"/>
    </row>
    <row r="668" spans="1:6" ht="14.25" customHeight="1" x14ac:dyDescent="0.3">
      <c r="A668" s="1"/>
      <c r="B668" s="188"/>
      <c r="C668" s="207"/>
      <c r="D668" s="1"/>
      <c r="E668" s="1"/>
      <c r="F668" s="188"/>
    </row>
    <row r="669" spans="1:6" ht="14.25" customHeight="1" x14ac:dyDescent="0.3">
      <c r="A669" s="1"/>
      <c r="B669" s="188"/>
      <c r="C669" s="207"/>
      <c r="D669" s="1"/>
      <c r="E669" s="1"/>
      <c r="F669" s="188"/>
    </row>
    <row r="670" spans="1:6" ht="14.25" customHeight="1" x14ac:dyDescent="0.3">
      <c r="A670" s="1"/>
      <c r="B670" s="188"/>
      <c r="C670" s="207"/>
      <c r="D670" s="1"/>
      <c r="E670" s="1"/>
      <c r="F670" s="188"/>
    </row>
    <row r="671" spans="1:6" ht="14.25" customHeight="1" x14ac:dyDescent="0.3">
      <c r="A671" s="1"/>
      <c r="B671" s="188"/>
      <c r="C671" s="207"/>
      <c r="D671" s="1"/>
      <c r="E671" s="1"/>
      <c r="F671" s="188"/>
    </row>
    <row r="672" spans="1:6" ht="14.25" customHeight="1" x14ac:dyDescent="0.3">
      <c r="A672" s="1"/>
      <c r="B672" s="188"/>
      <c r="C672" s="207"/>
      <c r="D672" s="1"/>
      <c r="E672" s="1"/>
      <c r="F672" s="188"/>
    </row>
    <row r="673" spans="1:6" ht="14.25" customHeight="1" x14ac:dyDescent="0.3">
      <c r="A673" s="1"/>
      <c r="B673" s="188"/>
      <c r="C673" s="207"/>
      <c r="D673" s="1"/>
      <c r="E673" s="1"/>
      <c r="F673" s="188"/>
    </row>
    <row r="674" spans="1:6" ht="14.25" customHeight="1" x14ac:dyDescent="0.3">
      <c r="A674" s="1"/>
      <c r="B674" s="188"/>
      <c r="C674" s="207"/>
      <c r="D674" s="1"/>
      <c r="E674" s="1"/>
      <c r="F674" s="188"/>
    </row>
    <row r="675" spans="1:6" ht="14.25" customHeight="1" x14ac:dyDescent="0.3">
      <c r="A675" s="1"/>
      <c r="B675" s="188"/>
      <c r="C675" s="207"/>
      <c r="D675" s="1"/>
      <c r="E675" s="1"/>
      <c r="F675" s="188"/>
    </row>
    <row r="676" spans="1:6" ht="14.25" customHeight="1" x14ac:dyDescent="0.3">
      <c r="A676" s="1"/>
      <c r="B676" s="188"/>
      <c r="C676" s="207"/>
      <c r="D676" s="1"/>
      <c r="E676" s="1"/>
      <c r="F676" s="188"/>
    </row>
    <row r="677" spans="1:6" ht="14.25" customHeight="1" x14ac:dyDescent="0.3">
      <c r="A677" s="1"/>
      <c r="B677" s="188"/>
      <c r="C677" s="207"/>
      <c r="D677" s="1"/>
      <c r="E677" s="1"/>
      <c r="F677" s="188"/>
    </row>
    <row r="678" spans="1:6" ht="14.25" customHeight="1" x14ac:dyDescent="0.3">
      <c r="A678" s="1"/>
      <c r="B678" s="188"/>
      <c r="C678" s="207"/>
      <c r="D678" s="1"/>
      <c r="E678" s="1"/>
      <c r="F678" s="188"/>
    </row>
    <row r="679" spans="1:6" ht="14.25" customHeight="1" x14ac:dyDescent="0.3">
      <c r="A679" s="1"/>
      <c r="B679" s="188"/>
      <c r="C679" s="207"/>
      <c r="D679" s="1"/>
      <c r="E679" s="1"/>
      <c r="F679" s="188"/>
    </row>
    <row r="680" spans="1:6" ht="14.25" customHeight="1" x14ac:dyDescent="0.3">
      <c r="A680" s="1"/>
      <c r="B680" s="188"/>
      <c r="C680" s="207"/>
      <c r="D680" s="1"/>
      <c r="E680" s="1"/>
      <c r="F680" s="188"/>
    </row>
    <row r="681" spans="1:6" ht="14.25" customHeight="1" x14ac:dyDescent="0.3">
      <c r="A681" s="1"/>
      <c r="B681" s="188"/>
      <c r="C681" s="207"/>
      <c r="D681" s="1"/>
      <c r="E681" s="1"/>
      <c r="F681" s="188"/>
    </row>
    <row r="682" spans="1:6" ht="14.25" customHeight="1" x14ac:dyDescent="0.3">
      <c r="A682" s="1"/>
      <c r="B682" s="188"/>
      <c r="C682" s="207"/>
      <c r="D682" s="1"/>
      <c r="E682" s="1"/>
      <c r="F682" s="188"/>
    </row>
    <row r="683" spans="1:6" ht="14.25" customHeight="1" x14ac:dyDescent="0.3">
      <c r="A683" s="1"/>
      <c r="B683" s="188"/>
      <c r="C683" s="207"/>
      <c r="D683" s="1"/>
      <c r="E683" s="1"/>
      <c r="F683" s="188"/>
    </row>
    <row r="684" spans="1:6" ht="14.25" customHeight="1" x14ac:dyDescent="0.3">
      <c r="A684" s="1"/>
      <c r="B684" s="188"/>
      <c r="C684" s="207"/>
      <c r="D684" s="1"/>
      <c r="E684" s="1"/>
      <c r="F684" s="188"/>
    </row>
    <row r="685" spans="1:6" ht="14.25" customHeight="1" x14ac:dyDescent="0.3">
      <c r="A685" s="1"/>
      <c r="B685" s="188"/>
      <c r="C685" s="207"/>
      <c r="D685" s="1"/>
      <c r="E685" s="1"/>
      <c r="F685" s="188"/>
    </row>
    <row r="686" spans="1:6" ht="14.25" customHeight="1" x14ac:dyDescent="0.3">
      <c r="A686" s="1"/>
      <c r="B686" s="188"/>
      <c r="C686" s="207"/>
      <c r="D686" s="1"/>
      <c r="E686" s="1"/>
      <c r="F686" s="188"/>
    </row>
    <row r="687" spans="1:6" ht="14.25" customHeight="1" x14ac:dyDescent="0.3">
      <c r="A687" s="1"/>
      <c r="B687" s="188"/>
      <c r="C687" s="207"/>
      <c r="D687" s="1"/>
      <c r="E687" s="1"/>
      <c r="F687" s="188"/>
    </row>
    <row r="688" spans="1:6" ht="14.25" customHeight="1" x14ac:dyDescent="0.3">
      <c r="A688" s="1"/>
      <c r="B688" s="188"/>
      <c r="C688" s="207"/>
      <c r="D688" s="1"/>
      <c r="E688" s="1"/>
      <c r="F688" s="188"/>
    </row>
    <row r="689" spans="1:6" ht="14.25" customHeight="1" x14ac:dyDescent="0.3">
      <c r="A689" s="1"/>
      <c r="B689" s="188"/>
      <c r="C689" s="207"/>
      <c r="D689" s="1"/>
      <c r="E689" s="1"/>
      <c r="F689" s="188"/>
    </row>
    <row r="690" spans="1:6" ht="14.25" customHeight="1" x14ac:dyDescent="0.3">
      <c r="A690" s="1"/>
      <c r="B690" s="188"/>
      <c r="C690" s="207"/>
      <c r="D690" s="1"/>
      <c r="E690" s="1"/>
      <c r="F690" s="188"/>
    </row>
    <row r="691" spans="1:6" ht="14.25" customHeight="1" x14ac:dyDescent="0.3">
      <c r="A691" s="1"/>
      <c r="B691" s="188"/>
      <c r="C691" s="207"/>
      <c r="D691" s="1"/>
      <c r="E691" s="1"/>
      <c r="F691" s="188"/>
    </row>
    <row r="692" spans="1:6" ht="14.25" customHeight="1" x14ac:dyDescent="0.3">
      <c r="A692" s="1"/>
      <c r="B692" s="188"/>
      <c r="C692" s="207"/>
      <c r="D692" s="1"/>
      <c r="E692" s="1"/>
      <c r="F692" s="188"/>
    </row>
    <row r="693" spans="1:6" ht="14.25" customHeight="1" x14ac:dyDescent="0.3">
      <c r="A693" s="1"/>
      <c r="B693" s="188"/>
      <c r="C693" s="207"/>
      <c r="D693" s="1"/>
      <c r="E693" s="1"/>
      <c r="F693" s="188"/>
    </row>
    <row r="694" spans="1:6" ht="14.25" customHeight="1" x14ac:dyDescent="0.3">
      <c r="A694" s="1"/>
      <c r="B694" s="188"/>
      <c r="C694" s="207"/>
      <c r="D694" s="1"/>
      <c r="E694" s="1"/>
      <c r="F694" s="188"/>
    </row>
    <row r="695" spans="1:6" ht="14.25" customHeight="1" x14ac:dyDescent="0.3">
      <c r="A695" s="1"/>
      <c r="B695" s="188"/>
      <c r="C695" s="207"/>
      <c r="D695" s="1"/>
      <c r="E695" s="1"/>
      <c r="F695" s="188"/>
    </row>
    <row r="696" spans="1:6" ht="14.25" customHeight="1" x14ac:dyDescent="0.3">
      <c r="A696" s="1"/>
      <c r="B696" s="188"/>
      <c r="C696" s="207"/>
      <c r="D696" s="1"/>
      <c r="E696" s="1"/>
      <c r="F696" s="188"/>
    </row>
    <row r="697" spans="1:6" ht="14.25" customHeight="1" x14ac:dyDescent="0.3">
      <c r="A697" s="1"/>
      <c r="B697" s="188"/>
      <c r="C697" s="207"/>
      <c r="D697" s="1"/>
      <c r="E697" s="1"/>
      <c r="F697" s="188"/>
    </row>
    <row r="698" spans="1:6" ht="14.25" customHeight="1" x14ac:dyDescent="0.3">
      <c r="A698" s="1"/>
      <c r="B698" s="188"/>
      <c r="C698" s="207"/>
      <c r="D698" s="1"/>
      <c r="E698" s="1"/>
      <c r="F698" s="188"/>
    </row>
    <row r="699" spans="1:6" ht="14.25" customHeight="1" x14ac:dyDescent="0.3">
      <c r="A699" s="1"/>
      <c r="B699" s="188"/>
      <c r="C699" s="207"/>
      <c r="D699" s="1"/>
      <c r="E699" s="1"/>
      <c r="F699" s="188"/>
    </row>
    <row r="700" spans="1:6" ht="14.25" customHeight="1" x14ac:dyDescent="0.3">
      <c r="A700" s="1"/>
      <c r="B700" s="188"/>
      <c r="C700" s="207"/>
      <c r="D700" s="1"/>
      <c r="E700" s="1"/>
      <c r="F700" s="188"/>
    </row>
    <row r="701" spans="1:6" ht="14.25" customHeight="1" x14ac:dyDescent="0.3">
      <c r="A701" s="1"/>
      <c r="B701" s="188"/>
      <c r="C701" s="207"/>
      <c r="D701" s="1"/>
      <c r="E701" s="1"/>
      <c r="F701" s="188"/>
    </row>
    <row r="702" spans="1:6" ht="14.25" customHeight="1" x14ac:dyDescent="0.3">
      <c r="A702" s="1"/>
      <c r="B702" s="188"/>
      <c r="C702" s="207"/>
      <c r="D702" s="1"/>
      <c r="E702" s="1"/>
      <c r="F702" s="188"/>
    </row>
    <row r="703" spans="1:6" ht="14.25" customHeight="1" x14ac:dyDescent="0.3">
      <c r="A703" s="1"/>
      <c r="B703" s="188"/>
      <c r="C703" s="207"/>
      <c r="D703" s="1"/>
      <c r="E703" s="1"/>
      <c r="F703" s="188"/>
    </row>
    <row r="704" spans="1:6" ht="14.25" customHeight="1" x14ac:dyDescent="0.3">
      <c r="A704" s="1"/>
      <c r="B704" s="188"/>
      <c r="C704" s="207"/>
      <c r="D704" s="1"/>
      <c r="E704" s="1"/>
      <c r="F704" s="188"/>
    </row>
    <row r="705" spans="1:6" ht="14.25" customHeight="1" x14ac:dyDescent="0.3">
      <c r="A705" s="1"/>
      <c r="B705" s="188"/>
      <c r="C705" s="207"/>
      <c r="D705" s="1"/>
      <c r="E705" s="1"/>
      <c r="F705" s="188"/>
    </row>
    <row r="706" spans="1:6" ht="14.25" customHeight="1" x14ac:dyDescent="0.3">
      <c r="A706" s="1"/>
      <c r="B706" s="188"/>
      <c r="C706" s="207"/>
      <c r="D706" s="1"/>
      <c r="E706" s="1"/>
      <c r="F706" s="188"/>
    </row>
    <row r="707" spans="1:6" ht="14.25" customHeight="1" x14ac:dyDescent="0.3">
      <c r="A707" s="1"/>
      <c r="B707" s="188"/>
      <c r="C707" s="207"/>
      <c r="D707" s="1"/>
      <c r="E707" s="1"/>
      <c r="F707" s="188"/>
    </row>
    <row r="708" spans="1:6" ht="14.25" customHeight="1" x14ac:dyDescent="0.3">
      <c r="A708" s="1"/>
      <c r="B708" s="188"/>
      <c r="C708" s="207"/>
      <c r="D708" s="1"/>
      <c r="E708" s="1"/>
      <c r="F708" s="188"/>
    </row>
    <row r="709" spans="1:6" ht="14.25" customHeight="1" x14ac:dyDescent="0.3">
      <c r="A709" s="1"/>
      <c r="B709" s="188"/>
      <c r="C709" s="207"/>
      <c r="D709" s="1"/>
      <c r="E709" s="1"/>
      <c r="F709" s="188"/>
    </row>
    <row r="710" spans="1:6" ht="14.25" customHeight="1" x14ac:dyDescent="0.3">
      <c r="A710" s="1"/>
      <c r="B710" s="188"/>
      <c r="C710" s="207"/>
      <c r="D710" s="1"/>
      <c r="E710" s="1"/>
      <c r="F710" s="188"/>
    </row>
    <row r="711" spans="1:6" ht="14.25" customHeight="1" x14ac:dyDescent="0.3">
      <c r="A711" s="1"/>
      <c r="B711" s="188"/>
      <c r="C711" s="207"/>
      <c r="D711" s="1"/>
      <c r="E711" s="1"/>
      <c r="F711" s="188"/>
    </row>
    <row r="712" spans="1:6" ht="14.25" customHeight="1" x14ac:dyDescent="0.3">
      <c r="A712" s="1"/>
      <c r="B712" s="188"/>
      <c r="C712" s="207"/>
      <c r="D712" s="1"/>
      <c r="E712" s="1"/>
      <c r="F712" s="188"/>
    </row>
    <row r="713" spans="1:6" ht="14.25" customHeight="1" x14ac:dyDescent="0.3">
      <c r="A713" s="1"/>
      <c r="B713" s="188"/>
      <c r="C713" s="207"/>
      <c r="D713" s="1"/>
      <c r="E713" s="1"/>
      <c r="F713" s="188"/>
    </row>
    <row r="714" spans="1:6" ht="14.25" customHeight="1" x14ac:dyDescent="0.3">
      <c r="A714" s="1"/>
      <c r="B714" s="188"/>
      <c r="C714" s="207"/>
      <c r="D714" s="1"/>
      <c r="E714" s="1"/>
      <c r="F714" s="188"/>
    </row>
    <row r="715" spans="1:6" ht="14.25" customHeight="1" x14ac:dyDescent="0.3">
      <c r="A715" s="1"/>
      <c r="B715" s="188"/>
      <c r="C715" s="207"/>
      <c r="D715" s="1"/>
      <c r="E715" s="1"/>
      <c r="F715" s="188"/>
    </row>
    <row r="716" spans="1:6" ht="14.25" customHeight="1" x14ac:dyDescent="0.3">
      <c r="A716" s="1"/>
      <c r="B716" s="188"/>
      <c r="C716" s="207"/>
      <c r="D716" s="1"/>
      <c r="E716" s="1"/>
      <c r="F716" s="188"/>
    </row>
    <row r="717" spans="1:6" ht="14.25" customHeight="1" x14ac:dyDescent="0.3">
      <c r="A717" s="1"/>
      <c r="B717" s="188"/>
      <c r="C717" s="207"/>
      <c r="D717" s="1"/>
      <c r="E717" s="1"/>
      <c r="F717" s="188"/>
    </row>
    <row r="718" spans="1:6" ht="14.25" customHeight="1" x14ac:dyDescent="0.3">
      <c r="A718" s="1"/>
      <c r="B718" s="188"/>
      <c r="C718" s="207"/>
      <c r="D718" s="1"/>
      <c r="E718" s="1"/>
      <c r="F718" s="188"/>
    </row>
    <row r="719" spans="1:6" ht="14.25" customHeight="1" x14ac:dyDescent="0.3">
      <c r="A719" s="1"/>
      <c r="B719" s="188"/>
      <c r="C719" s="207"/>
      <c r="D719" s="1"/>
      <c r="E719" s="1"/>
      <c r="F719" s="188"/>
    </row>
    <row r="720" spans="1:6" ht="14.25" customHeight="1" x14ac:dyDescent="0.3">
      <c r="A720" s="1"/>
      <c r="B720" s="188"/>
      <c r="C720" s="207"/>
      <c r="D720" s="1"/>
      <c r="E720" s="1"/>
      <c r="F720" s="188"/>
    </row>
    <row r="721" spans="1:6" ht="14.25" customHeight="1" x14ac:dyDescent="0.3">
      <c r="A721" s="1"/>
      <c r="B721" s="188"/>
      <c r="C721" s="207"/>
      <c r="D721" s="1"/>
      <c r="E721" s="1"/>
      <c r="F721" s="188"/>
    </row>
    <row r="722" spans="1:6" ht="14.25" customHeight="1" x14ac:dyDescent="0.3">
      <c r="A722" s="1"/>
      <c r="B722" s="188"/>
      <c r="C722" s="207"/>
      <c r="D722" s="1"/>
      <c r="E722" s="1"/>
      <c r="F722" s="188"/>
    </row>
    <row r="723" spans="1:6" ht="14.25" customHeight="1" x14ac:dyDescent="0.3">
      <c r="A723" s="1"/>
      <c r="B723" s="188"/>
      <c r="C723" s="207"/>
      <c r="D723" s="1"/>
      <c r="E723" s="1"/>
      <c r="F723" s="188"/>
    </row>
    <row r="724" spans="1:6" ht="14.25" customHeight="1" x14ac:dyDescent="0.3">
      <c r="A724" s="1"/>
      <c r="B724" s="188"/>
      <c r="C724" s="207"/>
      <c r="D724" s="1"/>
      <c r="E724" s="1"/>
      <c r="F724" s="188"/>
    </row>
    <row r="725" spans="1:6" ht="14.25" customHeight="1" x14ac:dyDescent="0.3">
      <c r="A725" s="1"/>
      <c r="B725" s="188"/>
      <c r="C725" s="207"/>
      <c r="D725" s="1"/>
      <c r="E725" s="1"/>
      <c r="F725" s="188"/>
    </row>
    <row r="726" spans="1:6" ht="14.25" customHeight="1" x14ac:dyDescent="0.3">
      <c r="A726" s="1"/>
      <c r="B726" s="188"/>
      <c r="C726" s="207"/>
      <c r="D726" s="1"/>
      <c r="E726" s="1"/>
      <c r="F726" s="188"/>
    </row>
    <row r="727" spans="1:6" ht="14.25" customHeight="1" x14ac:dyDescent="0.3">
      <c r="A727" s="1"/>
      <c r="B727" s="188"/>
      <c r="C727" s="207"/>
      <c r="D727" s="1"/>
      <c r="E727" s="1"/>
      <c r="F727" s="188"/>
    </row>
    <row r="728" spans="1:6" ht="14.25" customHeight="1" x14ac:dyDescent="0.3">
      <c r="A728" s="1"/>
      <c r="B728" s="188"/>
      <c r="C728" s="207"/>
      <c r="D728" s="1"/>
      <c r="E728" s="1"/>
      <c r="F728" s="188"/>
    </row>
    <row r="729" spans="1:6" ht="14.25" customHeight="1" x14ac:dyDescent="0.3">
      <c r="A729" s="1"/>
      <c r="B729" s="188"/>
      <c r="C729" s="207"/>
      <c r="D729" s="1"/>
      <c r="E729" s="1"/>
      <c r="F729" s="188"/>
    </row>
    <row r="730" spans="1:6" ht="14.25" customHeight="1" x14ac:dyDescent="0.3">
      <c r="A730" s="1"/>
      <c r="B730" s="188"/>
      <c r="C730" s="207"/>
      <c r="D730" s="1"/>
      <c r="E730" s="1"/>
      <c r="F730" s="188"/>
    </row>
    <row r="731" spans="1:6" ht="14.25" customHeight="1" x14ac:dyDescent="0.3">
      <c r="A731" s="1"/>
      <c r="B731" s="188"/>
      <c r="C731" s="207"/>
      <c r="D731" s="1"/>
      <c r="E731" s="1"/>
      <c r="F731" s="188"/>
    </row>
    <row r="732" spans="1:6" ht="14.25" customHeight="1" x14ac:dyDescent="0.3">
      <c r="A732" s="1"/>
      <c r="B732" s="188"/>
      <c r="C732" s="207"/>
      <c r="D732" s="1"/>
      <c r="E732" s="1"/>
      <c r="F732" s="188"/>
    </row>
    <row r="733" spans="1:6" ht="14.25" customHeight="1" x14ac:dyDescent="0.3">
      <c r="A733" s="1"/>
      <c r="B733" s="188"/>
      <c r="C733" s="207"/>
      <c r="D733" s="1"/>
      <c r="E733" s="1"/>
      <c r="F733" s="188"/>
    </row>
    <row r="734" spans="1:6" ht="14.25" customHeight="1" x14ac:dyDescent="0.3">
      <c r="A734" s="1"/>
      <c r="B734" s="188"/>
      <c r="C734" s="207"/>
      <c r="D734" s="1"/>
      <c r="E734" s="1"/>
      <c r="F734" s="188"/>
    </row>
    <row r="735" spans="1:6" ht="14.25" customHeight="1" x14ac:dyDescent="0.3">
      <c r="A735" s="1"/>
      <c r="B735" s="188"/>
      <c r="C735" s="207"/>
      <c r="D735" s="1"/>
      <c r="E735" s="1"/>
      <c r="F735" s="188"/>
    </row>
    <row r="736" spans="1:6" ht="14.25" customHeight="1" x14ac:dyDescent="0.3">
      <c r="A736" s="1"/>
      <c r="B736" s="188"/>
      <c r="C736" s="207"/>
      <c r="D736" s="1"/>
      <c r="E736" s="1"/>
      <c r="F736" s="188"/>
    </row>
    <row r="737" spans="1:6" ht="14.25" customHeight="1" x14ac:dyDescent="0.3">
      <c r="A737" s="1"/>
      <c r="B737" s="188"/>
      <c r="C737" s="207"/>
      <c r="D737" s="1"/>
      <c r="E737" s="1"/>
      <c r="F737" s="188"/>
    </row>
    <row r="738" spans="1:6" ht="14.25" customHeight="1" x14ac:dyDescent="0.3">
      <c r="A738" s="1"/>
      <c r="B738" s="188"/>
      <c r="C738" s="207"/>
      <c r="D738" s="1"/>
      <c r="E738" s="1"/>
      <c r="F738" s="188"/>
    </row>
    <row r="739" spans="1:6" ht="14.25" customHeight="1" x14ac:dyDescent="0.3">
      <c r="A739" s="1"/>
      <c r="B739" s="188"/>
      <c r="C739" s="207"/>
      <c r="D739" s="1"/>
      <c r="E739" s="1"/>
      <c r="F739" s="188"/>
    </row>
    <row r="740" spans="1:6" ht="14.25" customHeight="1" x14ac:dyDescent="0.3">
      <c r="A740" s="1"/>
      <c r="B740" s="188"/>
      <c r="C740" s="207"/>
      <c r="D740" s="1"/>
      <c r="E740" s="1"/>
      <c r="F740" s="188"/>
    </row>
    <row r="741" spans="1:6" ht="14.25" customHeight="1" x14ac:dyDescent="0.3">
      <c r="A741" s="1"/>
      <c r="B741" s="188"/>
      <c r="C741" s="207"/>
      <c r="D741" s="1"/>
      <c r="E741" s="1"/>
      <c r="F741" s="188"/>
    </row>
    <row r="742" spans="1:6" ht="14.25" customHeight="1" x14ac:dyDescent="0.3">
      <c r="A742" s="1"/>
      <c r="B742" s="188"/>
      <c r="C742" s="207"/>
      <c r="D742" s="1"/>
      <c r="E742" s="1"/>
      <c r="F742" s="188"/>
    </row>
    <row r="743" spans="1:6" ht="14.25" customHeight="1" x14ac:dyDescent="0.3">
      <c r="A743" s="1"/>
      <c r="B743" s="188"/>
      <c r="C743" s="207"/>
      <c r="D743" s="1"/>
      <c r="E743" s="1"/>
      <c r="F743" s="188"/>
    </row>
    <row r="744" spans="1:6" ht="14.25" customHeight="1" x14ac:dyDescent="0.3">
      <c r="A744" s="1"/>
      <c r="B744" s="188"/>
      <c r="C744" s="207"/>
      <c r="D744" s="1"/>
      <c r="E744" s="1"/>
      <c r="F744" s="188"/>
    </row>
    <row r="745" spans="1:6" ht="14.25" customHeight="1" x14ac:dyDescent="0.3">
      <c r="A745" s="1"/>
      <c r="B745" s="188"/>
      <c r="C745" s="207"/>
      <c r="D745" s="1"/>
      <c r="E745" s="1"/>
      <c r="F745" s="188"/>
    </row>
    <row r="746" spans="1:6" ht="14.25" customHeight="1" x14ac:dyDescent="0.3">
      <c r="A746" s="1"/>
      <c r="B746" s="188"/>
      <c r="C746" s="207"/>
      <c r="D746" s="1"/>
      <c r="E746" s="1"/>
      <c r="F746" s="188"/>
    </row>
    <row r="747" spans="1:6" ht="14.25" customHeight="1" x14ac:dyDescent="0.3">
      <c r="A747" s="1"/>
      <c r="B747" s="188"/>
      <c r="C747" s="207"/>
      <c r="D747" s="1"/>
      <c r="E747" s="1"/>
      <c r="F747" s="188"/>
    </row>
    <row r="748" spans="1:6" ht="14.25" customHeight="1" x14ac:dyDescent="0.3">
      <c r="A748" s="1"/>
      <c r="B748" s="188"/>
      <c r="C748" s="207"/>
      <c r="D748" s="1"/>
      <c r="E748" s="1"/>
      <c r="F748" s="188"/>
    </row>
    <row r="749" spans="1:6" ht="14.25" customHeight="1" x14ac:dyDescent="0.3">
      <c r="A749" s="1"/>
      <c r="B749" s="188"/>
      <c r="C749" s="207"/>
      <c r="D749" s="1"/>
      <c r="E749" s="1"/>
      <c r="F749" s="188"/>
    </row>
    <row r="750" spans="1:6" ht="14.25" customHeight="1" x14ac:dyDescent="0.3">
      <c r="A750" s="1"/>
      <c r="B750" s="188"/>
      <c r="C750" s="207"/>
      <c r="D750" s="1"/>
      <c r="E750" s="1"/>
      <c r="F750" s="188"/>
    </row>
    <row r="751" spans="1:6" ht="14.25" customHeight="1" x14ac:dyDescent="0.3">
      <c r="A751" s="1"/>
      <c r="B751" s="188"/>
      <c r="C751" s="207"/>
      <c r="D751" s="1"/>
      <c r="E751" s="1"/>
      <c r="F751" s="188"/>
    </row>
    <row r="752" spans="1:6" ht="14.25" customHeight="1" x14ac:dyDescent="0.3">
      <c r="A752" s="1"/>
      <c r="B752" s="188"/>
      <c r="C752" s="207"/>
      <c r="D752" s="1"/>
      <c r="E752" s="1"/>
      <c r="F752" s="188"/>
    </row>
    <row r="753" spans="1:6" ht="14.25" customHeight="1" x14ac:dyDescent="0.3">
      <c r="A753" s="1"/>
      <c r="B753" s="188"/>
      <c r="C753" s="207"/>
      <c r="D753" s="1"/>
      <c r="E753" s="1"/>
      <c r="F753" s="188"/>
    </row>
    <row r="754" spans="1:6" ht="14.25" customHeight="1" x14ac:dyDescent="0.3">
      <c r="A754" s="1"/>
      <c r="B754" s="188"/>
      <c r="C754" s="207"/>
      <c r="D754" s="1"/>
      <c r="E754" s="1"/>
      <c r="F754" s="188"/>
    </row>
    <row r="755" spans="1:6" ht="14.25" customHeight="1" x14ac:dyDescent="0.3">
      <c r="A755" s="1"/>
      <c r="B755" s="188"/>
      <c r="C755" s="207"/>
      <c r="D755" s="1"/>
      <c r="E755" s="1"/>
      <c r="F755" s="188"/>
    </row>
    <row r="756" spans="1:6" ht="14.25" customHeight="1" x14ac:dyDescent="0.3">
      <c r="A756" s="1"/>
      <c r="B756" s="188"/>
      <c r="C756" s="207"/>
      <c r="D756" s="1"/>
      <c r="E756" s="1"/>
      <c r="F756" s="188"/>
    </row>
    <row r="757" spans="1:6" ht="14.25" customHeight="1" x14ac:dyDescent="0.3">
      <c r="A757" s="1"/>
      <c r="B757" s="188"/>
      <c r="C757" s="207"/>
      <c r="D757" s="1"/>
      <c r="E757" s="1"/>
      <c r="F757" s="188"/>
    </row>
    <row r="758" spans="1:6" ht="14.25" customHeight="1" x14ac:dyDescent="0.3">
      <c r="A758" s="1"/>
      <c r="B758" s="188"/>
      <c r="C758" s="207"/>
      <c r="D758" s="1"/>
      <c r="E758" s="1"/>
      <c r="F758" s="188"/>
    </row>
    <row r="759" spans="1:6" ht="14.25" customHeight="1" x14ac:dyDescent="0.3">
      <c r="A759" s="1"/>
      <c r="B759" s="188"/>
      <c r="C759" s="207"/>
      <c r="D759" s="1"/>
      <c r="E759" s="1"/>
      <c r="F759" s="188"/>
    </row>
    <row r="760" spans="1:6" ht="14.25" customHeight="1" x14ac:dyDescent="0.3">
      <c r="A760" s="1"/>
      <c r="B760" s="188"/>
      <c r="C760" s="207"/>
      <c r="D760" s="1"/>
      <c r="E760" s="1"/>
      <c r="F760" s="188"/>
    </row>
    <row r="761" spans="1:6" ht="14.25" customHeight="1" x14ac:dyDescent="0.3">
      <c r="A761" s="1"/>
      <c r="B761" s="188"/>
      <c r="C761" s="207"/>
      <c r="D761" s="1"/>
      <c r="E761" s="1"/>
      <c r="F761" s="188"/>
    </row>
    <row r="762" spans="1:6" ht="14.25" customHeight="1" x14ac:dyDescent="0.3">
      <c r="A762" s="1"/>
      <c r="B762" s="188"/>
      <c r="C762" s="207"/>
      <c r="D762" s="1"/>
      <c r="E762" s="1"/>
      <c r="F762" s="188"/>
    </row>
    <row r="763" spans="1:6" ht="14.25" customHeight="1" x14ac:dyDescent="0.3">
      <c r="A763" s="1"/>
      <c r="B763" s="188"/>
      <c r="C763" s="207"/>
      <c r="D763" s="1"/>
      <c r="E763" s="1"/>
      <c r="F763" s="188"/>
    </row>
    <row r="764" spans="1:6" ht="14.25" customHeight="1" x14ac:dyDescent="0.3">
      <c r="A764" s="1"/>
      <c r="B764" s="188"/>
      <c r="C764" s="207"/>
      <c r="D764" s="1"/>
      <c r="E764" s="1"/>
      <c r="F764" s="188"/>
    </row>
    <row r="765" spans="1:6" ht="14.25" customHeight="1" x14ac:dyDescent="0.3">
      <c r="A765" s="1"/>
      <c r="B765" s="188"/>
      <c r="C765" s="207"/>
      <c r="D765" s="1"/>
      <c r="E765" s="1"/>
      <c r="F765" s="188"/>
    </row>
    <row r="766" spans="1:6" ht="14.25" customHeight="1" x14ac:dyDescent="0.3">
      <c r="A766" s="1"/>
      <c r="B766" s="188"/>
      <c r="C766" s="207"/>
      <c r="D766" s="1"/>
      <c r="E766" s="1"/>
      <c r="F766" s="188"/>
    </row>
    <row r="767" spans="1:6" ht="14.25" customHeight="1" x14ac:dyDescent="0.3">
      <c r="A767" s="1"/>
      <c r="B767" s="188"/>
      <c r="C767" s="207"/>
      <c r="D767" s="1"/>
      <c r="E767" s="1"/>
      <c r="F767" s="188"/>
    </row>
    <row r="768" spans="1:6" ht="14.25" customHeight="1" x14ac:dyDescent="0.3">
      <c r="A768" s="1"/>
      <c r="B768" s="188"/>
      <c r="C768" s="207"/>
      <c r="D768" s="1"/>
      <c r="E768" s="1"/>
      <c r="F768" s="188"/>
    </row>
    <row r="769" spans="1:6" ht="14.25" customHeight="1" x14ac:dyDescent="0.3">
      <c r="A769" s="1"/>
      <c r="B769" s="188"/>
      <c r="C769" s="207"/>
      <c r="D769" s="1"/>
      <c r="E769" s="1"/>
      <c r="F769" s="188"/>
    </row>
    <row r="770" spans="1:6" ht="14.25" customHeight="1" x14ac:dyDescent="0.3">
      <c r="A770" s="1"/>
      <c r="B770" s="188"/>
      <c r="C770" s="207"/>
      <c r="D770" s="1"/>
      <c r="E770" s="1"/>
      <c r="F770" s="188"/>
    </row>
    <row r="771" spans="1:6" ht="14.25" customHeight="1" x14ac:dyDescent="0.3">
      <c r="A771" s="1"/>
      <c r="B771" s="188"/>
      <c r="C771" s="207"/>
      <c r="D771" s="1"/>
      <c r="E771" s="1"/>
      <c r="F771" s="188"/>
    </row>
    <row r="772" spans="1:6" ht="14.25" customHeight="1" x14ac:dyDescent="0.3">
      <c r="A772" s="1"/>
      <c r="B772" s="188"/>
      <c r="C772" s="207"/>
      <c r="D772" s="1"/>
      <c r="E772" s="1"/>
      <c r="F772" s="188"/>
    </row>
    <row r="773" spans="1:6" ht="14.25" customHeight="1" x14ac:dyDescent="0.3">
      <c r="A773" s="1"/>
      <c r="B773" s="188"/>
      <c r="C773" s="207"/>
      <c r="D773" s="1"/>
      <c r="E773" s="1"/>
      <c r="F773" s="188"/>
    </row>
    <row r="774" spans="1:6" ht="14.25" customHeight="1" x14ac:dyDescent="0.3">
      <c r="A774" s="1"/>
      <c r="B774" s="188"/>
      <c r="C774" s="207"/>
      <c r="D774" s="1"/>
      <c r="E774" s="1"/>
      <c r="F774" s="188"/>
    </row>
    <row r="775" spans="1:6" ht="14.25" customHeight="1" x14ac:dyDescent="0.3">
      <c r="A775" s="1"/>
      <c r="B775" s="188"/>
      <c r="C775" s="207"/>
      <c r="D775" s="1"/>
      <c r="E775" s="1"/>
      <c r="F775" s="188"/>
    </row>
    <row r="776" spans="1:6" ht="14.25" customHeight="1" x14ac:dyDescent="0.3">
      <c r="A776" s="1"/>
      <c r="B776" s="188"/>
      <c r="C776" s="207"/>
      <c r="D776" s="1"/>
      <c r="E776" s="1"/>
      <c r="F776" s="188"/>
    </row>
    <row r="777" spans="1:6" ht="14.25" customHeight="1" x14ac:dyDescent="0.3">
      <c r="A777" s="1"/>
      <c r="B777" s="188"/>
      <c r="C777" s="207"/>
      <c r="D777" s="1"/>
      <c r="E777" s="1"/>
      <c r="F777" s="188"/>
    </row>
    <row r="778" spans="1:6" ht="14.25" customHeight="1" x14ac:dyDescent="0.3">
      <c r="A778" s="1"/>
      <c r="B778" s="188"/>
      <c r="C778" s="207"/>
      <c r="D778" s="1"/>
      <c r="E778" s="1"/>
      <c r="F778" s="188"/>
    </row>
    <row r="779" spans="1:6" ht="14.25" customHeight="1" x14ac:dyDescent="0.3">
      <c r="A779" s="1"/>
      <c r="B779" s="188"/>
      <c r="C779" s="207"/>
      <c r="D779" s="1"/>
      <c r="E779" s="1"/>
      <c r="F779" s="188"/>
    </row>
    <row r="780" spans="1:6" ht="14.25" customHeight="1" x14ac:dyDescent="0.3">
      <c r="A780" s="1"/>
      <c r="B780" s="188"/>
      <c r="C780" s="207"/>
      <c r="D780" s="1"/>
      <c r="E780" s="1"/>
      <c r="F780" s="188"/>
    </row>
    <row r="781" spans="1:6" ht="14.25" customHeight="1" x14ac:dyDescent="0.3">
      <c r="A781" s="1"/>
      <c r="B781" s="188"/>
      <c r="C781" s="207"/>
      <c r="D781" s="1"/>
      <c r="E781" s="1"/>
      <c r="F781" s="188"/>
    </row>
    <row r="782" spans="1:6" ht="14.25" customHeight="1" x14ac:dyDescent="0.3">
      <c r="A782" s="1"/>
      <c r="B782" s="188"/>
      <c r="C782" s="207"/>
      <c r="D782" s="1"/>
      <c r="E782" s="1"/>
      <c r="F782" s="188"/>
    </row>
    <row r="783" spans="1:6" ht="14.25" customHeight="1" x14ac:dyDescent="0.3">
      <c r="A783" s="1"/>
      <c r="B783" s="188"/>
      <c r="C783" s="207"/>
      <c r="D783" s="1"/>
      <c r="E783" s="1"/>
      <c r="F783" s="188"/>
    </row>
    <row r="784" spans="1:6" ht="14.25" customHeight="1" x14ac:dyDescent="0.3">
      <c r="A784" s="1"/>
      <c r="B784" s="188"/>
      <c r="C784" s="207"/>
      <c r="D784" s="1"/>
      <c r="E784" s="1"/>
      <c r="F784" s="188"/>
    </row>
    <row r="785" spans="1:6" ht="14.25" customHeight="1" x14ac:dyDescent="0.3">
      <c r="A785" s="1"/>
      <c r="B785" s="188"/>
      <c r="C785" s="207"/>
      <c r="D785" s="1"/>
      <c r="E785" s="1"/>
      <c r="F785" s="188"/>
    </row>
    <row r="786" spans="1:6" ht="14.25" customHeight="1" x14ac:dyDescent="0.3">
      <c r="A786" s="1"/>
      <c r="B786" s="188"/>
      <c r="C786" s="207"/>
      <c r="D786" s="1"/>
      <c r="E786" s="1"/>
      <c r="F786" s="188"/>
    </row>
    <row r="787" spans="1:6" ht="14.25" customHeight="1" x14ac:dyDescent="0.3">
      <c r="A787" s="1"/>
      <c r="B787" s="188"/>
      <c r="C787" s="207"/>
      <c r="D787" s="1"/>
      <c r="E787" s="1"/>
      <c r="F787" s="188"/>
    </row>
    <row r="788" spans="1:6" ht="14.25" customHeight="1" x14ac:dyDescent="0.3">
      <c r="A788" s="1"/>
      <c r="B788" s="188"/>
      <c r="C788" s="207"/>
      <c r="D788" s="1"/>
      <c r="E788" s="1"/>
      <c r="F788" s="188"/>
    </row>
    <row r="789" spans="1:6" ht="14.25" customHeight="1" x14ac:dyDescent="0.3">
      <c r="A789" s="1"/>
      <c r="B789" s="188"/>
      <c r="C789" s="207"/>
      <c r="D789" s="1"/>
      <c r="E789" s="1"/>
      <c r="F789" s="188"/>
    </row>
    <row r="790" spans="1:6" ht="14.25" customHeight="1" x14ac:dyDescent="0.3">
      <c r="A790" s="1"/>
      <c r="B790" s="188"/>
      <c r="C790" s="207"/>
      <c r="D790" s="1"/>
      <c r="E790" s="1"/>
      <c r="F790" s="188"/>
    </row>
    <row r="791" spans="1:6" ht="14.25" customHeight="1" x14ac:dyDescent="0.3">
      <c r="A791" s="1"/>
      <c r="B791" s="188"/>
      <c r="C791" s="207"/>
      <c r="D791" s="1"/>
      <c r="E791" s="1"/>
      <c r="F791" s="188"/>
    </row>
    <row r="792" spans="1:6" ht="14.25" customHeight="1" x14ac:dyDescent="0.3">
      <c r="A792" s="1"/>
      <c r="B792" s="188"/>
      <c r="C792" s="207"/>
      <c r="D792" s="1"/>
      <c r="E792" s="1"/>
      <c r="F792" s="188"/>
    </row>
    <row r="793" spans="1:6" ht="14.25" customHeight="1" x14ac:dyDescent="0.3">
      <c r="A793" s="1"/>
      <c r="B793" s="188"/>
      <c r="C793" s="207"/>
      <c r="D793" s="1"/>
      <c r="E793" s="1"/>
      <c r="F793" s="188"/>
    </row>
    <row r="794" spans="1:6" ht="14.25" customHeight="1" x14ac:dyDescent="0.3">
      <c r="A794" s="1"/>
      <c r="B794" s="188"/>
      <c r="C794" s="207"/>
      <c r="D794" s="1"/>
      <c r="E794" s="1"/>
      <c r="F794" s="188"/>
    </row>
    <row r="795" spans="1:6" ht="14.25" customHeight="1" x14ac:dyDescent="0.3">
      <c r="A795" s="1"/>
      <c r="B795" s="188"/>
      <c r="C795" s="207"/>
      <c r="D795" s="1"/>
      <c r="E795" s="1"/>
      <c r="F795" s="188"/>
    </row>
    <row r="796" spans="1:6" ht="14.25" customHeight="1" x14ac:dyDescent="0.3">
      <c r="A796" s="1"/>
      <c r="B796" s="188"/>
      <c r="C796" s="207"/>
      <c r="D796" s="1"/>
      <c r="E796" s="1"/>
      <c r="F796" s="188"/>
    </row>
    <row r="797" spans="1:6" ht="14.25" customHeight="1" x14ac:dyDescent="0.3">
      <c r="A797" s="1"/>
      <c r="B797" s="188"/>
      <c r="C797" s="207"/>
      <c r="D797" s="1"/>
      <c r="E797" s="1"/>
      <c r="F797" s="188"/>
    </row>
    <row r="798" spans="1:6" ht="14.25" customHeight="1" x14ac:dyDescent="0.3">
      <c r="A798" s="1"/>
      <c r="B798" s="188"/>
      <c r="C798" s="207"/>
      <c r="D798" s="1"/>
      <c r="E798" s="1"/>
      <c r="F798" s="188"/>
    </row>
    <row r="799" spans="1:6" ht="14.25" customHeight="1" x14ac:dyDescent="0.3">
      <c r="A799" s="1"/>
      <c r="B799" s="188"/>
      <c r="C799" s="207"/>
      <c r="D799" s="1"/>
      <c r="E799" s="1"/>
      <c r="F799" s="188"/>
    </row>
    <row r="800" spans="1:6" ht="14.25" customHeight="1" x14ac:dyDescent="0.3">
      <c r="A800" s="1"/>
      <c r="B800" s="188"/>
      <c r="C800" s="207"/>
      <c r="D800" s="1"/>
      <c r="E800" s="1"/>
      <c r="F800" s="188"/>
    </row>
    <row r="801" spans="1:6" ht="14.25" customHeight="1" x14ac:dyDescent="0.3">
      <c r="A801" s="1"/>
      <c r="B801" s="188"/>
      <c r="C801" s="207"/>
      <c r="D801" s="1"/>
      <c r="E801" s="1"/>
      <c r="F801" s="188"/>
    </row>
    <row r="802" spans="1:6" ht="14.25" customHeight="1" x14ac:dyDescent="0.3">
      <c r="A802" s="1"/>
      <c r="B802" s="188"/>
      <c r="C802" s="207"/>
      <c r="D802" s="1"/>
      <c r="E802" s="1"/>
      <c r="F802" s="188"/>
    </row>
    <row r="803" spans="1:6" ht="14.25" customHeight="1" x14ac:dyDescent="0.3">
      <c r="A803" s="1"/>
      <c r="B803" s="188"/>
      <c r="C803" s="207"/>
      <c r="D803" s="1"/>
      <c r="E803" s="1"/>
      <c r="F803" s="188"/>
    </row>
    <row r="804" spans="1:6" ht="14.25" customHeight="1" x14ac:dyDescent="0.3">
      <c r="A804" s="1"/>
      <c r="B804" s="188"/>
      <c r="C804" s="207"/>
      <c r="D804" s="1"/>
      <c r="E804" s="1"/>
      <c r="F804" s="188"/>
    </row>
    <row r="805" spans="1:6" ht="14.25" customHeight="1" x14ac:dyDescent="0.3">
      <c r="A805" s="1"/>
      <c r="B805" s="188"/>
      <c r="C805" s="207"/>
      <c r="D805" s="1"/>
      <c r="E805" s="1"/>
      <c r="F805" s="188"/>
    </row>
    <row r="806" spans="1:6" ht="14.25" customHeight="1" x14ac:dyDescent="0.3">
      <c r="A806" s="1"/>
      <c r="B806" s="188"/>
      <c r="C806" s="207"/>
      <c r="D806" s="1"/>
      <c r="E806" s="1"/>
      <c r="F806" s="188"/>
    </row>
    <row r="807" spans="1:6" ht="14.25" customHeight="1" x14ac:dyDescent="0.3">
      <c r="A807" s="1"/>
      <c r="B807" s="188"/>
      <c r="C807" s="207"/>
      <c r="D807" s="1"/>
      <c r="E807" s="1"/>
      <c r="F807" s="188"/>
    </row>
    <row r="808" spans="1:6" ht="14.25" customHeight="1" x14ac:dyDescent="0.3">
      <c r="A808" s="1"/>
      <c r="B808" s="188"/>
      <c r="C808" s="207"/>
      <c r="D808" s="1"/>
      <c r="E808" s="1"/>
      <c r="F808" s="188"/>
    </row>
    <row r="809" spans="1:6" ht="14.25" customHeight="1" x14ac:dyDescent="0.3">
      <c r="A809" s="1"/>
      <c r="B809" s="188"/>
      <c r="C809" s="207"/>
      <c r="D809" s="1"/>
      <c r="E809" s="1"/>
      <c r="F809" s="188"/>
    </row>
    <row r="810" spans="1:6" ht="14.25" customHeight="1" x14ac:dyDescent="0.3">
      <c r="A810" s="1"/>
      <c r="B810" s="188"/>
      <c r="C810" s="207"/>
      <c r="D810" s="1"/>
      <c r="E810" s="1"/>
      <c r="F810" s="188"/>
    </row>
    <row r="811" spans="1:6" ht="14.25" customHeight="1" x14ac:dyDescent="0.3">
      <c r="A811" s="1"/>
      <c r="B811" s="188"/>
      <c r="C811" s="207"/>
      <c r="D811" s="1"/>
      <c r="E811" s="1"/>
      <c r="F811" s="188"/>
    </row>
    <row r="812" spans="1:6" ht="14.25" customHeight="1" x14ac:dyDescent="0.3">
      <c r="A812" s="1"/>
      <c r="B812" s="188"/>
      <c r="C812" s="207"/>
      <c r="D812" s="1"/>
      <c r="E812" s="1"/>
      <c r="F812" s="188"/>
    </row>
    <row r="813" spans="1:6" ht="14.25" customHeight="1" x14ac:dyDescent="0.3">
      <c r="A813" s="1"/>
      <c r="B813" s="188"/>
      <c r="C813" s="207"/>
      <c r="D813" s="1"/>
      <c r="E813" s="1"/>
      <c r="F813" s="188"/>
    </row>
    <row r="814" spans="1:6" ht="14.25" customHeight="1" x14ac:dyDescent="0.3">
      <c r="A814" s="1"/>
      <c r="B814" s="188"/>
      <c r="C814" s="207"/>
      <c r="D814" s="1"/>
      <c r="E814" s="1"/>
      <c r="F814" s="188"/>
    </row>
    <row r="815" spans="1:6" ht="14.25" customHeight="1" x14ac:dyDescent="0.3">
      <c r="A815" s="1"/>
      <c r="B815" s="188"/>
      <c r="C815" s="207"/>
      <c r="D815" s="1"/>
      <c r="E815" s="1"/>
      <c r="F815" s="188"/>
    </row>
    <row r="816" spans="1:6" ht="14.25" customHeight="1" x14ac:dyDescent="0.3">
      <c r="A816" s="1"/>
      <c r="B816" s="188"/>
      <c r="C816" s="207"/>
      <c r="D816" s="1"/>
      <c r="E816" s="1"/>
      <c r="F816" s="188"/>
    </row>
    <row r="817" spans="1:6" ht="14.25" customHeight="1" x14ac:dyDescent="0.3">
      <c r="A817" s="1"/>
      <c r="B817" s="188"/>
      <c r="C817" s="207"/>
      <c r="D817" s="1"/>
      <c r="E817" s="1"/>
      <c r="F817" s="188"/>
    </row>
    <row r="818" spans="1:6" ht="14.25" customHeight="1" x14ac:dyDescent="0.3">
      <c r="A818" s="1"/>
      <c r="B818" s="188"/>
      <c r="C818" s="207"/>
      <c r="D818" s="1"/>
      <c r="E818" s="1"/>
      <c r="F818" s="188"/>
    </row>
    <row r="819" spans="1:6" ht="14.25" customHeight="1" x14ac:dyDescent="0.3">
      <c r="A819" s="1"/>
      <c r="B819" s="188"/>
      <c r="C819" s="207"/>
      <c r="D819" s="1"/>
      <c r="E819" s="1"/>
      <c r="F819" s="188"/>
    </row>
    <row r="820" spans="1:6" ht="14.25" customHeight="1" x14ac:dyDescent="0.3">
      <c r="A820" s="1"/>
      <c r="B820" s="188"/>
      <c r="C820" s="207"/>
      <c r="D820" s="1"/>
      <c r="E820" s="1"/>
      <c r="F820" s="188"/>
    </row>
    <row r="821" spans="1:6" ht="14.25" customHeight="1" x14ac:dyDescent="0.3">
      <c r="A821" s="1"/>
      <c r="B821" s="188"/>
      <c r="C821" s="207"/>
      <c r="D821" s="1"/>
      <c r="E821" s="1"/>
      <c r="F821" s="188"/>
    </row>
    <row r="822" spans="1:6" ht="14.25" customHeight="1" x14ac:dyDescent="0.3">
      <c r="A822" s="1"/>
      <c r="B822" s="188"/>
      <c r="C822" s="207"/>
      <c r="D822" s="1"/>
      <c r="E822" s="1"/>
      <c r="F822" s="188"/>
    </row>
    <row r="823" spans="1:6" ht="14.25" customHeight="1" x14ac:dyDescent="0.3">
      <c r="A823" s="1"/>
      <c r="B823" s="188"/>
      <c r="C823" s="207"/>
      <c r="D823" s="1"/>
      <c r="E823" s="1"/>
      <c r="F823" s="188"/>
    </row>
    <row r="824" spans="1:6" ht="14.25" customHeight="1" x14ac:dyDescent="0.3">
      <c r="A824" s="1"/>
      <c r="B824" s="188"/>
      <c r="C824" s="207"/>
      <c r="D824" s="1"/>
      <c r="E824" s="1"/>
      <c r="F824" s="188"/>
    </row>
    <row r="825" spans="1:6" ht="14.25" customHeight="1" x14ac:dyDescent="0.3">
      <c r="A825" s="1"/>
      <c r="B825" s="188"/>
      <c r="C825" s="207"/>
      <c r="D825" s="1"/>
      <c r="E825" s="1"/>
      <c r="F825" s="188"/>
    </row>
    <row r="826" spans="1:6" ht="14.25" customHeight="1" x14ac:dyDescent="0.3">
      <c r="A826" s="1"/>
      <c r="B826" s="188"/>
      <c r="C826" s="207"/>
      <c r="D826" s="1"/>
      <c r="E826" s="1"/>
      <c r="F826" s="188"/>
    </row>
    <row r="827" spans="1:6" ht="14.25" customHeight="1" x14ac:dyDescent="0.3">
      <c r="A827" s="1"/>
      <c r="B827" s="188"/>
      <c r="C827" s="207"/>
      <c r="D827" s="1"/>
      <c r="E827" s="1"/>
      <c r="F827" s="188"/>
    </row>
    <row r="828" spans="1:6" ht="14.25" customHeight="1" x14ac:dyDescent="0.3">
      <c r="A828" s="1"/>
      <c r="B828" s="188"/>
      <c r="C828" s="207"/>
      <c r="D828" s="1"/>
      <c r="E828" s="1"/>
      <c r="F828" s="188"/>
    </row>
    <row r="829" spans="1:6" ht="14.25" customHeight="1" x14ac:dyDescent="0.3">
      <c r="A829" s="1"/>
      <c r="B829" s="188"/>
      <c r="C829" s="207"/>
      <c r="D829" s="1"/>
      <c r="E829" s="1"/>
      <c r="F829" s="188"/>
    </row>
    <row r="830" spans="1:6" ht="14.25" customHeight="1" x14ac:dyDescent="0.3">
      <c r="A830" s="1"/>
      <c r="B830" s="188"/>
      <c r="C830" s="207"/>
      <c r="D830" s="1"/>
      <c r="E830" s="1"/>
      <c r="F830" s="188"/>
    </row>
    <row r="831" spans="1:6" ht="14.25" customHeight="1" x14ac:dyDescent="0.3">
      <c r="A831" s="1"/>
      <c r="B831" s="188"/>
      <c r="C831" s="207"/>
      <c r="D831" s="1"/>
      <c r="E831" s="1"/>
      <c r="F831" s="188"/>
    </row>
    <row r="832" spans="1:6" ht="14.25" customHeight="1" x14ac:dyDescent="0.3">
      <c r="A832" s="1"/>
      <c r="B832" s="188"/>
      <c r="C832" s="207"/>
      <c r="D832" s="1"/>
      <c r="E832" s="1"/>
      <c r="F832" s="188"/>
    </row>
    <row r="833" spans="1:6" ht="14.25" customHeight="1" x14ac:dyDescent="0.3">
      <c r="A833" s="1"/>
      <c r="B833" s="188"/>
      <c r="C833" s="207"/>
      <c r="D833" s="1"/>
      <c r="E833" s="1"/>
      <c r="F833" s="188"/>
    </row>
    <row r="834" spans="1:6" ht="14.25" customHeight="1" x14ac:dyDescent="0.3">
      <c r="A834" s="1"/>
      <c r="B834" s="188"/>
      <c r="C834" s="207"/>
      <c r="D834" s="1"/>
      <c r="E834" s="1"/>
      <c r="F834" s="188"/>
    </row>
    <row r="835" spans="1:6" ht="14.25" customHeight="1" x14ac:dyDescent="0.3">
      <c r="A835" s="1"/>
      <c r="B835" s="188"/>
      <c r="C835" s="207"/>
      <c r="D835" s="1"/>
      <c r="E835" s="1"/>
      <c r="F835" s="188"/>
    </row>
    <row r="836" spans="1:6" ht="14.25" customHeight="1" x14ac:dyDescent="0.3">
      <c r="A836" s="1"/>
      <c r="B836" s="188"/>
      <c r="C836" s="207"/>
      <c r="D836" s="1"/>
      <c r="E836" s="1"/>
      <c r="F836" s="188"/>
    </row>
    <row r="837" spans="1:6" ht="14.25" customHeight="1" x14ac:dyDescent="0.3">
      <c r="A837" s="1"/>
      <c r="B837" s="188"/>
      <c r="C837" s="207"/>
      <c r="D837" s="1"/>
      <c r="E837" s="1"/>
      <c r="F837" s="188"/>
    </row>
    <row r="838" spans="1:6" ht="14.25" customHeight="1" x14ac:dyDescent="0.3">
      <c r="A838" s="1"/>
      <c r="B838" s="188"/>
      <c r="C838" s="207"/>
      <c r="D838" s="1"/>
      <c r="E838" s="1"/>
      <c r="F838" s="188"/>
    </row>
    <row r="839" spans="1:6" ht="14.25" customHeight="1" x14ac:dyDescent="0.3">
      <c r="A839" s="1"/>
      <c r="B839" s="188"/>
      <c r="C839" s="207"/>
      <c r="D839" s="1"/>
      <c r="E839" s="1"/>
      <c r="F839" s="188"/>
    </row>
    <row r="840" spans="1:6" ht="14.25" customHeight="1" x14ac:dyDescent="0.3">
      <c r="A840" s="1"/>
      <c r="B840" s="188"/>
      <c r="C840" s="207"/>
      <c r="D840" s="1"/>
      <c r="E840" s="1"/>
      <c r="F840" s="188"/>
    </row>
    <row r="841" spans="1:6" ht="14.25" customHeight="1" x14ac:dyDescent="0.3">
      <c r="A841" s="1"/>
      <c r="B841" s="188"/>
      <c r="C841" s="207"/>
      <c r="D841" s="1"/>
      <c r="E841" s="1"/>
      <c r="F841" s="188"/>
    </row>
    <row r="842" spans="1:6" ht="14.25" customHeight="1" x14ac:dyDescent="0.3">
      <c r="A842" s="1"/>
      <c r="B842" s="188"/>
      <c r="C842" s="207"/>
      <c r="D842" s="1"/>
      <c r="E842" s="1"/>
      <c r="F842" s="188"/>
    </row>
    <row r="843" spans="1:6" ht="14.25" customHeight="1" x14ac:dyDescent="0.3">
      <c r="A843" s="1"/>
      <c r="B843" s="188"/>
      <c r="C843" s="207"/>
      <c r="D843" s="1"/>
      <c r="E843" s="1"/>
      <c r="F843" s="188"/>
    </row>
    <row r="844" spans="1:6" ht="14.25" customHeight="1" x14ac:dyDescent="0.3">
      <c r="A844" s="1"/>
      <c r="B844" s="188"/>
      <c r="C844" s="207"/>
      <c r="D844" s="1"/>
      <c r="E844" s="1"/>
      <c r="F844" s="188"/>
    </row>
    <row r="845" spans="1:6" ht="14.25" customHeight="1" x14ac:dyDescent="0.3">
      <c r="A845" s="1"/>
      <c r="B845" s="188"/>
      <c r="C845" s="207"/>
      <c r="D845" s="1"/>
      <c r="E845" s="1"/>
      <c r="F845" s="188"/>
    </row>
    <row r="846" spans="1:6" ht="14.25" customHeight="1" x14ac:dyDescent="0.3">
      <c r="A846" s="1"/>
      <c r="B846" s="188"/>
      <c r="C846" s="207"/>
      <c r="D846" s="1"/>
      <c r="E846" s="1"/>
      <c r="F846" s="188"/>
    </row>
    <row r="847" spans="1:6" ht="14.25" customHeight="1" x14ac:dyDescent="0.3">
      <c r="A847" s="1"/>
      <c r="B847" s="188"/>
      <c r="C847" s="207"/>
      <c r="D847" s="1"/>
      <c r="E847" s="1"/>
      <c r="F847" s="188"/>
    </row>
    <row r="848" spans="1:6" ht="14.25" customHeight="1" x14ac:dyDescent="0.3">
      <c r="A848" s="1"/>
      <c r="B848" s="188"/>
      <c r="C848" s="207"/>
      <c r="D848" s="1"/>
      <c r="E848" s="1"/>
      <c r="F848" s="188"/>
    </row>
    <row r="849" spans="1:6" ht="14.25" customHeight="1" x14ac:dyDescent="0.3">
      <c r="A849" s="1"/>
      <c r="B849" s="188"/>
      <c r="C849" s="207"/>
      <c r="D849" s="1"/>
      <c r="E849" s="1"/>
      <c r="F849" s="188"/>
    </row>
    <row r="850" spans="1:6" ht="14.25" customHeight="1" x14ac:dyDescent="0.3">
      <c r="A850" s="1"/>
      <c r="B850" s="188"/>
      <c r="C850" s="207"/>
      <c r="D850" s="1"/>
      <c r="E850" s="1"/>
      <c r="F850" s="188"/>
    </row>
    <row r="851" spans="1:6" ht="14.25" customHeight="1" x14ac:dyDescent="0.3">
      <c r="A851" s="1"/>
      <c r="B851" s="188"/>
      <c r="C851" s="207"/>
      <c r="D851" s="1"/>
      <c r="E851" s="1"/>
      <c r="F851" s="188"/>
    </row>
    <row r="852" spans="1:6" ht="14.25" customHeight="1" x14ac:dyDescent="0.3">
      <c r="A852" s="1"/>
      <c r="B852" s="188"/>
      <c r="C852" s="207"/>
      <c r="D852" s="1"/>
      <c r="E852" s="1"/>
      <c r="F852" s="188"/>
    </row>
    <row r="853" spans="1:6" ht="14.25" customHeight="1" x14ac:dyDescent="0.3">
      <c r="A853" s="1"/>
      <c r="B853" s="188"/>
      <c r="C853" s="207"/>
      <c r="D853" s="1"/>
      <c r="E853" s="1"/>
      <c r="F853" s="188"/>
    </row>
    <row r="854" spans="1:6" ht="14.25" customHeight="1" x14ac:dyDescent="0.3">
      <c r="A854" s="1"/>
      <c r="B854" s="188"/>
      <c r="C854" s="207"/>
      <c r="D854" s="1"/>
      <c r="E854" s="1"/>
      <c r="F854" s="188"/>
    </row>
    <row r="855" spans="1:6" ht="14.25" customHeight="1" x14ac:dyDescent="0.3">
      <c r="A855" s="1"/>
      <c r="B855" s="188"/>
      <c r="C855" s="207"/>
      <c r="D855" s="1"/>
      <c r="E855" s="1"/>
      <c r="F855" s="188"/>
    </row>
    <row r="856" spans="1:6" ht="14.25" customHeight="1" x14ac:dyDescent="0.3">
      <c r="A856" s="1"/>
      <c r="B856" s="188"/>
      <c r="C856" s="207"/>
      <c r="D856" s="1"/>
      <c r="E856" s="1"/>
      <c r="F856" s="188"/>
    </row>
    <row r="857" spans="1:6" ht="14.25" customHeight="1" x14ac:dyDescent="0.3">
      <c r="A857" s="1"/>
      <c r="B857" s="188"/>
      <c r="C857" s="207"/>
      <c r="D857" s="1"/>
      <c r="E857" s="1"/>
      <c r="F857" s="188"/>
    </row>
    <row r="858" spans="1:6" ht="14.25" customHeight="1" x14ac:dyDescent="0.3">
      <c r="A858" s="1"/>
      <c r="B858" s="188"/>
      <c r="C858" s="207"/>
      <c r="D858" s="1"/>
      <c r="E858" s="1"/>
      <c r="F858" s="188"/>
    </row>
    <row r="859" spans="1:6" ht="14.25" customHeight="1" x14ac:dyDescent="0.3">
      <c r="A859" s="1"/>
      <c r="B859" s="188"/>
      <c r="C859" s="207"/>
      <c r="D859" s="1"/>
      <c r="E859" s="1"/>
      <c r="F859" s="188"/>
    </row>
    <row r="860" spans="1:6" ht="14.25" customHeight="1" x14ac:dyDescent="0.3">
      <c r="A860" s="1"/>
      <c r="B860" s="188"/>
      <c r="C860" s="207"/>
      <c r="D860" s="1"/>
      <c r="E860" s="1"/>
      <c r="F860" s="188"/>
    </row>
    <row r="861" spans="1:6" ht="14.25" customHeight="1" x14ac:dyDescent="0.3">
      <c r="A861" s="1"/>
      <c r="B861" s="188"/>
      <c r="C861" s="207"/>
      <c r="D861" s="1"/>
      <c r="E861" s="1"/>
      <c r="F861" s="188"/>
    </row>
    <row r="862" spans="1:6" ht="14.25" customHeight="1" x14ac:dyDescent="0.3">
      <c r="A862" s="1"/>
      <c r="B862" s="188"/>
      <c r="C862" s="207"/>
      <c r="D862" s="1"/>
      <c r="E862" s="1"/>
      <c r="F862" s="188"/>
    </row>
    <row r="863" spans="1:6" ht="14.25" customHeight="1" x14ac:dyDescent="0.3">
      <c r="A863" s="1"/>
      <c r="B863" s="188"/>
      <c r="C863" s="207"/>
      <c r="D863" s="1"/>
      <c r="E863" s="1"/>
      <c r="F863" s="188"/>
    </row>
    <row r="864" spans="1:6" ht="14.25" customHeight="1" x14ac:dyDescent="0.3">
      <c r="A864" s="1"/>
      <c r="B864" s="188"/>
      <c r="C864" s="207"/>
      <c r="D864" s="1"/>
      <c r="E864" s="1"/>
      <c r="F864" s="188"/>
    </row>
    <row r="865" spans="1:6" ht="14.25" customHeight="1" x14ac:dyDescent="0.3">
      <c r="A865" s="1"/>
      <c r="B865" s="188"/>
      <c r="C865" s="207"/>
      <c r="D865" s="1"/>
      <c r="E865" s="1"/>
      <c r="F865" s="188"/>
    </row>
    <row r="866" spans="1:6" ht="14.25" customHeight="1" x14ac:dyDescent="0.3">
      <c r="A866" s="1"/>
      <c r="B866" s="188"/>
      <c r="C866" s="207"/>
      <c r="D866" s="1"/>
      <c r="E866" s="1"/>
      <c r="F866" s="188"/>
    </row>
    <row r="867" spans="1:6" ht="14.25" customHeight="1" x14ac:dyDescent="0.3">
      <c r="A867" s="1"/>
      <c r="B867" s="188"/>
      <c r="C867" s="207"/>
      <c r="D867" s="1"/>
      <c r="E867" s="1"/>
      <c r="F867" s="188"/>
    </row>
    <row r="868" spans="1:6" ht="14.25" customHeight="1" x14ac:dyDescent="0.3">
      <c r="A868" s="1"/>
      <c r="B868" s="188"/>
      <c r="C868" s="207"/>
      <c r="D868" s="1"/>
      <c r="E868" s="1"/>
      <c r="F868" s="188"/>
    </row>
    <row r="869" spans="1:6" ht="14.25" customHeight="1" x14ac:dyDescent="0.3">
      <c r="A869" s="1"/>
      <c r="B869" s="188"/>
      <c r="C869" s="207"/>
      <c r="D869" s="1"/>
      <c r="E869" s="1"/>
      <c r="F869" s="188"/>
    </row>
    <row r="870" spans="1:6" ht="14.25" customHeight="1" x14ac:dyDescent="0.3">
      <c r="A870" s="1"/>
      <c r="B870" s="188"/>
      <c r="C870" s="207"/>
      <c r="D870" s="1"/>
      <c r="E870" s="1"/>
      <c r="F870" s="188"/>
    </row>
    <row r="871" spans="1:6" ht="14.25" customHeight="1" x14ac:dyDescent="0.3">
      <c r="A871" s="1"/>
      <c r="B871" s="188"/>
      <c r="C871" s="207"/>
      <c r="D871" s="1"/>
      <c r="E871" s="1"/>
      <c r="F871" s="188"/>
    </row>
    <row r="872" spans="1:6" ht="14.25" customHeight="1" x14ac:dyDescent="0.3">
      <c r="A872" s="1"/>
      <c r="B872" s="188"/>
      <c r="C872" s="207"/>
      <c r="D872" s="1"/>
      <c r="E872" s="1"/>
      <c r="F872" s="188"/>
    </row>
    <row r="873" spans="1:6" ht="14.25" customHeight="1" x14ac:dyDescent="0.3">
      <c r="A873" s="1"/>
      <c r="B873" s="188"/>
      <c r="C873" s="207"/>
      <c r="D873" s="1"/>
      <c r="E873" s="1"/>
      <c r="F873" s="188"/>
    </row>
    <row r="874" spans="1:6" ht="14.25" customHeight="1" x14ac:dyDescent="0.3">
      <c r="A874" s="1"/>
      <c r="B874" s="188"/>
      <c r="C874" s="207"/>
      <c r="D874" s="1"/>
      <c r="E874" s="1"/>
      <c r="F874" s="188"/>
    </row>
    <row r="875" spans="1:6" ht="14.25" customHeight="1" x14ac:dyDescent="0.3">
      <c r="A875" s="1"/>
      <c r="B875" s="188"/>
      <c r="C875" s="207"/>
      <c r="D875" s="1"/>
      <c r="E875" s="1"/>
      <c r="F875" s="188"/>
    </row>
    <row r="876" spans="1:6" ht="14.25" customHeight="1" x14ac:dyDescent="0.3">
      <c r="A876" s="1"/>
      <c r="B876" s="188"/>
      <c r="C876" s="207"/>
      <c r="D876" s="1"/>
      <c r="E876" s="1"/>
      <c r="F876" s="188"/>
    </row>
    <row r="877" spans="1:6" ht="14.25" customHeight="1" x14ac:dyDescent="0.3">
      <c r="A877" s="1"/>
      <c r="B877" s="188"/>
      <c r="C877" s="207"/>
      <c r="D877" s="1"/>
      <c r="E877" s="1"/>
      <c r="F877" s="188"/>
    </row>
    <row r="878" spans="1:6" ht="14.25" customHeight="1" x14ac:dyDescent="0.3">
      <c r="A878" s="1"/>
      <c r="B878" s="188"/>
      <c r="C878" s="207"/>
      <c r="D878" s="1"/>
      <c r="E878" s="1"/>
      <c r="F878" s="188"/>
    </row>
    <row r="879" spans="1:6" ht="14.25" customHeight="1" x14ac:dyDescent="0.3">
      <c r="A879" s="1"/>
      <c r="B879" s="188"/>
      <c r="C879" s="207"/>
      <c r="D879" s="1"/>
      <c r="E879" s="1"/>
      <c r="F879" s="188"/>
    </row>
    <row r="880" spans="1:6" ht="14.25" customHeight="1" x14ac:dyDescent="0.3">
      <c r="A880" s="1"/>
      <c r="B880" s="188"/>
      <c r="C880" s="207"/>
      <c r="D880" s="1"/>
      <c r="E880" s="1"/>
      <c r="F880" s="188"/>
    </row>
    <row r="881" spans="1:6" ht="14.25" customHeight="1" x14ac:dyDescent="0.3">
      <c r="A881" s="1"/>
      <c r="B881" s="188"/>
      <c r="C881" s="207"/>
      <c r="D881" s="1"/>
      <c r="E881" s="1"/>
      <c r="F881" s="188"/>
    </row>
    <row r="882" spans="1:6" ht="14.25" customHeight="1" x14ac:dyDescent="0.3">
      <c r="A882" s="1"/>
      <c r="B882" s="188"/>
      <c r="C882" s="207"/>
      <c r="D882" s="1"/>
      <c r="E882" s="1"/>
      <c r="F882" s="188"/>
    </row>
    <row r="883" spans="1:6" ht="14.25" customHeight="1" x14ac:dyDescent="0.3">
      <c r="A883" s="1"/>
      <c r="B883" s="188"/>
      <c r="C883" s="207"/>
      <c r="D883" s="1"/>
      <c r="E883" s="1"/>
      <c r="F883" s="188"/>
    </row>
    <row r="884" spans="1:6" ht="14.25" customHeight="1" x14ac:dyDescent="0.3">
      <c r="A884" s="1"/>
      <c r="B884" s="188"/>
      <c r="C884" s="207"/>
      <c r="D884" s="1"/>
      <c r="E884" s="1"/>
      <c r="F884" s="188"/>
    </row>
    <row r="885" spans="1:6" ht="14.25" customHeight="1" x14ac:dyDescent="0.3">
      <c r="A885" s="1"/>
      <c r="B885" s="188"/>
      <c r="C885" s="207"/>
      <c r="D885" s="1"/>
      <c r="E885" s="1"/>
      <c r="F885" s="188"/>
    </row>
    <row r="886" spans="1:6" ht="14.25" customHeight="1" x14ac:dyDescent="0.3">
      <c r="A886" s="1"/>
      <c r="B886" s="188"/>
      <c r="C886" s="207"/>
      <c r="D886" s="1"/>
      <c r="E886" s="1"/>
      <c r="F886" s="188"/>
    </row>
    <row r="887" spans="1:6" ht="14.25" customHeight="1" x14ac:dyDescent="0.3">
      <c r="A887" s="1"/>
      <c r="B887" s="188"/>
      <c r="C887" s="207"/>
      <c r="D887" s="1"/>
      <c r="E887" s="1"/>
      <c r="F887" s="188"/>
    </row>
    <row r="888" spans="1:6" ht="14.25" customHeight="1" x14ac:dyDescent="0.3">
      <c r="A888" s="1"/>
      <c r="B888" s="188"/>
      <c r="C888" s="207"/>
      <c r="D888" s="1"/>
      <c r="E888" s="1"/>
      <c r="F888" s="188"/>
    </row>
    <row r="889" spans="1:6" ht="14.25" customHeight="1" x14ac:dyDescent="0.3">
      <c r="A889" s="1"/>
      <c r="B889" s="188"/>
      <c r="C889" s="207"/>
      <c r="D889" s="1"/>
      <c r="E889" s="1"/>
      <c r="F889" s="188"/>
    </row>
    <row r="890" spans="1:6" ht="14.25" customHeight="1" x14ac:dyDescent="0.3">
      <c r="A890" s="1"/>
      <c r="B890" s="188"/>
      <c r="C890" s="207"/>
      <c r="D890" s="1"/>
      <c r="E890" s="1"/>
      <c r="F890" s="188"/>
    </row>
    <row r="891" spans="1:6" ht="14.25" customHeight="1" x14ac:dyDescent="0.3">
      <c r="A891" s="1"/>
      <c r="B891" s="188"/>
      <c r="C891" s="207"/>
      <c r="D891" s="1"/>
      <c r="E891" s="1"/>
      <c r="F891" s="188"/>
    </row>
    <row r="892" spans="1:6" ht="14.25" customHeight="1" x14ac:dyDescent="0.3">
      <c r="A892" s="1"/>
      <c r="B892" s="188"/>
      <c r="C892" s="207"/>
      <c r="D892" s="1"/>
      <c r="E892" s="1"/>
      <c r="F892" s="188"/>
    </row>
    <row r="893" spans="1:6" ht="14.25" customHeight="1" x14ac:dyDescent="0.3">
      <c r="A893" s="1"/>
      <c r="B893" s="188"/>
      <c r="C893" s="207"/>
      <c r="D893" s="1"/>
      <c r="E893" s="1"/>
      <c r="F893" s="188"/>
    </row>
    <row r="894" spans="1:6" ht="14.25" customHeight="1" x14ac:dyDescent="0.3">
      <c r="A894" s="1"/>
      <c r="B894" s="188"/>
      <c r="C894" s="207"/>
      <c r="D894" s="1"/>
      <c r="E894" s="1"/>
      <c r="F894" s="188"/>
    </row>
    <row r="895" spans="1:6" ht="14.25" customHeight="1" x14ac:dyDescent="0.3">
      <c r="A895" s="1"/>
      <c r="B895" s="188"/>
      <c r="C895" s="207"/>
      <c r="D895" s="1"/>
      <c r="E895" s="1"/>
      <c r="F895" s="188"/>
    </row>
    <row r="896" spans="1:6" ht="14.25" customHeight="1" x14ac:dyDescent="0.3">
      <c r="A896" s="1"/>
      <c r="B896" s="188"/>
      <c r="C896" s="207"/>
      <c r="D896" s="1"/>
      <c r="E896" s="1"/>
      <c r="F896" s="188"/>
    </row>
    <row r="897" spans="1:6" ht="14.25" customHeight="1" x14ac:dyDescent="0.3">
      <c r="A897" s="1"/>
      <c r="B897" s="188"/>
      <c r="C897" s="207"/>
      <c r="D897" s="1"/>
      <c r="E897" s="1"/>
      <c r="F897" s="188"/>
    </row>
    <row r="898" spans="1:6" ht="14.25" customHeight="1" x14ac:dyDescent="0.3">
      <c r="A898" s="1"/>
      <c r="B898" s="188"/>
      <c r="C898" s="207"/>
      <c r="D898" s="1"/>
      <c r="E898" s="1"/>
      <c r="F898" s="188"/>
    </row>
    <row r="899" spans="1:6" ht="14.25" customHeight="1" x14ac:dyDescent="0.3">
      <c r="A899" s="1"/>
      <c r="B899" s="188"/>
      <c r="C899" s="207"/>
      <c r="D899" s="1"/>
      <c r="E899" s="1"/>
      <c r="F899" s="188"/>
    </row>
    <row r="900" spans="1:6" ht="14.25" customHeight="1" x14ac:dyDescent="0.3">
      <c r="A900" s="1"/>
      <c r="B900" s="188"/>
      <c r="C900" s="207"/>
      <c r="D900" s="1"/>
      <c r="E900" s="1"/>
      <c r="F900" s="188"/>
    </row>
    <row r="901" spans="1:6" ht="14.25" customHeight="1" x14ac:dyDescent="0.3">
      <c r="A901" s="1"/>
      <c r="B901" s="188"/>
      <c r="C901" s="207"/>
      <c r="D901" s="1"/>
      <c r="E901" s="1"/>
      <c r="F901" s="188"/>
    </row>
    <row r="902" spans="1:6" ht="14.25" customHeight="1" x14ac:dyDescent="0.3">
      <c r="A902" s="1"/>
      <c r="B902" s="188"/>
      <c r="C902" s="207"/>
      <c r="D902" s="1"/>
      <c r="E902" s="1"/>
      <c r="F902" s="188"/>
    </row>
    <row r="903" spans="1:6" ht="14.25" customHeight="1" x14ac:dyDescent="0.3">
      <c r="A903" s="1"/>
      <c r="B903" s="188"/>
      <c r="C903" s="207"/>
      <c r="D903" s="1"/>
      <c r="E903" s="1"/>
      <c r="F903" s="188"/>
    </row>
    <row r="904" spans="1:6" ht="14.25" customHeight="1" x14ac:dyDescent="0.3">
      <c r="A904" s="1"/>
      <c r="B904" s="188"/>
      <c r="C904" s="207"/>
      <c r="D904" s="1"/>
      <c r="E904" s="1"/>
      <c r="F904" s="188"/>
    </row>
    <row r="905" spans="1:6" ht="14.25" customHeight="1" x14ac:dyDescent="0.3">
      <c r="A905" s="1"/>
      <c r="B905" s="188"/>
      <c r="C905" s="207"/>
      <c r="D905" s="1"/>
      <c r="E905" s="1"/>
      <c r="F905" s="188"/>
    </row>
    <row r="906" spans="1:6" ht="14.25" customHeight="1" x14ac:dyDescent="0.3">
      <c r="A906" s="1"/>
      <c r="B906" s="188"/>
      <c r="C906" s="207"/>
      <c r="D906" s="1"/>
      <c r="E906" s="1"/>
      <c r="F906" s="188"/>
    </row>
    <row r="907" spans="1:6" ht="14.25" customHeight="1" x14ac:dyDescent="0.3">
      <c r="A907" s="1"/>
      <c r="B907" s="188"/>
      <c r="C907" s="207"/>
      <c r="D907" s="1"/>
      <c r="E907" s="1"/>
      <c r="F907" s="188"/>
    </row>
    <row r="908" spans="1:6" ht="14.25" customHeight="1" x14ac:dyDescent="0.3">
      <c r="A908" s="1"/>
      <c r="B908" s="188"/>
      <c r="C908" s="207"/>
      <c r="D908" s="1"/>
      <c r="E908" s="1"/>
      <c r="F908" s="188"/>
    </row>
    <row r="909" spans="1:6" ht="14.25" customHeight="1" x14ac:dyDescent="0.3">
      <c r="A909" s="1"/>
      <c r="B909" s="188"/>
      <c r="C909" s="207"/>
      <c r="D909" s="1"/>
      <c r="E909" s="1"/>
      <c r="F909" s="188"/>
    </row>
    <row r="910" spans="1:6" ht="14.25" customHeight="1" x14ac:dyDescent="0.3">
      <c r="A910" s="1"/>
      <c r="B910" s="188"/>
      <c r="C910" s="207"/>
      <c r="D910" s="1"/>
      <c r="E910" s="1"/>
      <c r="F910" s="188"/>
    </row>
    <row r="911" spans="1:6" ht="14.25" customHeight="1" x14ac:dyDescent="0.3">
      <c r="A911" s="1"/>
      <c r="B911" s="188"/>
      <c r="C911" s="207"/>
      <c r="D911" s="1"/>
      <c r="E911" s="1"/>
      <c r="F911" s="188"/>
    </row>
    <row r="912" spans="1:6" ht="14.25" customHeight="1" x14ac:dyDescent="0.3">
      <c r="A912" s="1"/>
      <c r="B912" s="188"/>
      <c r="C912" s="207"/>
      <c r="D912" s="1"/>
      <c r="E912" s="1"/>
      <c r="F912" s="188"/>
    </row>
    <row r="913" spans="1:6" ht="14.25" customHeight="1" x14ac:dyDescent="0.3">
      <c r="A913" s="1"/>
      <c r="B913" s="188"/>
      <c r="C913" s="207"/>
      <c r="D913" s="1"/>
      <c r="E913" s="1"/>
      <c r="F913" s="188"/>
    </row>
    <row r="914" spans="1:6" ht="14.25" customHeight="1" x14ac:dyDescent="0.3">
      <c r="A914" s="1"/>
      <c r="B914" s="188"/>
      <c r="C914" s="207"/>
      <c r="D914" s="1"/>
      <c r="E914" s="1"/>
      <c r="F914" s="188"/>
    </row>
    <row r="915" spans="1:6" ht="14.25" customHeight="1" x14ac:dyDescent="0.3">
      <c r="A915" s="1"/>
      <c r="B915" s="188"/>
      <c r="C915" s="207"/>
      <c r="D915" s="1"/>
      <c r="E915" s="1"/>
      <c r="F915" s="188"/>
    </row>
    <row r="916" spans="1:6" ht="14.25" customHeight="1" x14ac:dyDescent="0.3">
      <c r="A916" s="1"/>
      <c r="B916" s="188"/>
      <c r="C916" s="207"/>
      <c r="D916" s="1"/>
      <c r="E916" s="1"/>
      <c r="F916" s="188"/>
    </row>
    <row r="917" spans="1:6" ht="14.25" customHeight="1" x14ac:dyDescent="0.3">
      <c r="A917" s="1"/>
      <c r="B917" s="188"/>
      <c r="C917" s="207"/>
      <c r="D917" s="1"/>
      <c r="E917" s="1"/>
      <c r="F917" s="188"/>
    </row>
    <row r="918" spans="1:6" ht="14.25" customHeight="1" x14ac:dyDescent="0.3">
      <c r="A918" s="1"/>
      <c r="B918" s="188"/>
      <c r="C918" s="207"/>
      <c r="D918" s="1"/>
      <c r="E918" s="1"/>
      <c r="F918" s="188"/>
    </row>
    <row r="919" spans="1:6" ht="14.25" customHeight="1" x14ac:dyDescent="0.3">
      <c r="A919" s="1"/>
      <c r="B919" s="188"/>
      <c r="C919" s="207"/>
      <c r="D919" s="1"/>
      <c r="E919" s="1"/>
      <c r="F919" s="188"/>
    </row>
    <row r="920" spans="1:6" ht="14.25" customHeight="1" x14ac:dyDescent="0.3">
      <c r="A920" s="1"/>
      <c r="B920" s="188"/>
      <c r="C920" s="207"/>
      <c r="D920" s="1"/>
      <c r="E920" s="1"/>
      <c r="F920" s="188"/>
    </row>
    <row r="921" spans="1:6" ht="14.25" customHeight="1" x14ac:dyDescent="0.3">
      <c r="A921" s="1"/>
      <c r="B921" s="188"/>
      <c r="C921" s="207"/>
      <c r="D921" s="1"/>
      <c r="E921" s="1"/>
      <c r="F921" s="188"/>
    </row>
    <row r="922" spans="1:6" ht="14.25" customHeight="1" x14ac:dyDescent="0.3">
      <c r="A922" s="1"/>
      <c r="B922" s="188"/>
      <c r="C922" s="207"/>
      <c r="D922" s="1"/>
      <c r="E922" s="1"/>
      <c r="F922" s="188"/>
    </row>
    <row r="923" spans="1:6" ht="14.25" customHeight="1" x14ac:dyDescent="0.3">
      <c r="A923" s="1"/>
      <c r="B923" s="188"/>
      <c r="C923" s="207"/>
      <c r="D923" s="1"/>
      <c r="E923" s="1"/>
      <c r="F923" s="188"/>
    </row>
    <row r="924" spans="1:6" ht="14.25" customHeight="1" x14ac:dyDescent="0.3">
      <c r="A924" s="1"/>
      <c r="B924" s="188"/>
      <c r="C924" s="207"/>
      <c r="D924" s="1"/>
      <c r="E924" s="1"/>
      <c r="F924" s="188"/>
    </row>
    <row r="925" spans="1:6" ht="14.25" customHeight="1" x14ac:dyDescent="0.3">
      <c r="A925" s="1"/>
      <c r="B925" s="188"/>
      <c r="C925" s="207"/>
      <c r="D925" s="1"/>
      <c r="E925" s="1"/>
      <c r="F925" s="188"/>
    </row>
    <row r="926" spans="1:6" ht="14.25" customHeight="1" x14ac:dyDescent="0.3">
      <c r="A926" s="1"/>
      <c r="B926" s="188"/>
      <c r="C926" s="207"/>
      <c r="D926" s="1"/>
      <c r="E926" s="1"/>
      <c r="F926" s="188"/>
    </row>
    <row r="927" spans="1:6" ht="14.25" customHeight="1" x14ac:dyDescent="0.3">
      <c r="A927" s="1"/>
      <c r="B927" s="188"/>
      <c r="C927" s="207"/>
      <c r="D927" s="1"/>
      <c r="E927" s="1"/>
      <c r="F927" s="188"/>
    </row>
    <row r="928" spans="1:6" ht="14.25" customHeight="1" x14ac:dyDescent="0.3">
      <c r="A928" s="1"/>
      <c r="B928" s="188"/>
      <c r="C928" s="207"/>
      <c r="D928" s="1"/>
      <c r="E928" s="1"/>
      <c r="F928" s="188"/>
    </row>
    <row r="929" spans="1:6" ht="14.25" customHeight="1" x14ac:dyDescent="0.3">
      <c r="A929" s="1"/>
      <c r="B929" s="188"/>
      <c r="C929" s="207"/>
      <c r="D929" s="1"/>
      <c r="E929" s="1"/>
      <c r="F929" s="188"/>
    </row>
    <row r="930" spans="1:6" ht="14.25" customHeight="1" x14ac:dyDescent="0.3">
      <c r="A930" s="1"/>
      <c r="B930" s="188"/>
      <c r="C930" s="207"/>
      <c r="D930" s="1"/>
      <c r="E930" s="1"/>
      <c r="F930" s="188"/>
    </row>
    <row r="931" spans="1:6" ht="14.25" customHeight="1" x14ac:dyDescent="0.3">
      <c r="A931" s="1"/>
      <c r="B931" s="188"/>
      <c r="C931" s="207"/>
      <c r="D931" s="1"/>
      <c r="E931" s="1"/>
      <c r="F931" s="188"/>
    </row>
    <row r="932" spans="1:6" ht="14.25" customHeight="1" x14ac:dyDescent="0.3">
      <c r="A932" s="1"/>
      <c r="B932" s="188"/>
      <c r="C932" s="207"/>
      <c r="D932" s="1"/>
      <c r="E932" s="1"/>
      <c r="F932" s="188"/>
    </row>
    <row r="933" spans="1:6" ht="14.25" customHeight="1" x14ac:dyDescent="0.3">
      <c r="A933" s="1"/>
      <c r="B933" s="188"/>
      <c r="C933" s="207"/>
      <c r="D933" s="1"/>
      <c r="E933" s="1"/>
      <c r="F933" s="188"/>
    </row>
    <row r="934" spans="1:6" ht="14.25" customHeight="1" x14ac:dyDescent="0.3">
      <c r="A934" s="1"/>
      <c r="B934" s="188"/>
      <c r="C934" s="207"/>
      <c r="D934" s="1"/>
      <c r="E934" s="1"/>
      <c r="F934" s="188"/>
    </row>
    <row r="935" spans="1:6" ht="14.25" customHeight="1" x14ac:dyDescent="0.3">
      <c r="A935" s="1"/>
      <c r="B935" s="188"/>
      <c r="C935" s="207"/>
      <c r="D935" s="1"/>
      <c r="E935" s="1"/>
      <c r="F935" s="188"/>
    </row>
    <row r="936" spans="1:6" ht="14.25" customHeight="1" x14ac:dyDescent="0.3">
      <c r="A936" s="1"/>
      <c r="B936" s="188"/>
      <c r="C936" s="207"/>
      <c r="D936" s="1"/>
      <c r="E936" s="1"/>
      <c r="F936" s="188"/>
    </row>
    <row r="937" spans="1:6" ht="14.25" customHeight="1" x14ac:dyDescent="0.3">
      <c r="A937" s="1"/>
      <c r="B937" s="188"/>
      <c r="C937" s="207"/>
      <c r="D937" s="1"/>
      <c r="E937" s="1"/>
      <c r="F937" s="188"/>
    </row>
    <row r="938" spans="1:6" ht="14.25" customHeight="1" x14ac:dyDescent="0.3">
      <c r="A938" s="1"/>
      <c r="B938" s="188"/>
      <c r="C938" s="207"/>
      <c r="D938" s="1"/>
      <c r="E938" s="1"/>
      <c r="F938" s="188"/>
    </row>
    <row r="939" spans="1:6" ht="14.25" customHeight="1" x14ac:dyDescent="0.3">
      <c r="A939" s="1"/>
      <c r="B939" s="188"/>
      <c r="C939" s="207"/>
      <c r="D939" s="1"/>
      <c r="E939" s="1"/>
      <c r="F939" s="188"/>
    </row>
    <row r="940" spans="1:6" ht="14.25" customHeight="1" x14ac:dyDescent="0.3">
      <c r="A940" s="1"/>
      <c r="B940" s="188"/>
      <c r="C940" s="207"/>
      <c r="D940" s="1"/>
      <c r="E940" s="1"/>
      <c r="F940" s="188"/>
    </row>
    <row r="941" spans="1:6" ht="14.25" customHeight="1" x14ac:dyDescent="0.3">
      <c r="A941" s="1"/>
      <c r="B941" s="188"/>
      <c r="C941" s="207"/>
      <c r="D941" s="1"/>
      <c r="E941" s="1"/>
      <c r="F941" s="188"/>
    </row>
    <row r="942" spans="1:6" ht="14.25" customHeight="1" x14ac:dyDescent="0.3">
      <c r="A942" s="1"/>
      <c r="B942" s="188"/>
      <c r="C942" s="207"/>
      <c r="D942" s="1"/>
      <c r="E942" s="1"/>
      <c r="F942" s="188"/>
    </row>
    <row r="943" spans="1:6" ht="14.25" customHeight="1" x14ac:dyDescent="0.3">
      <c r="A943" s="1"/>
      <c r="B943" s="188"/>
      <c r="C943" s="207"/>
      <c r="D943" s="1"/>
      <c r="E943" s="1"/>
      <c r="F943" s="188"/>
    </row>
    <row r="944" spans="1:6" ht="14.25" customHeight="1" x14ac:dyDescent="0.3">
      <c r="A944" s="1"/>
      <c r="B944" s="188"/>
      <c r="C944" s="207"/>
      <c r="D944" s="1"/>
      <c r="E944" s="1"/>
      <c r="F944" s="188"/>
    </row>
    <row r="945" spans="1:6" ht="14.25" customHeight="1" x14ac:dyDescent="0.3">
      <c r="A945" s="1"/>
      <c r="B945" s="188"/>
      <c r="C945" s="207"/>
      <c r="D945" s="1"/>
      <c r="E945" s="1"/>
      <c r="F945" s="188"/>
    </row>
    <row r="946" spans="1:6" ht="14.25" customHeight="1" x14ac:dyDescent="0.3">
      <c r="A946" s="1"/>
      <c r="B946" s="188"/>
      <c r="C946" s="207"/>
      <c r="D946" s="1"/>
      <c r="E946" s="1"/>
      <c r="F946" s="188"/>
    </row>
    <row r="947" spans="1:6" ht="14.25" customHeight="1" x14ac:dyDescent="0.3">
      <c r="A947" s="1"/>
      <c r="B947" s="188"/>
      <c r="C947" s="207"/>
      <c r="D947" s="1"/>
      <c r="E947" s="1"/>
      <c r="F947" s="188"/>
    </row>
    <row r="948" spans="1:6" ht="14.25" customHeight="1" x14ac:dyDescent="0.3">
      <c r="A948" s="1"/>
      <c r="B948" s="188"/>
      <c r="C948" s="207"/>
      <c r="D948" s="1"/>
      <c r="E948" s="1"/>
      <c r="F948" s="188"/>
    </row>
    <row r="949" spans="1:6" ht="14.25" customHeight="1" x14ac:dyDescent="0.3">
      <c r="A949" s="1"/>
      <c r="B949" s="188"/>
      <c r="C949" s="207"/>
      <c r="D949" s="1"/>
      <c r="E949" s="1"/>
      <c r="F949" s="188"/>
    </row>
    <row r="950" spans="1:6" ht="14.25" customHeight="1" x14ac:dyDescent="0.3">
      <c r="A950" s="1"/>
      <c r="B950" s="188"/>
      <c r="C950" s="207"/>
      <c r="D950" s="1"/>
      <c r="E950" s="1"/>
      <c r="F950" s="188"/>
    </row>
    <row r="951" spans="1:6" ht="14.25" customHeight="1" x14ac:dyDescent="0.3">
      <c r="A951" s="1"/>
      <c r="B951" s="188"/>
      <c r="C951" s="207"/>
      <c r="D951" s="1"/>
      <c r="E951" s="1"/>
      <c r="F951" s="188"/>
    </row>
    <row r="952" spans="1:6" ht="14.25" customHeight="1" x14ac:dyDescent="0.3">
      <c r="A952" s="1"/>
      <c r="B952" s="188"/>
      <c r="C952" s="207"/>
      <c r="D952" s="1"/>
      <c r="E952" s="1"/>
      <c r="F952" s="188"/>
    </row>
    <row r="953" spans="1:6" ht="14.25" customHeight="1" x14ac:dyDescent="0.3">
      <c r="A953" s="1"/>
      <c r="B953" s="188"/>
      <c r="C953" s="207"/>
      <c r="D953" s="1"/>
      <c r="E953" s="1"/>
      <c r="F953" s="188"/>
    </row>
    <row r="954" spans="1:6" ht="14.25" customHeight="1" x14ac:dyDescent="0.3">
      <c r="A954" s="1"/>
      <c r="B954" s="188"/>
      <c r="C954" s="207"/>
      <c r="D954" s="1"/>
      <c r="E954" s="1"/>
      <c r="F954" s="188"/>
    </row>
    <row r="955" spans="1:6" ht="14.25" customHeight="1" x14ac:dyDescent="0.3">
      <c r="A955" s="1"/>
      <c r="B955" s="188"/>
      <c r="C955" s="207"/>
      <c r="D955" s="1"/>
      <c r="E955" s="1"/>
      <c r="F955" s="188"/>
    </row>
    <row r="956" spans="1:6" ht="14.25" customHeight="1" x14ac:dyDescent="0.3">
      <c r="A956" s="1"/>
      <c r="B956" s="188"/>
      <c r="C956" s="207"/>
      <c r="D956" s="1"/>
      <c r="E956" s="1"/>
      <c r="F956" s="188"/>
    </row>
    <row r="957" spans="1:6" ht="14.25" customHeight="1" x14ac:dyDescent="0.3">
      <c r="A957" s="1"/>
      <c r="B957" s="188"/>
      <c r="C957" s="207"/>
      <c r="D957" s="1"/>
      <c r="E957" s="1"/>
      <c r="F957" s="188"/>
    </row>
    <row r="958" spans="1:6" ht="14.25" customHeight="1" x14ac:dyDescent="0.3">
      <c r="A958" s="1"/>
      <c r="B958" s="188"/>
      <c r="C958" s="207"/>
      <c r="D958" s="1"/>
      <c r="E958" s="1"/>
      <c r="F958" s="188"/>
    </row>
    <row r="959" spans="1:6" ht="14.25" customHeight="1" x14ac:dyDescent="0.3">
      <c r="A959" s="1"/>
      <c r="B959" s="188"/>
      <c r="C959" s="207"/>
      <c r="D959" s="1"/>
      <c r="E959" s="1"/>
      <c r="F959" s="188"/>
    </row>
    <row r="960" spans="1:6" ht="14.25" customHeight="1" x14ac:dyDescent="0.3">
      <c r="A960" s="1"/>
      <c r="B960" s="188"/>
      <c r="C960" s="207"/>
      <c r="D960" s="1"/>
      <c r="E960" s="1"/>
      <c r="F960" s="188"/>
    </row>
    <row r="961" spans="1:6" ht="14.25" customHeight="1" x14ac:dyDescent="0.3">
      <c r="A961" s="1"/>
      <c r="B961" s="188"/>
      <c r="C961" s="207"/>
      <c r="D961" s="1"/>
      <c r="E961" s="1"/>
      <c r="F961" s="188"/>
    </row>
    <row r="962" spans="1:6" ht="14.25" customHeight="1" x14ac:dyDescent="0.3">
      <c r="A962" s="1"/>
      <c r="B962" s="188"/>
      <c r="C962" s="207"/>
      <c r="D962" s="1"/>
      <c r="E962" s="1"/>
      <c r="F962" s="188"/>
    </row>
    <row r="963" spans="1:6" ht="14.25" customHeight="1" x14ac:dyDescent="0.3">
      <c r="A963" s="1"/>
      <c r="B963" s="188"/>
      <c r="C963" s="207"/>
      <c r="D963" s="1"/>
      <c r="E963" s="1"/>
      <c r="F963" s="188"/>
    </row>
    <row r="964" spans="1:6" ht="14.25" customHeight="1" x14ac:dyDescent="0.3">
      <c r="A964" s="1"/>
      <c r="B964" s="188"/>
      <c r="C964" s="207"/>
      <c r="D964" s="1"/>
      <c r="E964" s="1"/>
      <c r="F964" s="188"/>
    </row>
    <row r="965" spans="1:6" ht="14.25" customHeight="1" x14ac:dyDescent="0.3">
      <c r="A965" s="1"/>
      <c r="B965" s="188"/>
      <c r="C965" s="207"/>
      <c r="D965" s="1"/>
      <c r="E965" s="1"/>
      <c r="F965" s="188"/>
    </row>
    <row r="966" spans="1:6" ht="14.25" customHeight="1" x14ac:dyDescent="0.3">
      <c r="A966" s="1"/>
      <c r="B966" s="188"/>
      <c r="C966" s="207"/>
      <c r="D966" s="1"/>
      <c r="E966" s="1"/>
      <c r="F966" s="188"/>
    </row>
    <row r="967" spans="1:6" ht="14.25" customHeight="1" x14ac:dyDescent="0.3">
      <c r="A967" s="1"/>
      <c r="B967" s="188"/>
      <c r="C967" s="207"/>
      <c r="D967" s="1"/>
      <c r="E967" s="1"/>
      <c r="F967" s="188"/>
    </row>
    <row r="968" spans="1:6" ht="14.25" customHeight="1" x14ac:dyDescent="0.3">
      <c r="A968" s="1"/>
      <c r="B968" s="188"/>
      <c r="C968" s="207"/>
      <c r="D968" s="1"/>
      <c r="E968" s="1"/>
      <c r="F968" s="188"/>
    </row>
    <row r="969" spans="1:6" ht="14.25" customHeight="1" x14ac:dyDescent="0.3">
      <c r="A969" s="1"/>
      <c r="B969" s="188"/>
      <c r="C969" s="207"/>
      <c r="D969" s="1"/>
      <c r="E969" s="1"/>
      <c r="F969" s="188"/>
    </row>
    <row r="970" spans="1:6" ht="14.25" customHeight="1" x14ac:dyDescent="0.3">
      <c r="A970" s="1"/>
      <c r="B970" s="188"/>
      <c r="C970" s="207"/>
      <c r="D970" s="1"/>
      <c r="E970" s="1"/>
      <c r="F970" s="188"/>
    </row>
    <row r="971" spans="1:6" ht="14.25" customHeight="1" x14ac:dyDescent="0.3">
      <c r="A971" s="1"/>
      <c r="B971" s="188"/>
      <c r="C971" s="207"/>
      <c r="D971" s="1"/>
      <c r="E971" s="1"/>
      <c r="F971" s="188"/>
    </row>
    <row r="972" spans="1:6" ht="14.25" customHeight="1" x14ac:dyDescent="0.3">
      <c r="A972" s="1"/>
      <c r="B972" s="188"/>
      <c r="C972" s="207"/>
      <c r="D972" s="1"/>
      <c r="E972" s="1"/>
      <c r="F972" s="188"/>
    </row>
    <row r="973" spans="1:6" ht="14.25" customHeight="1" x14ac:dyDescent="0.3">
      <c r="A973" s="1"/>
      <c r="B973" s="188"/>
      <c r="C973" s="207"/>
      <c r="D973" s="1"/>
      <c r="E973" s="1"/>
      <c r="F973" s="188"/>
    </row>
    <row r="974" spans="1:6" ht="14.25" customHeight="1" x14ac:dyDescent="0.3">
      <c r="A974" s="1"/>
      <c r="B974" s="188"/>
      <c r="C974" s="207"/>
      <c r="D974" s="1"/>
      <c r="E974" s="1"/>
      <c r="F974" s="188"/>
    </row>
    <row r="975" spans="1:6" ht="14.25" customHeight="1" x14ac:dyDescent="0.3">
      <c r="A975" s="1"/>
      <c r="B975" s="188"/>
      <c r="C975" s="207"/>
      <c r="D975" s="1"/>
      <c r="E975" s="1"/>
      <c r="F975" s="188"/>
    </row>
    <row r="976" spans="1:6" ht="14.25" customHeight="1" x14ac:dyDescent="0.3">
      <c r="A976" s="1"/>
      <c r="B976" s="188"/>
      <c r="C976" s="207"/>
      <c r="D976" s="1"/>
      <c r="E976" s="1"/>
      <c r="F976" s="188"/>
    </row>
    <row r="977" spans="1:6" ht="14.25" customHeight="1" x14ac:dyDescent="0.3">
      <c r="A977" s="1"/>
      <c r="B977" s="188"/>
      <c r="C977" s="207"/>
      <c r="D977" s="1"/>
      <c r="E977" s="1"/>
      <c r="F977" s="188"/>
    </row>
    <row r="978" spans="1:6" ht="14.25" customHeight="1" x14ac:dyDescent="0.3">
      <c r="A978" s="1"/>
      <c r="B978" s="188"/>
      <c r="C978" s="207"/>
      <c r="D978" s="1"/>
      <c r="E978" s="1"/>
      <c r="F978" s="188"/>
    </row>
    <row r="979" spans="1:6" ht="14.25" customHeight="1" x14ac:dyDescent="0.3">
      <c r="A979" s="1"/>
      <c r="B979" s="188"/>
      <c r="C979" s="207"/>
      <c r="D979" s="1"/>
      <c r="E979" s="1"/>
      <c r="F979" s="188"/>
    </row>
    <row r="980" spans="1:6" ht="14.25" customHeight="1" x14ac:dyDescent="0.3">
      <c r="A980" s="1"/>
      <c r="B980" s="188"/>
      <c r="C980" s="207"/>
      <c r="D980" s="1"/>
      <c r="E980" s="1"/>
      <c r="F980" s="188"/>
    </row>
    <row r="981" spans="1:6" ht="14.25" customHeight="1" x14ac:dyDescent="0.3">
      <c r="A981" s="1"/>
      <c r="B981" s="188"/>
      <c r="C981" s="207"/>
      <c r="D981" s="1"/>
      <c r="E981" s="1"/>
      <c r="F981" s="188"/>
    </row>
    <row r="982" spans="1:6" ht="14.25" customHeight="1" x14ac:dyDescent="0.3">
      <c r="A982" s="1"/>
      <c r="B982" s="188"/>
      <c r="C982" s="207"/>
      <c r="D982" s="1"/>
      <c r="E982" s="1"/>
      <c r="F982" s="188"/>
    </row>
    <row r="983" spans="1:6" ht="14.25" customHeight="1" x14ac:dyDescent="0.3">
      <c r="A983" s="1"/>
      <c r="B983" s="188"/>
      <c r="C983" s="207"/>
      <c r="D983" s="1"/>
      <c r="E983" s="1"/>
      <c r="F983" s="188"/>
    </row>
    <row r="984" spans="1:6" ht="14.25" customHeight="1" x14ac:dyDescent="0.3">
      <c r="A984" s="1"/>
      <c r="B984" s="188"/>
      <c r="C984" s="207"/>
      <c r="D984" s="1"/>
      <c r="E984" s="1"/>
      <c r="F984" s="188"/>
    </row>
    <row r="985" spans="1:6" ht="14.25" customHeight="1" x14ac:dyDescent="0.3">
      <c r="A985" s="1"/>
      <c r="B985" s="188"/>
      <c r="C985" s="207"/>
      <c r="D985" s="1"/>
      <c r="E985" s="1"/>
      <c r="F985" s="188"/>
    </row>
    <row r="986" spans="1:6" ht="14.25" customHeight="1" x14ac:dyDescent="0.3">
      <c r="A986" s="1"/>
      <c r="B986" s="188"/>
      <c r="C986" s="207"/>
      <c r="D986" s="1"/>
      <c r="E986" s="1"/>
      <c r="F986" s="188"/>
    </row>
    <row r="987" spans="1:6" ht="14.25" customHeight="1" x14ac:dyDescent="0.3">
      <c r="A987" s="1"/>
      <c r="B987" s="188"/>
      <c r="C987" s="207"/>
      <c r="D987" s="1"/>
      <c r="E987" s="1"/>
      <c r="F987" s="188"/>
    </row>
    <row r="988" spans="1:6" ht="14.25" customHeight="1" x14ac:dyDescent="0.3">
      <c r="A988" s="1"/>
      <c r="B988" s="188"/>
      <c r="C988" s="207"/>
      <c r="D988" s="1"/>
      <c r="E988" s="1"/>
      <c r="F988" s="188"/>
    </row>
    <row r="989" spans="1:6" ht="14.25" customHeight="1" x14ac:dyDescent="0.3">
      <c r="A989" s="1"/>
      <c r="B989" s="188"/>
      <c r="C989" s="207"/>
      <c r="D989" s="1"/>
      <c r="E989" s="1"/>
      <c r="F989" s="188"/>
    </row>
    <row r="990" spans="1:6" ht="14.25" customHeight="1" x14ac:dyDescent="0.3">
      <c r="A990" s="1"/>
      <c r="B990" s="188"/>
      <c r="C990" s="207"/>
      <c r="D990" s="1"/>
      <c r="E990" s="1"/>
      <c r="F990" s="188"/>
    </row>
    <row r="991" spans="1:6" ht="14.25" customHeight="1" x14ac:dyDescent="0.3">
      <c r="A991" s="1"/>
      <c r="B991" s="188"/>
      <c r="C991" s="207"/>
      <c r="D991" s="1"/>
      <c r="E991" s="1"/>
      <c r="F991" s="188"/>
    </row>
    <row r="992" spans="1:6" ht="14.25" customHeight="1" x14ac:dyDescent="0.3">
      <c r="A992" s="1"/>
      <c r="B992" s="188"/>
      <c r="C992" s="207"/>
      <c r="D992" s="1"/>
      <c r="E992" s="1"/>
      <c r="F992" s="188"/>
    </row>
    <row r="993" spans="1:6" ht="14.25" customHeight="1" x14ac:dyDescent="0.3">
      <c r="A993" s="1"/>
      <c r="B993" s="188"/>
      <c r="C993" s="207"/>
      <c r="D993" s="1"/>
      <c r="E993" s="1"/>
      <c r="F993" s="188"/>
    </row>
    <row r="994" spans="1:6" ht="14.25" customHeight="1" x14ac:dyDescent="0.3">
      <c r="A994" s="1"/>
      <c r="B994" s="188"/>
      <c r="C994" s="207"/>
      <c r="D994" s="1"/>
      <c r="E994" s="1"/>
      <c r="F994" s="188"/>
    </row>
    <row r="995" spans="1:6" ht="14.25" customHeight="1" x14ac:dyDescent="0.3">
      <c r="A995" s="1"/>
      <c r="B995" s="188"/>
      <c r="C995" s="207"/>
      <c r="D995" s="1"/>
      <c r="E995" s="1"/>
      <c r="F995" s="188"/>
    </row>
    <row r="996" spans="1:6" ht="14.25" customHeight="1" x14ac:dyDescent="0.3">
      <c r="A996" s="1"/>
      <c r="B996" s="188"/>
      <c r="C996" s="207"/>
      <c r="D996" s="1"/>
      <c r="E996" s="1"/>
      <c r="F996" s="188"/>
    </row>
    <row r="997" spans="1:6" ht="14.25" customHeight="1" x14ac:dyDescent="0.3">
      <c r="A997" s="1"/>
      <c r="B997" s="188"/>
      <c r="C997" s="207"/>
      <c r="D997" s="1"/>
      <c r="E997" s="1"/>
      <c r="F997" s="188"/>
    </row>
  </sheetData>
  <autoFilter ref="A3:I427" xr:uid="{00000000-0009-0000-0000-000001000000}"/>
  <pageMargins left="0.7" right="0.7" top="0.75" bottom="0.75" header="0" footer="0"/>
  <pageSetup orientation="portrait"/>
  <headerFooter>
    <oddFooter>&amp;L&amp;8Planilla diseñada por María Cisterna Escobar, matrona&amp;R&amp;8Datos ficticios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9"/>
  <dimension ref="A1:S1185"/>
  <sheetViews>
    <sheetView workbookViewId="0">
      <pane ySplit="1" topLeftCell="A2" activePane="bottomLeft" state="frozen"/>
      <selection pane="bottomLeft"/>
    </sheetView>
  </sheetViews>
  <sheetFormatPr baseColWidth="10" defaultRowHeight="14.4" x14ac:dyDescent="0.3"/>
  <cols>
    <col min="1" max="1" width="5.109375" customWidth="1"/>
    <col min="2" max="2" width="17" customWidth="1"/>
    <col min="3" max="3" width="33" customWidth="1"/>
    <col min="4" max="4" width="11.88671875" customWidth="1"/>
    <col min="5" max="5" width="13.33203125" bestFit="1" customWidth="1"/>
    <col min="6" max="6" width="7.33203125" customWidth="1"/>
    <col min="7" max="7" width="14.88671875" customWidth="1"/>
    <col min="8" max="8" width="15.33203125" customWidth="1"/>
    <col min="10" max="10" width="13.109375" customWidth="1"/>
    <col min="11" max="12" width="5.109375" customWidth="1"/>
    <col min="13" max="13" width="4.5546875" customWidth="1"/>
    <col min="14" max="14" width="5" customWidth="1"/>
    <col min="17" max="17" width="17.88671875" customWidth="1"/>
    <col min="18" max="18" width="47" bestFit="1" customWidth="1"/>
    <col min="19" max="19" width="19.88671875" customWidth="1"/>
  </cols>
  <sheetData>
    <row r="1" spans="1:19" s="11" customFormat="1" ht="21.75" customHeight="1" x14ac:dyDescent="0.3"/>
    <row r="2" spans="1:19" s="11" customFormat="1" x14ac:dyDescent="0.3"/>
    <row r="3" spans="1:19" s="11" customFormat="1" ht="15" thickBot="1" x14ac:dyDescent="0.35"/>
    <row r="4" spans="1:19" ht="50.25" customHeight="1" thickBot="1" x14ac:dyDescent="0.35">
      <c r="A4" s="114" t="s">
        <v>0</v>
      </c>
      <c r="B4" s="204" t="s">
        <v>3</v>
      </c>
      <c r="C4" s="115" t="s">
        <v>2</v>
      </c>
      <c r="D4" s="114" t="s">
        <v>42</v>
      </c>
      <c r="E4" s="232" t="s">
        <v>11</v>
      </c>
      <c r="F4" s="114" t="s">
        <v>12</v>
      </c>
      <c r="G4" s="230" t="s">
        <v>18</v>
      </c>
      <c r="H4" s="231" t="s">
        <v>17</v>
      </c>
      <c r="I4" s="230" t="s">
        <v>37</v>
      </c>
      <c r="J4" s="230" t="s">
        <v>20</v>
      </c>
      <c r="K4" s="1256" t="s">
        <v>19</v>
      </c>
      <c r="L4" s="1257"/>
      <c r="M4" s="1257"/>
      <c r="N4" s="1258"/>
      <c r="O4" s="118" t="s">
        <v>13</v>
      </c>
      <c r="P4" s="118" t="s">
        <v>14</v>
      </c>
      <c r="Q4" s="233" t="s">
        <v>7</v>
      </c>
      <c r="R4" s="119" t="s">
        <v>9</v>
      </c>
      <c r="S4" s="120" t="s">
        <v>21</v>
      </c>
    </row>
    <row r="5" spans="1:19" x14ac:dyDescent="0.3">
      <c r="A5" s="9">
        <v>1</v>
      </c>
      <c r="B5" s="73" t="s">
        <v>45</v>
      </c>
      <c r="C5" s="74" t="s">
        <v>917</v>
      </c>
      <c r="D5" s="13" t="s">
        <v>918</v>
      </c>
      <c r="E5" s="67">
        <v>32138</v>
      </c>
      <c r="F5" s="9">
        <f t="shared" ref="F5:F68" ca="1" si="0">IF(E5="","",DATEDIF(E5,TODAY(),"Y"))</f>
        <v>38</v>
      </c>
      <c r="G5" s="27">
        <v>43535</v>
      </c>
      <c r="H5" s="28" t="s">
        <v>275</v>
      </c>
      <c r="I5" s="59">
        <v>44602</v>
      </c>
      <c r="J5" s="579" t="s">
        <v>275</v>
      </c>
      <c r="K5" s="4" t="str">
        <f t="shared" ref="K5:K68" si="1">IF(OR(LEFT(J5,2)="T1",LEFT(J5,2)="T2",LEFT(J5,2)="A1",LEFT(J5,2)="D0",LEFT(J5,2)="D1",LEFT(J5,2)="D2",LEFT(J5,2)="D3",LEFT(J5,2)="E1",LEFT(J5,2)="E2"),LEFT(J5,2),IF(OR(LEFT(J5,1)="A",LEFT(J5,1)="B",LEFT(J5,1)="C",LEFT(J5,1)="D",LEFT(J5,1)="I",LEFT(J5,1)="E",LEFT(J5,1)="K",LEFT(J5,1)="T"),LEFT(J5,1),LEFT(J5,2)))</f>
        <v>I</v>
      </c>
      <c r="L5" s="7" t="str">
        <f t="shared" ref="L5:L68" si="2">IF(AND(OR(LEFT(J5,2)="A1",LEFT(J5,2)="D0",LEFT(J5,2)="D1",LEFT(J5,2)="D2",LEFT(J5,2)="D3",LEFT(J5,2)="E1",LEFT(J5,2)="E2",LEFT(J5,2)="T1",LEFT(J5,2)="T2"),OR(MID(J5,3,1)="A",MID(J5,3,1)="B",MID(J5,3,1)="C",MID(J5,3,1)="D",MID(J5,3,1)="E",MID(J5,3,1)="I",MID(J5,3,1)="K",MID(J5,3,1)="T",MID(J5,3,1)="N",)),MID(J5,3,1),IF(OR(LEFT(J5,2)="A1",LEFT(J5,2)="D0",LEFT(J5,2)="D1",LEFT(J5,2)="D2",LEFT(J5,2)="D3",LEFT(J5,2)="E1",LEFT(J5,2)="E2",LEFT(J5,2)="T1",LEFT(J5,2)="T2"),MID(J5,3,2),IF(AND(OR(LEFT(J5,1)="A",LEFT(J5,1)="B",LEFT(J5,1)="C",LEFT(J5,1)="D",LEFT(J5,1)="E",LEFT(J5,1)="I",LEFT(J5,1)="K",LEFT(J5,1)="T",LEFT(J5,1)="N"),OR(MID(J5,2,1)="A",MID(J5,2,1)="B",MID(J5,2,1)="C",MID(J5,2,1)="D",MID(J5,2,1)="E",MID(J5,2,1)="I",MID(J5,2,1)="K",MID(J5,2,1)="T",MID(J5,2,1)="N")),MID(J5,2,2),IF(OR(LEFT(J5,1)="A",LEFT(J5,1)="B",LEFT(J5,1)="C",LEFT(J5,1)="D",LEFT(J5,1)="E",LEFT(J5,1)="I",LEFT(J5,1)="K",LEFT(J5,1)="T",LEFT(J5,1)="N"),MID(J5,2,2),MID(J5,3,2)))))</f>
        <v>G8</v>
      </c>
      <c r="M5" s="7" t="str">
        <f t="shared" ref="M5:M68" si="3">IF(AND(OR(LEFT(J5,2)="A1",LEFT(J5,2)="D0",LEFT(J5,2)="D1",LEFT(J5,2)="D2",LEFT(J5,2)="D3",LEFT(J5,2)="E1",LEFT(J5,2)="E2",LEFT(J5,2)="T1",LEFT(J5,2)="T2"),OR(MID(J5,3,1)="A",MID(J5,3,1)="B",MID(J5,3,1)="C",MID(J5,3,1)="D",MID(J5,3,1)="E",MID(J5,3,1)="I",MID(J5,3,1)="K",MID(J5,3,1)="T",MID(J5,3,1)="N",)),MID(J5,4,2),IF(OR(LEFT(J5,2)="A1",LEFT(J5,2)="D0",LEFT(J5,2)="D1",LEFT(J5,2)="D2",LEFT(J5,2)="D3",LEFT(J5,2)="E1",LEFT(J5,2)="E2",LEFT(J5,2)="T1",LEFT(J5,2)="T2"),MID(J5,5,2),IF(AND(OR(LEFT(J5,1)="A",LEFT(J5,1)="B",LEFT(J5,1)="C",LEFT(J5,1)="D",LEFT(J5,1)="E",LEFT(J5,1)="I",LEFT(J5,1)="K",LEFT(J5,1)="T",LEFT(J5,1)="N"),OR(MID(J5,2,1)="A",MID(J5,2,1)="B",MID(J5,2,1)="C",MID(J5,2,1)="D",MID(J5,2,1)="E",MID(J5,2,1)="I",MID(J5,2,1)="K",MID(J5,2,1)="T",MID(J5,2,1)="N")),MID(J5,3,2),IF(OR(LEFT(J5,1)="A",LEFT(J5,1)="B",LEFT(J5,1)="C",LEFT(J5,1)="D",LEFT(J5,1)="E",LEFT(J5,1)="I",LEFT(J5,1)="K",LEFT(J5,1)="T",LEFT(J5,1)="N"),MID(J5,4,2),MID(J5,5,2)))))</f>
        <v/>
      </c>
      <c r="N5" s="62" t="str">
        <f t="shared" ref="N5:N68" si="4">IF(AND(OR(LEFT(J5,1)="I",LEFT(J5,1)="T",LEFT(J5,1)="A",LEFT(J5,1)="B",LEFT(J5,1)="C",LEFT(J5,1)="D",LEFT(J5,1)="E"),OR(MID(J5,2,1)="I",MID(J5,2,1)="T",MID(J5,2,1)="A",MID(J5,2,1)="B",MID(J5,2,1)="C",MID(J5,2,1)="D",MID(J5,2,1)="E")),MID(J5,5,2),IF(OR(LEFT(J5,1)="I",LEFT(J5,1)="T",LEFT(J5,1)="A",LEFT(J5,1)="B",LEFT(J5,1)="C",LEFT(J5,1)="D",LEFT(J5,1)="E"),MID(J5,6,2),MID(J5,7,2)))</f>
        <v/>
      </c>
      <c r="O5" s="8">
        <f>IF(I5="","",IF(OR(K5="S",L5="S",M5="S",N5="S",K5="G7",L5="G7",M5="G7",N5="G7",),DATE(YEAR(I5)+1,MONTH(I5),DAY(I5)),IF(OR(K5="O3",L5="O3",M5="O3",N5="O3",K5="ASCUS",L5="ASCUS",M5="ASCUS",N5="ASCUS"),DATE(YEAR(I5),MONTH(I5)+6,DAY(I5)),IF(OR(K5="O5",L5="O5",M5="O5",N5="O5"),DATE(YEAR(I5),MONTH(I5)+3,DAY(I5)),IF(OR(K5="T",L5="T",M5="T",N5="T"),DATE(YEAR(I5),MONTH(I5)+1,DAY(I5)+10),DATE(YEAR(I5)+3,MONTH(I5),DAY(I5)))))))</f>
        <v>45698</v>
      </c>
      <c r="P5" s="9" t="str">
        <f ca="1">IF(O5="","",IF(YEAR(O5)&gt;YEAR(TODAY()),"VIGENTE",IF(AND(YEAR(O5)&gt;=YEAR(TODAY()),MONTH(O5)&gt;=MONTH(TODAY())),"VIGENTE","ATRASADO")))</f>
        <v>ATRASADO</v>
      </c>
      <c r="Q5" s="12" t="s">
        <v>919</v>
      </c>
      <c r="R5" s="9"/>
      <c r="S5" s="9" t="str">
        <f>IF(OR(K5="T1",L5="T1",M5="T1",N5="T1",),"LESION SOSPECHOSA A UPC",IF(OR(K5="T2",L5="T2",M5="T2",N5="T2",),"DERIVAR A UPC POR SEGUNDO ATIPICO",IF(OR(K5="J2",L5="J2",M5="J2",N5="J2",),"TRICOMONAS",IF(OR(K5="J3",L5="J3",M5="J3",N5="J3",),"HERPES SIMPLEX",IF(OR(K5="J5",L5="J5",M5="J5",N5="J5",),"CANDIDA",IF(OR(K5="J6",L5="J6",M5="J6",N5="J6",),"ACTINOMYCES",IF(OR(K5="A1",L5="A1",M5="A1",N5="A1",),"VPH",IF(OR(K5="ASC-H",L5="ASC-H",M5="ASC-H",K5="H2",K5="H3",K5="H4",N5="ASC-H",K5="AGUS",L5="AGUS",L5="H2",L5="H3",L5="H4",M5="AGUS",M5="H2",M5="H3",M5="H4",N5="AGUS",N5="H2",N5="H3",N5="H4"),"MANDAR A UPC / COLPOSCOPIA",IF(OR(K5="A",K5="B",K5="C",K5="D",K5="D0",K5="D1",K5="D2",K5="D3",K5="E",K5="E1",K5="E2",K5="K",K5="T",L5="A",L5="B",L5="C",L5="D",L5="D0",L5="D1",L5="D2",L5="D3",L5="E",L5="E1",L5="E2",L5="K",L5="T",M5="A",M5="B",M5="C",M5="D",M5="D0",M5="D1",M5="D2",M5="D3",M5="E",M5="E1",M5="E2",M5="K",M5="T",N5="A",N5="B",N5="C",N5="D",N5="D0",N5="D1",K5="D2",N5="D2",N5="D3",N5="E",N5="E1",N5="E2",N5="K",N5="T",),"CITAR A UPC","")))))))))</f>
        <v/>
      </c>
    </row>
    <row r="6" spans="1:19" x14ac:dyDescent="0.3">
      <c r="A6" s="9">
        <v>2</v>
      </c>
      <c r="B6" s="73" t="s">
        <v>75</v>
      </c>
      <c r="C6" s="75" t="s">
        <v>920</v>
      </c>
      <c r="D6" s="13" t="s">
        <v>921</v>
      </c>
      <c r="E6" s="67">
        <v>34079</v>
      </c>
      <c r="F6" s="9">
        <f t="shared" ca="1" si="0"/>
        <v>33</v>
      </c>
      <c r="G6" s="27">
        <v>43474</v>
      </c>
      <c r="H6" s="28" t="s">
        <v>275</v>
      </c>
      <c r="I6" s="59">
        <v>44614</v>
      </c>
      <c r="J6" s="579" t="s">
        <v>2796</v>
      </c>
      <c r="K6" s="4" t="str">
        <f t="shared" si="1"/>
        <v>I</v>
      </c>
      <c r="L6" s="7" t="str">
        <f t="shared" si="2"/>
        <v/>
      </c>
      <c r="M6" s="7" t="str">
        <f t="shared" si="3"/>
        <v/>
      </c>
      <c r="N6" s="62" t="str">
        <f t="shared" si="4"/>
        <v/>
      </c>
      <c r="O6" s="8">
        <f t="shared" ref="O6:O68" si="5">IF(I6="","",IF(OR(K6="S",L6="S",M6="S",N6="S",K6="G7",L6="G7",M6="G7",N6="G7",),DATE(YEAR(I6)+1,MONTH(I6),DAY(I6)),IF(OR(K6="O3",L6="O3",M6="O3",N6="O3",K6="ASCUS",L6="ASCUS",M6="ASCUS",N6="ASCUS"),DATE(YEAR(I6),MONTH(I6)+6,DAY(I6)),IF(OR(K6="O5",L6="O5",M6="O5",N6="O5"),DATE(YEAR(I6),MONTH(I6)+3,DAY(I6)),IF(OR(K6="T",L6="T",M6="T",N6="T"),DATE(YEAR(I6),MONTH(I6)+1,DAY(I6)+10),DATE(YEAR(I6)+3,MONTH(I6),DAY(I6)))))))</f>
        <v>45710</v>
      </c>
      <c r="P6" s="9" t="str">
        <f t="shared" ref="P6:P68" ca="1" si="6">IF(O6="","",IF(YEAR(O6)&gt;YEAR(TODAY()),"VIGENTE",IF(AND(YEAR(O6)&gt;=YEAR(TODAY()),MONTH(O6)&gt;=MONTH(TODAY())),"VIGENTE","ATRASADO")))</f>
        <v>ATRASADO</v>
      </c>
      <c r="Q6" s="12" t="s">
        <v>919</v>
      </c>
      <c r="R6" s="9"/>
      <c r="S6" s="9" t="str">
        <f t="shared" ref="S6:S69" si="7">IF(OR(K6="T1",L6="T1",M6="T1",N6="T1",),"LESION SOSPECHOSA A UPC",IF(OR(K6="T2",L6="T2",M6="T2",N6="T2",),"DERIVAR A UPC POR SEGUNDO ATIPICO",IF(OR(K6="J2",L6="J2",M6="J2",N6="J2",),"TRICOMONAS",IF(OR(K6="J3",L6="J3",M6="J3",N6="J3",),"HERPES SIMPLEX",IF(OR(K6="J5",L6="J5",M6="J5",N6="J5",),"CANDIDA",IF(OR(K6="J6",L6="J6",M6="J6",N6="J6",),"ACTINOMYCES",IF(OR(K6="A1",L6="A1",M6="A1",N6="A1",),"VPH",IF(OR(K6="ASC-H",L6="ASC-H",M6="ASC-H",K6="H2",K6="H3",K6="H4",N6="ASC-H",K6="AGUS",L6="AGUS",L6="H2",L6="H3",L6="H4",M6="AGUS",M6="H2",M6="H3",M6="H4",N6="AGUS",N6="H2",N6="H3",N6="H4"),"MANDAR A UPC / COLPOSCOPIA",IF(OR(K6="A",K6="B",K6="C",K6="D",K6="D0",K6="D1",K6="D2",K6="D3",K6="E",K6="E1",K6="E2",K6="K",K6="T",L6="A",L6="B",L6="C",L6="D",L6="D0",L6="D1",L6="D2",L6="D3",L6="E",L6="E1",L6="E2",L6="K",L6="T",M6="A",M6="B",M6="C",M6="D",M6="D0",M6="D1",M6="D2",M6="D3",M6="E",M6="E1",M6="E2",M6="K",M6="T",N6="A",N6="B",N6="C",N6="D",N6="D0",N6="D1",K6="D2",N6="D2",N6="D3",N6="E",N6="E1",N6="E2",N6="K",N6="T",),"CITAR A UPC","")))))))))</f>
        <v/>
      </c>
    </row>
    <row r="7" spans="1:19" x14ac:dyDescent="0.3">
      <c r="A7" s="9">
        <v>3</v>
      </c>
      <c r="B7" s="73" t="s">
        <v>75</v>
      </c>
      <c r="C7" s="75" t="s">
        <v>922</v>
      </c>
      <c r="D7" s="14" t="s">
        <v>923</v>
      </c>
      <c r="E7" s="67">
        <v>22335</v>
      </c>
      <c r="F7" s="9">
        <f t="shared" ca="1" si="0"/>
        <v>65</v>
      </c>
      <c r="G7" s="27">
        <v>43417</v>
      </c>
      <c r="H7" s="28" t="s">
        <v>275</v>
      </c>
      <c r="I7" s="59">
        <v>44611</v>
      </c>
      <c r="J7" s="580" t="s">
        <v>271</v>
      </c>
      <c r="K7" s="4" t="str">
        <f t="shared" si="1"/>
        <v>I</v>
      </c>
      <c r="L7" s="7" t="str">
        <f t="shared" si="2"/>
        <v>G8</v>
      </c>
      <c r="M7" s="7" t="str">
        <f t="shared" si="3"/>
        <v>J1</v>
      </c>
      <c r="N7" s="62" t="str">
        <f t="shared" si="4"/>
        <v/>
      </c>
      <c r="O7" s="8">
        <f t="shared" si="5"/>
        <v>45707</v>
      </c>
      <c r="P7" s="9" t="str">
        <f t="shared" ca="1" si="6"/>
        <v>ATRASADO</v>
      </c>
      <c r="Q7" s="12" t="s">
        <v>919</v>
      </c>
      <c r="R7" s="9"/>
      <c r="S7" s="9" t="str">
        <f t="shared" si="7"/>
        <v/>
      </c>
    </row>
    <row r="8" spans="1:19" x14ac:dyDescent="0.3">
      <c r="A8" s="9">
        <v>4</v>
      </c>
      <c r="B8" s="73" t="s">
        <v>75</v>
      </c>
      <c r="C8" s="75" t="s">
        <v>925</v>
      </c>
      <c r="D8" s="14" t="s">
        <v>926</v>
      </c>
      <c r="E8" s="67">
        <v>34593</v>
      </c>
      <c r="F8" s="9">
        <f t="shared" ca="1" si="0"/>
        <v>32</v>
      </c>
      <c r="G8" s="27">
        <v>42823</v>
      </c>
      <c r="H8" s="28" t="s">
        <v>275</v>
      </c>
      <c r="I8" s="59">
        <v>44613</v>
      </c>
      <c r="J8" s="580" t="s">
        <v>275</v>
      </c>
      <c r="K8" s="4" t="str">
        <f t="shared" si="1"/>
        <v>I</v>
      </c>
      <c r="L8" s="7" t="str">
        <f t="shared" si="2"/>
        <v>G8</v>
      </c>
      <c r="M8" s="7" t="str">
        <f t="shared" si="3"/>
        <v/>
      </c>
      <c r="N8" s="62" t="str">
        <f t="shared" si="4"/>
        <v/>
      </c>
      <c r="O8" s="8">
        <f t="shared" si="5"/>
        <v>45709</v>
      </c>
      <c r="P8" s="9" t="str">
        <f t="shared" ca="1" si="6"/>
        <v>ATRASADO</v>
      </c>
      <c r="Q8" s="12" t="s">
        <v>919</v>
      </c>
      <c r="R8" s="9"/>
      <c r="S8" s="9" t="str">
        <f t="shared" si="7"/>
        <v/>
      </c>
    </row>
    <row r="9" spans="1:19" x14ac:dyDescent="0.3">
      <c r="A9" s="9">
        <v>5</v>
      </c>
      <c r="B9" s="73" t="s">
        <v>75</v>
      </c>
      <c r="C9" s="75" t="s">
        <v>927</v>
      </c>
      <c r="D9" s="14" t="s">
        <v>928</v>
      </c>
      <c r="E9" s="67">
        <v>22557</v>
      </c>
      <c r="F9" s="9">
        <f t="shared" ca="1" si="0"/>
        <v>64</v>
      </c>
      <c r="G9" s="27">
        <v>43473</v>
      </c>
      <c r="H9" s="28" t="s">
        <v>271</v>
      </c>
      <c r="I9" s="59">
        <v>44617</v>
      </c>
      <c r="J9" s="580" t="s">
        <v>275</v>
      </c>
      <c r="K9" s="4" t="str">
        <f t="shared" si="1"/>
        <v>I</v>
      </c>
      <c r="L9" s="7" t="str">
        <f t="shared" si="2"/>
        <v>G8</v>
      </c>
      <c r="M9" s="7" t="str">
        <f t="shared" si="3"/>
        <v/>
      </c>
      <c r="N9" s="62" t="str">
        <f t="shared" si="4"/>
        <v/>
      </c>
      <c r="O9" s="8">
        <f t="shared" si="5"/>
        <v>45713</v>
      </c>
      <c r="P9" s="9" t="str">
        <f t="shared" ca="1" si="6"/>
        <v>ATRASADO</v>
      </c>
      <c r="Q9" s="12" t="s">
        <v>919</v>
      </c>
      <c r="R9" s="9"/>
      <c r="S9" s="9" t="str">
        <f t="shared" si="7"/>
        <v/>
      </c>
    </row>
    <row r="10" spans="1:19" x14ac:dyDescent="0.3">
      <c r="A10" s="9">
        <v>6</v>
      </c>
      <c r="B10" s="73" t="s">
        <v>75</v>
      </c>
      <c r="C10" s="75" t="s">
        <v>929</v>
      </c>
      <c r="D10" s="13" t="s">
        <v>930</v>
      </c>
      <c r="E10" s="67">
        <v>32797</v>
      </c>
      <c r="F10" s="9">
        <f t="shared" ca="1" si="0"/>
        <v>36</v>
      </c>
      <c r="G10" s="27">
        <v>44118</v>
      </c>
      <c r="H10" s="28" t="s">
        <v>271</v>
      </c>
      <c r="I10" s="59">
        <v>44602</v>
      </c>
      <c r="J10" s="580" t="s">
        <v>8</v>
      </c>
      <c r="K10" s="4" t="str">
        <f t="shared" si="1"/>
        <v>SI</v>
      </c>
      <c r="L10" s="7" t="str">
        <f t="shared" si="2"/>
        <v xml:space="preserve">N </v>
      </c>
      <c r="M10" s="7" t="str">
        <f t="shared" si="3"/>
        <v>RE</v>
      </c>
      <c r="N10" s="62" t="str">
        <f t="shared" si="4"/>
        <v>GI</v>
      </c>
      <c r="O10" s="8">
        <f t="shared" si="5"/>
        <v>45698</v>
      </c>
      <c r="P10" s="9" t="str">
        <f t="shared" ca="1" si="6"/>
        <v>ATRASADO</v>
      </c>
      <c r="Q10" s="12" t="s">
        <v>919</v>
      </c>
      <c r="R10" s="9"/>
      <c r="S10" s="9" t="str">
        <f t="shared" si="7"/>
        <v/>
      </c>
    </row>
    <row r="11" spans="1:19" x14ac:dyDescent="0.3">
      <c r="A11" s="9">
        <v>7</v>
      </c>
      <c r="B11" s="73" t="s">
        <v>75</v>
      </c>
      <c r="C11" s="75" t="s">
        <v>931</v>
      </c>
      <c r="D11" s="13" t="s">
        <v>932</v>
      </c>
      <c r="E11" s="67">
        <v>27374</v>
      </c>
      <c r="F11" s="9">
        <f t="shared" ca="1" si="0"/>
        <v>51</v>
      </c>
      <c r="G11" s="27">
        <v>43867</v>
      </c>
      <c r="H11" s="28" t="s">
        <v>275</v>
      </c>
      <c r="I11" s="59">
        <v>44593</v>
      </c>
      <c r="J11" s="580" t="s">
        <v>8</v>
      </c>
      <c r="K11" s="4" t="str">
        <f t="shared" si="1"/>
        <v>SI</v>
      </c>
      <c r="L11" s="7" t="str">
        <f t="shared" si="2"/>
        <v xml:space="preserve">N </v>
      </c>
      <c r="M11" s="7" t="str">
        <f t="shared" si="3"/>
        <v>RE</v>
      </c>
      <c r="N11" s="62" t="str">
        <f t="shared" si="4"/>
        <v>GI</v>
      </c>
      <c r="O11" s="8">
        <f t="shared" si="5"/>
        <v>45689</v>
      </c>
      <c r="P11" s="9" t="str">
        <f t="shared" ca="1" si="6"/>
        <v>ATRASADO</v>
      </c>
      <c r="Q11" s="12" t="s">
        <v>919</v>
      </c>
      <c r="R11" s="9"/>
      <c r="S11" s="9" t="str">
        <f t="shared" si="7"/>
        <v/>
      </c>
    </row>
    <row r="12" spans="1:19" x14ac:dyDescent="0.3">
      <c r="A12" s="9">
        <v>8</v>
      </c>
      <c r="B12" s="73" t="s">
        <v>75</v>
      </c>
      <c r="C12" s="75" t="s">
        <v>933</v>
      </c>
      <c r="D12" s="13" t="s">
        <v>934</v>
      </c>
      <c r="E12" s="67">
        <v>27450</v>
      </c>
      <c r="F12" s="9">
        <f t="shared" ca="1" si="0"/>
        <v>51</v>
      </c>
      <c r="G12" s="27">
        <v>43771</v>
      </c>
      <c r="H12" s="28" t="s">
        <v>271</v>
      </c>
      <c r="I12" s="59">
        <v>44608</v>
      </c>
      <c r="J12" s="580" t="s">
        <v>528</v>
      </c>
      <c r="K12" s="4" t="str">
        <f t="shared" si="1"/>
        <v>I</v>
      </c>
      <c r="L12" s="7" t="str">
        <f t="shared" si="2"/>
        <v>G7</v>
      </c>
      <c r="M12" s="7" t="str">
        <f t="shared" si="3"/>
        <v>J1</v>
      </c>
      <c r="N12" s="62" t="str">
        <f t="shared" si="4"/>
        <v>S</v>
      </c>
      <c r="O12" s="8">
        <f t="shared" si="5"/>
        <v>44973</v>
      </c>
      <c r="P12" s="9" t="str">
        <f t="shared" ca="1" si="6"/>
        <v>ATRASADO</v>
      </c>
      <c r="Q12" s="12" t="s">
        <v>341</v>
      </c>
      <c r="R12" s="9"/>
      <c r="S12" s="9" t="str">
        <f t="shared" si="7"/>
        <v/>
      </c>
    </row>
    <row r="13" spans="1:19" x14ac:dyDescent="0.3">
      <c r="A13" s="9">
        <v>9</v>
      </c>
      <c r="B13" s="73" t="s">
        <v>75</v>
      </c>
      <c r="C13" s="75" t="s">
        <v>935</v>
      </c>
      <c r="D13" s="14" t="s">
        <v>936</v>
      </c>
      <c r="E13" s="67">
        <v>24893</v>
      </c>
      <c r="F13" s="9">
        <f t="shared" ca="1" si="0"/>
        <v>58</v>
      </c>
      <c r="G13" s="27">
        <v>42900</v>
      </c>
      <c r="H13" s="28" t="s">
        <v>8</v>
      </c>
      <c r="I13" s="59">
        <v>44596</v>
      </c>
      <c r="J13" s="580" t="s">
        <v>275</v>
      </c>
      <c r="K13" s="4" t="str">
        <f t="shared" si="1"/>
        <v>I</v>
      </c>
      <c r="L13" s="7" t="str">
        <f t="shared" si="2"/>
        <v>G8</v>
      </c>
      <c r="M13" s="7" t="str">
        <f t="shared" si="3"/>
        <v/>
      </c>
      <c r="N13" s="62" t="str">
        <f t="shared" si="4"/>
        <v/>
      </c>
      <c r="O13" s="8">
        <f t="shared" si="5"/>
        <v>45692</v>
      </c>
      <c r="P13" s="9" t="str">
        <f t="shared" ca="1" si="6"/>
        <v>ATRASADO</v>
      </c>
      <c r="Q13" s="12" t="s">
        <v>341</v>
      </c>
      <c r="R13" s="9"/>
      <c r="S13" s="9" t="str">
        <f t="shared" si="7"/>
        <v/>
      </c>
    </row>
    <row r="14" spans="1:19" x14ac:dyDescent="0.3">
      <c r="A14" s="9">
        <v>10</v>
      </c>
      <c r="B14" s="73" t="s">
        <v>75</v>
      </c>
      <c r="C14" s="75" t="s">
        <v>937</v>
      </c>
      <c r="D14" s="14" t="s">
        <v>938</v>
      </c>
      <c r="E14" s="67">
        <v>33928</v>
      </c>
      <c r="F14" s="9">
        <f t="shared" ca="1" si="0"/>
        <v>33</v>
      </c>
      <c r="G14" s="27">
        <v>43514</v>
      </c>
      <c r="H14" s="28" t="s">
        <v>275</v>
      </c>
      <c r="I14" s="59">
        <v>44605</v>
      </c>
      <c r="J14" s="580" t="s">
        <v>275</v>
      </c>
      <c r="K14" s="4" t="str">
        <f t="shared" si="1"/>
        <v>I</v>
      </c>
      <c r="L14" s="7" t="str">
        <f t="shared" si="2"/>
        <v>G8</v>
      </c>
      <c r="M14" s="7" t="str">
        <f t="shared" si="3"/>
        <v/>
      </c>
      <c r="N14" s="62" t="str">
        <f t="shared" si="4"/>
        <v/>
      </c>
      <c r="O14" s="8">
        <f t="shared" si="5"/>
        <v>45701</v>
      </c>
      <c r="P14" s="9" t="str">
        <f t="shared" ca="1" si="6"/>
        <v>ATRASADO</v>
      </c>
      <c r="Q14" s="12" t="s">
        <v>341</v>
      </c>
      <c r="R14" s="9"/>
      <c r="S14" s="9" t="str">
        <f t="shared" si="7"/>
        <v/>
      </c>
    </row>
    <row r="15" spans="1:19" x14ac:dyDescent="0.3">
      <c r="A15" s="9">
        <v>11</v>
      </c>
      <c r="B15" s="73" t="s">
        <v>75</v>
      </c>
      <c r="C15" s="75" t="s">
        <v>939</v>
      </c>
      <c r="D15" s="14" t="s">
        <v>940</v>
      </c>
      <c r="E15" s="67">
        <v>26580</v>
      </c>
      <c r="F15" s="9">
        <f t="shared" ca="1" si="0"/>
        <v>53</v>
      </c>
      <c r="G15" s="27">
        <v>43001</v>
      </c>
      <c r="H15" s="28" t="s">
        <v>275</v>
      </c>
      <c r="I15" s="59">
        <v>44608</v>
      </c>
      <c r="J15" s="580" t="s">
        <v>275</v>
      </c>
      <c r="K15" s="4" t="str">
        <f t="shared" si="1"/>
        <v>I</v>
      </c>
      <c r="L15" s="7" t="str">
        <f t="shared" si="2"/>
        <v>G8</v>
      </c>
      <c r="M15" s="7" t="str">
        <f t="shared" si="3"/>
        <v/>
      </c>
      <c r="N15" s="62" t="str">
        <f t="shared" si="4"/>
        <v/>
      </c>
      <c r="O15" s="8">
        <f t="shared" si="5"/>
        <v>45704</v>
      </c>
      <c r="P15" s="9" t="str">
        <f t="shared" ca="1" si="6"/>
        <v>ATRASADO</v>
      </c>
      <c r="Q15" s="12" t="s">
        <v>341</v>
      </c>
      <c r="R15" s="9"/>
      <c r="S15" s="9" t="str">
        <f t="shared" si="7"/>
        <v/>
      </c>
    </row>
    <row r="16" spans="1:19" x14ac:dyDescent="0.3">
      <c r="A16" s="9">
        <v>12</v>
      </c>
      <c r="B16" s="81" t="s">
        <v>56</v>
      </c>
      <c r="C16" s="75" t="s">
        <v>942</v>
      </c>
      <c r="D16" s="14" t="s">
        <v>943</v>
      </c>
      <c r="E16" s="67">
        <v>27877</v>
      </c>
      <c r="F16" s="9">
        <f t="shared" ca="1" si="0"/>
        <v>50</v>
      </c>
      <c r="G16" s="28" t="s">
        <v>8</v>
      </c>
      <c r="H16" s="28" t="s">
        <v>271</v>
      </c>
      <c r="I16" s="59">
        <v>44645</v>
      </c>
      <c r="J16" s="580" t="s">
        <v>8</v>
      </c>
      <c r="K16" s="4" t="str">
        <f t="shared" si="1"/>
        <v>SI</v>
      </c>
      <c r="L16" s="7" t="str">
        <f t="shared" si="2"/>
        <v xml:space="preserve">N </v>
      </c>
      <c r="M16" s="7" t="str">
        <f t="shared" si="3"/>
        <v>RE</v>
      </c>
      <c r="N16" s="62" t="str">
        <f t="shared" si="4"/>
        <v>GI</v>
      </c>
      <c r="O16" s="8">
        <f t="shared" si="5"/>
        <v>45741</v>
      </c>
      <c r="P16" s="9" t="str">
        <f t="shared" ca="1" si="6"/>
        <v>ATRASADO</v>
      </c>
      <c r="Q16" s="12" t="s">
        <v>919</v>
      </c>
      <c r="R16" s="9"/>
      <c r="S16" s="9" t="str">
        <f t="shared" si="7"/>
        <v/>
      </c>
    </row>
    <row r="17" spans="1:19" x14ac:dyDescent="0.3">
      <c r="A17" s="9">
        <v>13</v>
      </c>
      <c r="B17" s="73" t="s">
        <v>56</v>
      </c>
      <c r="C17" s="75" t="s">
        <v>944</v>
      </c>
      <c r="D17" s="14" t="s">
        <v>945</v>
      </c>
      <c r="E17" s="67">
        <v>24765</v>
      </c>
      <c r="F17" s="9">
        <f t="shared" ca="1" si="0"/>
        <v>58</v>
      </c>
      <c r="G17" s="27">
        <v>43503</v>
      </c>
      <c r="H17" s="28" t="s">
        <v>291</v>
      </c>
      <c r="I17" s="59">
        <v>44623</v>
      </c>
      <c r="J17" s="580" t="s">
        <v>275</v>
      </c>
      <c r="K17" s="4" t="str">
        <f t="shared" si="1"/>
        <v>I</v>
      </c>
      <c r="L17" s="7" t="str">
        <f t="shared" si="2"/>
        <v>G8</v>
      </c>
      <c r="M17" s="7" t="str">
        <f t="shared" si="3"/>
        <v/>
      </c>
      <c r="N17" s="62" t="str">
        <f t="shared" si="4"/>
        <v/>
      </c>
      <c r="O17" s="8">
        <f t="shared" si="5"/>
        <v>45719</v>
      </c>
      <c r="P17" s="9" t="str">
        <f t="shared" ca="1" si="6"/>
        <v>ATRASADO</v>
      </c>
      <c r="Q17" s="12" t="s">
        <v>919</v>
      </c>
      <c r="R17" s="9"/>
      <c r="S17" s="9" t="str">
        <f t="shared" si="7"/>
        <v/>
      </c>
    </row>
    <row r="18" spans="1:19" x14ac:dyDescent="0.3">
      <c r="A18" s="9">
        <v>14</v>
      </c>
      <c r="B18" s="73" t="s">
        <v>56</v>
      </c>
      <c r="C18" s="75" t="s">
        <v>946</v>
      </c>
      <c r="D18" s="14" t="s">
        <v>947</v>
      </c>
      <c r="E18" s="67">
        <v>22239</v>
      </c>
      <c r="F18" s="9">
        <f t="shared" ca="1" si="0"/>
        <v>65</v>
      </c>
      <c r="G18" s="27">
        <v>44024</v>
      </c>
      <c r="H18" s="28" t="s">
        <v>275</v>
      </c>
      <c r="I18" s="59">
        <v>44636</v>
      </c>
      <c r="J18" s="580" t="s">
        <v>275</v>
      </c>
      <c r="K18" s="4" t="str">
        <f t="shared" si="1"/>
        <v>I</v>
      </c>
      <c r="L18" s="7" t="str">
        <f t="shared" si="2"/>
        <v>G8</v>
      </c>
      <c r="M18" s="7" t="str">
        <f t="shared" si="3"/>
        <v/>
      </c>
      <c r="N18" s="62" t="str">
        <f t="shared" si="4"/>
        <v/>
      </c>
      <c r="O18" s="8">
        <f t="shared" si="5"/>
        <v>45732</v>
      </c>
      <c r="P18" s="9" t="str">
        <f t="shared" ca="1" si="6"/>
        <v>ATRASADO</v>
      </c>
      <c r="Q18" s="12" t="s">
        <v>919</v>
      </c>
      <c r="R18" s="9"/>
      <c r="S18" s="9" t="str">
        <f t="shared" si="7"/>
        <v/>
      </c>
    </row>
    <row r="19" spans="1:19" x14ac:dyDescent="0.3">
      <c r="A19" s="9">
        <v>15</v>
      </c>
      <c r="B19" s="73" t="s">
        <v>270</v>
      </c>
      <c r="C19" s="75" t="s">
        <v>948</v>
      </c>
      <c r="D19" s="14" t="s">
        <v>949</v>
      </c>
      <c r="E19" s="67">
        <v>29392</v>
      </c>
      <c r="F19" s="9">
        <f t="shared" ca="1" si="0"/>
        <v>46</v>
      </c>
      <c r="G19" s="27">
        <v>43154</v>
      </c>
      <c r="H19" s="28" t="s">
        <v>275</v>
      </c>
      <c r="I19" s="59">
        <v>44623</v>
      </c>
      <c r="J19" s="580" t="s">
        <v>271</v>
      </c>
      <c r="K19" s="4" t="str">
        <f t="shared" si="1"/>
        <v>I</v>
      </c>
      <c r="L19" s="7" t="str">
        <f t="shared" si="2"/>
        <v>G8</v>
      </c>
      <c r="M19" s="7" t="str">
        <f t="shared" si="3"/>
        <v>J1</v>
      </c>
      <c r="N19" s="62" t="str">
        <f t="shared" si="4"/>
        <v/>
      </c>
      <c r="O19" s="8">
        <f t="shared" si="5"/>
        <v>45719</v>
      </c>
      <c r="P19" s="9" t="str">
        <f t="shared" ca="1" si="6"/>
        <v>ATRASADO</v>
      </c>
      <c r="Q19" s="12" t="s">
        <v>919</v>
      </c>
      <c r="R19" s="9"/>
      <c r="S19" s="9" t="str">
        <f t="shared" si="7"/>
        <v/>
      </c>
    </row>
    <row r="20" spans="1:19" x14ac:dyDescent="0.3">
      <c r="A20" s="9">
        <v>16</v>
      </c>
      <c r="B20" s="73" t="s">
        <v>45</v>
      </c>
      <c r="C20" s="75" t="s">
        <v>950</v>
      </c>
      <c r="D20" s="14" t="s">
        <v>951</v>
      </c>
      <c r="E20" s="67">
        <v>26134</v>
      </c>
      <c r="F20" s="9">
        <f t="shared" ca="1" si="0"/>
        <v>55</v>
      </c>
      <c r="G20" s="27">
        <v>43244</v>
      </c>
      <c r="H20" s="28" t="s">
        <v>291</v>
      </c>
      <c r="I20" s="59">
        <v>44637</v>
      </c>
      <c r="J20" s="580" t="s">
        <v>8</v>
      </c>
      <c r="K20" s="4" t="str">
        <f t="shared" si="1"/>
        <v>SI</v>
      </c>
      <c r="L20" s="7" t="str">
        <f t="shared" si="2"/>
        <v xml:space="preserve">N </v>
      </c>
      <c r="M20" s="7" t="str">
        <f t="shared" si="3"/>
        <v>RE</v>
      </c>
      <c r="N20" s="62" t="str">
        <f t="shared" si="4"/>
        <v>GI</v>
      </c>
      <c r="O20" s="8">
        <f t="shared" si="5"/>
        <v>45733</v>
      </c>
      <c r="P20" s="9" t="str">
        <f t="shared" ca="1" si="6"/>
        <v>ATRASADO</v>
      </c>
      <c r="Q20" s="12" t="s">
        <v>919</v>
      </c>
      <c r="R20" s="9"/>
      <c r="S20" s="9" t="str">
        <f t="shared" si="7"/>
        <v/>
      </c>
    </row>
    <row r="21" spans="1:19" x14ac:dyDescent="0.3">
      <c r="A21" s="9">
        <v>17</v>
      </c>
      <c r="B21" s="73" t="s">
        <v>45</v>
      </c>
      <c r="C21" s="75" t="s">
        <v>952</v>
      </c>
      <c r="D21" s="14" t="s">
        <v>953</v>
      </c>
      <c r="E21" s="67">
        <v>22187</v>
      </c>
      <c r="F21" s="9">
        <f t="shared" ca="1" si="0"/>
        <v>66</v>
      </c>
      <c r="G21" s="27">
        <v>43092</v>
      </c>
      <c r="H21" s="28" t="s">
        <v>275</v>
      </c>
      <c r="I21" s="59">
        <v>44626</v>
      </c>
      <c r="J21" s="580" t="s">
        <v>275</v>
      </c>
      <c r="K21" s="4" t="str">
        <f t="shared" si="1"/>
        <v>I</v>
      </c>
      <c r="L21" s="7" t="str">
        <f t="shared" si="2"/>
        <v>G8</v>
      </c>
      <c r="M21" s="7" t="str">
        <f t="shared" si="3"/>
        <v/>
      </c>
      <c r="N21" s="62" t="str">
        <f t="shared" si="4"/>
        <v/>
      </c>
      <c r="O21" s="8">
        <f t="shared" si="5"/>
        <v>45722</v>
      </c>
      <c r="P21" s="9" t="str">
        <f t="shared" ca="1" si="6"/>
        <v>ATRASADO</v>
      </c>
      <c r="Q21" s="12" t="s">
        <v>919</v>
      </c>
      <c r="R21" s="9"/>
      <c r="S21" s="9" t="str">
        <f t="shared" si="7"/>
        <v/>
      </c>
    </row>
    <row r="22" spans="1:19" x14ac:dyDescent="0.3">
      <c r="A22" s="9">
        <v>18</v>
      </c>
      <c r="B22" s="73" t="s">
        <v>312</v>
      </c>
      <c r="C22" s="75" t="s">
        <v>955</v>
      </c>
      <c r="D22" s="14" t="s">
        <v>956</v>
      </c>
      <c r="E22" s="67">
        <v>30422</v>
      </c>
      <c r="F22" s="9">
        <f t="shared" ca="1" si="0"/>
        <v>43</v>
      </c>
      <c r="G22" s="27">
        <v>43222</v>
      </c>
      <c r="H22" s="28" t="s">
        <v>275</v>
      </c>
      <c r="I22" s="59">
        <v>44639</v>
      </c>
      <c r="J22" s="580" t="s">
        <v>275</v>
      </c>
      <c r="K22" s="4" t="str">
        <f t="shared" si="1"/>
        <v>I</v>
      </c>
      <c r="L22" s="7" t="str">
        <f t="shared" si="2"/>
        <v>G8</v>
      </c>
      <c r="M22" s="7" t="str">
        <f t="shared" si="3"/>
        <v/>
      </c>
      <c r="N22" s="62" t="str">
        <f t="shared" si="4"/>
        <v/>
      </c>
      <c r="O22" s="8">
        <f t="shared" si="5"/>
        <v>45735</v>
      </c>
      <c r="P22" s="9" t="str">
        <f t="shared" ca="1" si="6"/>
        <v>ATRASADO</v>
      </c>
      <c r="Q22" s="12" t="s">
        <v>919</v>
      </c>
      <c r="R22" s="9"/>
      <c r="S22" s="9" t="str">
        <f t="shared" si="7"/>
        <v/>
      </c>
    </row>
    <row r="23" spans="1:19" x14ac:dyDescent="0.3">
      <c r="A23" s="9">
        <v>19</v>
      </c>
      <c r="B23" s="73" t="s">
        <v>75</v>
      </c>
      <c r="C23" s="75" t="s">
        <v>957</v>
      </c>
      <c r="D23" s="14" t="s">
        <v>958</v>
      </c>
      <c r="E23" s="67">
        <v>33715</v>
      </c>
      <c r="F23" s="9">
        <f t="shared" ca="1" si="0"/>
        <v>34</v>
      </c>
      <c r="G23" s="28" t="s">
        <v>8</v>
      </c>
      <c r="H23" s="28" t="s">
        <v>271</v>
      </c>
      <c r="I23" s="59">
        <v>44643</v>
      </c>
      <c r="J23" s="580" t="s">
        <v>271</v>
      </c>
      <c r="K23" s="4" t="str">
        <f t="shared" si="1"/>
        <v>I</v>
      </c>
      <c r="L23" s="7" t="str">
        <f t="shared" si="2"/>
        <v>G8</v>
      </c>
      <c r="M23" s="7" t="str">
        <f t="shared" si="3"/>
        <v>J1</v>
      </c>
      <c r="N23" s="62" t="str">
        <f t="shared" si="4"/>
        <v/>
      </c>
      <c r="O23" s="8">
        <f t="shared" si="5"/>
        <v>45739</v>
      </c>
      <c r="P23" s="9" t="str">
        <f t="shared" ca="1" si="6"/>
        <v>ATRASADO</v>
      </c>
      <c r="Q23" s="12" t="s">
        <v>919</v>
      </c>
      <c r="R23" s="9"/>
      <c r="S23" s="9" t="str">
        <f t="shared" si="7"/>
        <v/>
      </c>
    </row>
    <row r="24" spans="1:19" x14ac:dyDescent="0.3">
      <c r="A24" s="9">
        <v>20</v>
      </c>
      <c r="B24" s="73" t="s">
        <v>75</v>
      </c>
      <c r="C24" s="75" t="s">
        <v>959</v>
      </c>
      <c r="D24" s="14" t="s">
        <v>960</v>
      </c>
      <c r="E24" s="67">
        <v>26951</v>
      </c>
      <c r="F24" s="9">
        <f t="shared" ca="1" si="0"/>
        <v>52</v>
      </c>
      <c r="G24" s="27">
        <v>44035</v>
      </c>
      <c r="H24" s="28" t="s">
        <v>271</v>
      </c>
      <c r="I24" s="59">
        <v>44638</v>
      </c>
      <c r="J24" s="580" t="s">
        <v>275</v>
      </c>
      <c r="K24" s="4" t="str">
        <f t="shared" si="1"/>
        <v>I</v>
      </c>
      <c r="L24" s="7" t="str">
        <f t="shared" si="2"/>
        <v>G8</v>
      </c>
      <c r="M24" s="7" t="str">
        <f t="shared" si="3"/>
        <v/>
      </c>
      <c r="N24" s="62" t="str">
        <f t="shared" si="4"/>
        <v/>
      </c>
      <c r="O24" s="8">
        <f t="shared" si="5"/>
        <v>45734</v>
      </c>
      <c r="P24" s="9" t="str">
        <f t="shared" ca="1" si="6"/>
        <v>ATRASADO</v>
      </c>
      <c r="Q24" s="12" t="s">
        <v>919</v>
      </c>
      <c r="R24" s="9"/>
      <c r="S24" s="9" t="str">
        <f t="shared" si="7"/>
        <v/>
      </c>
    </row>
    <row r="25" spans="1:19" x14ac:dyDescent="0.3">
      <c r="A25" s="9">
        <v>21</v>
      </c>
      <c r="B25" s="73" t="s">
        <v>286</v>
      </c>
      <c r="C25" s="75" t="s">
        <v>961</v>
      </c>
      <c r="D25" s="15" t="s">
        <v>962</v>
      </c>
      <c r="E25" s="67">
        <v>33766</v>
      </c>
      <c r="F25" s="9">
        <f t="shared" ca="1" si="0"/>
        <v>34</v>
      </c>
      <c r="G25" s="27">
        <v>43307</v>
      </c>
      <c r="H25" s="28" t="s">
        <v>271</v>
      </c>
      <c r="I25" s="59">
        <v>44621</v>
      </c>
      <c r="J25" s="580" t="s">
        <v>275</v>
      </c>
      <c r="K25" s="4" t="str">
        <f t="shared" si="1"/>
        <v>I</v>
      </c>
      <c r="L25" s="7" t="str">
        <f t="shared" si="2"/>
        <v>G8</v>
      </c>
      <c r="M25" s="7" t="str">
        <f t="shared" si="3"/>
        <v/>
      </c>
      <c r="N25" s="62" t="str">
        <f t="shared" si="4"/>
        <v/>
      </c>
      <c r="O25" s="8">
        <f t="shared" si="5"/>
        <v>45717</v>
      </c>
      <c r="P25" s="9" t="str">
        <f t="shared" ca="1" si="6"/>
        <v>ATRASADO</v>
      </c>
      <c r="Q25" s="12" t="s">
        <v>919</v>
      </c>
      <c r="R25" s="9"/>
      <c r="S25" s="9" t="str">
        <f t="shared" si="7"/>
        <v/>
      </c>
    </row>
    <row r="26" spans="1:19" x14ac:dyDescent="0.3">
      <c r="A26" s="9">
        <v>22</v>
      </c>
      <c r="B26" s="73" t="s">
        <v>45</v>
      </c>
      <c r="C26" s="75" t="s">
        <v>963</v>
      </c>
      <c r="D26" s="14" t="s">
        <v>964</v>
      </c>
      <c r="E26" s="67">
        <v>25078</v>
      </c>
      <c r="F26" s="9">
        <f t="shared" ca="1" si="0"/>
        <v>58</v>
      </c>
      <c r="G26" s="28" t="s">
        <v>8</v>
      </c>
      <c r="H26" s="28" t="s">
        <v>271</v>
      </c>
      <c r="I26" s="59">
        <v>44622</v>
      </c>
      <c r="J26" s="580" t="s">
        <v>271</v>
      </c>
      <c r="K26" s="4" t="str">
        <f t="shared" si="1"/>
        <v>I</v>
      </c>
      <c r="L26" s="7" t="str">
        <f t="shared" si="2"/>
        <v>G8</v>
      </c>
      <c r="M26" s="7" t="str">
        <f t="shared" si="3"/>
        <v>J1</v>
      </c>
      <c r="N26" s="62" t="str">
        <f t="shared" si="4"/>
        <v/>
      </c>
      <c r="O26" s="8">
        <f t="shared" si="5"/>
        <v>45718</v>
      </c>
      <c r="P26" s="9" t="str">
        <f t="shared" ca="1" si="6"/>
        <v>ATRASADO</v>
      </c>
      <c r="Q26" s="12" t="s">
        <v>919</v>
      </c>
      <c r="R26" s="9"/>
      <c r="S26" s="9" t="str">
        <f t="shared" si="7"/>
        <v/>
      </c>
    </row>
    <row r="27" spans="1:19" x14ac:dyDescent="0.3">
      <c r="A27" s="9">
        <v>23</v>
      </c>
      <c r="B27" s="73" t="s">
        <v>56</v>
      </c>
      <c r="C27" s="75" t="s">
        <v>965</v>
      </c>
      <c r="D27" s="14" t="s">
        <v>966</v>
      </c>
      <c r="E27" s="67">
        <v>31235</v>
      </c>
      <c r="F27" s="9">
        <f t="shared" ca="1" si="0"/>
        <v>41</v>
      </c>
      <c r="G27" s="27">
        <v>43911</v>
      </c>
      <c r="H27" s="28" t="s">
        <v>271</v>
      </c>
      <c r="I27" s="59">
        <v>44649</v>
      </c>
      <c r="J27" s="580" t="s">
        <v>275</v>
      </c>
      <c r="K27" s="4" t="str">
        <f t="shared" si="1"/>
        <v>I</v>
      </c>
      <c r="L27" s="7" t="str">
        <f t="shared" si="2"/>
        <v>G8</v>
      </c>
      <c r="M27" s="7" t="str">
        <f t="shared" si="3"/>
        <v/>
      </c>
      <c r="N27" s="62" t="str">
        <f t="shared" si="4"/>
        <v/>
      </c>
      <c r="O27" s="8">
        <f t="shared" si="5"/>
        <v>45745</v>
      </c>
      <c r="P27" s="9" t="str">
        <f t="shared" ca="1" si="6"/>
        <v>ATRASADO</v>
      </c>
      <c r="Q27" s="12" t="s">
        <v>919</v>
      </c>
      <c r="R27" s="9"/>
      <c r="S27" s="9" t="str">
        <f t="shared" si="7"/>
        <v/>
      </c>
    </row>
    <row r="28" spans="1:19" x14ac:dyDescent="0.3">
      <c r="A28" s="9">
        <v>24</v>
      </c>
      <c r="B28" s="73" t="s">
        <v>56</v>
      </c>
      <c r="C28" s="75" t="s">
        <v>967</v>
      </c>
      <c r="D28" s="14" t="s">
        <v>968</v>
      </c>
      <c r="E28" s="67">
        <v>23938</v>
      </c>
      <c r="F28" s="9">
        <f t="shared" ca="1" si="0"/>
        <v>61</v>
      </c>
      <c r="G28" s="27">
        <v>44004</v>
      </c>
      <c r="H28" s="28" t="s">
        <v>275</v>
      </c>
      <c r="I28" s="59">
        <v>44647</v>
      </c>
      <c r="J28" s="580" t="s">
        <v>271</v>
      </c>
      <c r="K28" s="4" t="str">
        <f t="shared" si="1"/>
        <v>I</v>
      </c>
      <c r="L28" s="7" t="str">
        <f t="shared" si="2"/>
        <v>G8</v>
      </c>
      <c r="M28" s="7" t="str">
        <f t="shared" si="3"/>
        <v>J1</v>
      </c>
      <c r="N28" s="62" t="str">
        <f t="shared" si="4"/>
        <v/>
      </c>
      <c r="O28" s="8">
        <f t="shared" si="5"/>
        <v>45743</v>
      </c>
      <c r="P28" s="9" t="str">
        <f t="shared" ca="1" si="6"/>
        <v>ATRASADO</v>
      </c>
      <c r="Q28" s="12" t="s">
        <v>919</v>
      </c>
      <c r="R28" s="9"/>
      <c r="S28" s="9" t="str">
        <f t="shared" si="7"/>
        <v/>
      </c>
    </row>
    <row r="29" spans="1:19" x14ac:dyDescent="0.3">
      <c r="A29" s="9">
        <v>25</v>
      </c>
      <c r="B29" s="73" t="s">
        <v>56</v>
      </c>
      <c r="C29" s="75" t="s">
        <v>969</v>
      </c>
      <c r="D29" s="14" t="s">
        <v>970</v>
      </c>
      <c r="E29" s="67">
        <v>22568</v>
      </c>
      <c r="F29" s="9">
        <f t="shared" ca="1" si="0"/>
        <v>64</v>
      </c>
      <c r="G29" s="28" t="s">
        <v>8</v>
      </c>
      <c r="H29" s="28" t="s">
        <v>735</v>
      </c>
      <c r="I29" s="59">
        <v>44650</v>
      </c>
      <c r="J29" s="580" t="s">
        <v>275</v>
      </c>
      <c r="K29" s="4" t="str">
        <f t="shared" si="1"/>
        <v>I</v>
      </c>
      <c r="L29" s="7" t="str">
        <f t="shared" si="2"/>
        <v>G8</v>
      </c>
      <c r="M29" s="7" t="str">
        <f t="shared" si="3"/>
        <v/>
      </c>
      <c r="N29" s="62" t="str">
        <f t="shared" si="4"/>
        <v/>
      </c>
      <c r="O29" s="8">
        <f t="shared" si="5"/>
        <v>45746</v>
      </c>
      <c r="P29" s="9" t="str">
        <f t="shared" ca="1" si="6"/>
        <v>ATRASADO</v>
      </c>
      <c r="Q29" s="12" t="s">
        <v>919</v>
      </c>
      <c r="R29" s="9"/>
      <c r="S29" s="9" t="str">
        <f t="shared" si="7"/>
        <v/>
      </c>
    </row>
    <row r="30" spans="1:19" x14ac:dyDescent="0.3">
      <c r="A30" s="9">
        <v>26</v>
      </c>
      <c r="B30" s="73" t="s">
        <v>56</v>
      </c>
      <c r="C30" s="75" t="s">
        <v>971</v>
      </c>
      <c r="D30" s="14" t="s">
        <v>972</v>
      </c>
      <c r="E30" s="67">
        <v>33544</v>
      </c>
      <c r="F30" s="9">
        <f t="shared" ca="1" si="0"/>
        <v>34</v>
      </c>
      <c r="G30" s="28" t="s">
        <v>8</v>
      </c>
      <c r="H30" s="28" t="s">
        <v>320</v>
      </c>
      <c r="I30" s="59">
        <v>44631</v>
      </c>
      <c r="J30" s="581" t="s">
        <v>275</v>
      </c>
      <c r="K30" s="4" t="str">
        <f t="shared" si="1"/>
        <v>I</v>
      </c>
      <c r="L30" s="7" t="str">
        <f t="shared" si="2"/>
        <v>G8</v>
      </c>
      <c r="M30" s="7" t="str">
        <f t="shared" si="3"/>
        <v/>
      </c>
      <c r="N30" s="62" t="str">
        <f t="shared" si="4"/>
        <v/>
      </c>
      <c r="O30" s="8">
        <f t="shared" si="5"/>
        <v>45727</v>
      </c>
      <c r="P30" s="9" t="str">
        <f t="shared" ca="1" si="6"/>
        <v>ATRASADO</v>
      </c>
      <c r="Q30" s="12" t="s">
        <v>919</v>
      </c>
      <c r="R30" s="9"/>
      <c r="S30" s="9" t="str">
        <f t="shared" si="7"/>
        <v/>
      </c>
    </row>
    <row r="31" spans="1:19" x14ac:dyDescent="0.3">
      <c r="A31" s="9">
        <v>27</v>
      </c>
      <c r="B31" s="73" t="s">
        <v>45</v>
      </c>
      <c r="C31" s="75" t="s">
        <v>973</v>
      </c>
      <c r="D31" s="14" t="s">
        <v>974</v>
      </c>
      <c r="E31" s="67">
        <v>36003</v>
      </c>
      <c r="F31" s="9">
        <f t="shared" ca="1" si="0"/>
        <v>28</v>
      </c>
      <c r="G31" s="27">
        <v>43764</v>
      </c>
      <c r="H31" s="28" t="s">
        <v>275</v>
      </c>
      <c r="I31" s="59">
        <v>44629</v>
      </c>
      <c r="J31" s="580" t="s">
        <v>340</v>
      </c>
      <c r="K31" s="4" t="str">
        <f t="shared" si="1"/>
        <v>I</v>
      </c>
      <c r="L31" s="7" t="str">
        <f t="shared" si="2"/>
        <v>G8</v>
      </c>
      <c r="M31" s="7" t="str">
        <f t="shared" si="3"/>
        <v>S</v>
      </c>
      <c r="N31" s="62" t="str">
        <f t="shared" si="4"/>
        <v/>
      </c>
      <c r="O31" s="8">
        <f t="shared" si="5"/>
        <v>44994</v>
      </c>
      <c r="P31" s="9" t="str">
        <f t="shared" ca="1" si="6"/>
        <v>ATRASADO</v>
      </c>
      <c r="Q31" s="12" t="s">
        <v>919</v>
      </c>
      <c r="R31" s="9"/>
      <c r="S31" s="9" t="str">
        <f t="shared" si="7"/>
        <v/>
      </c>
    </row>
    <row r="32" spans="1:19" x14ac:dyDescent="0.3">
      <c r="A32" s="9">
        <v>28</v>
      </c>
      <c r="B32" s="73" t="s">
        <v>56</v>
      </c>
      <c r="C32" s="75" t="s">
        <v>975</v>
      </c>
      <c r="D32" s="15" t="s">
        <v>976</v>
      </c>
      <c r="E32" s="67">
        <v>25036</v>
      </c>
      <c r="F32" s="9">
        <f t="shared" ca="1" si="0"/>
        <v>58</v>
      </c>
      <c r="G32" s="27">
        <v>43303</v>
      </c>
      <c r="H32" s="28" t="s">
        <v>324</v>
      </c>
      <c r="I32" s="59">
        <v>44629</v>
      </c>
      <c r="J32" s="581" t="s">
        <v>275</v>
      </c>
      <c r="K32" s="4" t="str">
        <f t="shared" si="1"/>
        <v>I</v>
      </c>
      <c r="L32" s="7" t="str">
        <f t="shared" si="2"/>
        <v>G8</v>
      </c>
      <c r="M32" s="7" t="str">
        <f t="shared" si="3"/>
        <v/>
      </c>
      <c r="N32" s="62" t="str">
        <f t="shared" si="4"/>
        <v/>
      </c>
      <c r="O32" s="8">
        <f t="shared" si="5"/>
        <v>45725</v>
      </c>
      <c r="P32" s="9" t="str">
        <f t="shared" ca="1" si="6"/>
        <v>ATRASADO</v>
      </c>
      <c r="Q32" s="12" t="s">
        <v>919</v>
      </c>
      <c r="R32" s="9"/>
      <c r="S32" s="9" t="str">
        <f t="shared" si="7"/>
        <v/>
      </c>
    </row>
    <row r="33" spans="1:19" x14ac:dyDescent="0.3">
      <c r="A33" s="9">
        <v>29</v>
      </c>
      <c r="B33" s="73" t="s">
        <v>45</v>
      </c>
      <c r="C33" s="75" t="s">
        <v>977</v>
      </c>
      <c r="D33" s="14" t="s">
        <v>978</v>
      </c>
      <c r="E33" s="67">
        <v>30027</v>
      </c>
      <c r="F33" s="9">
        <f t="shared" ca="1" si="0"/>
        <v>44</v>
      </c>
      <c r="G33" s="27">
        <v>43593</v>
      </c>
      <c r="H33" s="28" t="s">
        <v>8</v>
      </c>
      <c r="I33" s="59">
        <v>44625</v>
      </c>
      <c r="J33" s="580" t="s">
        <v>275</v>
      </c>
      <c r="K33" s="4" t="str">
        <f t="shared" si="1"/>
        <v>I</v>
      </c>
      <c r="L33" s="7" t="str">
        <f t="shared" si="2"/>
        <v>G8</v>
      </c>
      <c r="M33" s="7" t="str">
        <f t="shared" si="3"/>
        <v/>
      </c>
      <c r="N33" s="62" t="str">
        <f t="shared" si="4"/>
        <v/>
      </c>
      <c r="O33" s="8">
        <f t="shared" si="5"/>
        <v>45721</v>
      </c>
      <c r="P33" s="9" t="str">
        <f t="shared" ca="1" si="6"/>
        <v>ATRASADO</v>
      </c>
      <c r="Q33" s="12" t="s">
        <v>919</v>
      </c>
      <c r="R33" s="9"/>
      <c r="S33" s="9" t="str">
        <f t="shared" si="7"/>
        <v/>
      </c>
    </row>
    <row r="34" spans="1:19" x14ac:dyDescent="0.3">
      <c r="A34" s="9">
        <v>30</v>
      </c>
      <c r="B34" s="73" t="s">
        <v>56</v>
      </c>
      <c r="C34" s="75" t="s">
        <v>979</v>
      </c>
      <c r="D34" s="15" t="s">
        <v>980</v>
      </c>
      <c r="E34" s="67">
        <v>35346</v>
      </c>
      <c r="F34" s="9">
        <f t="shared" ca="1" si="0"/>
        <v>29</v>
      </c>
      <c r="G34" s="27">
        <v>44218</v>
      </c>
      <c r="H34" s="28" t="s">
        <v>271</v>
      </c>
      <c r="I34" s="59">
        <v>44645</v>
      </c>
      <c r="J34" s="580" t="s">
        <v>437</v>
      </c>
      <c r="K34" s="4" t="str">
        <f t="shared" si="1"/>
        <v>C</v>
      </c>
      <c r="L34" s="7" t="str">
        <f t="shared" si="2"/>
        <v>T</v>
      </c>
      <c r="M34" s="7" t="str">
        <f t="shared" si="3"/>
        <v/>
      </c>
      <c r="N34" s="62" t="str">
        <f t="shared" si="4"/>
        <v/>
      </c>
      <c r="O34" s="8">
        <f t="shared" si="5"/>
        <v>44686</v>
      </c>
      <c r="P34" s="9" t="str">
        <f t="shared" ca="1" si="6"/>
        <v>ATRASADO</v>
      </c>
      <c r="Q34" s="12" t="s">
        <v>919</v>
      </c>
      <c r="R34" s="9"/>
      <c r="S34" s="9" t="str">
        <f t="shared" si="7"/>
        <v>CITAR A UPC</v>
      </c>
    </row>
    <row r="35" spans="1:19" x14ac:dyDescent="0.3">
      <c r="A35" s="9">
        <v>31</v>
      </c>
      <c r="B35" s="73" t="s">
        <v>45</v>
      </c>
      <c r="C35" s="75" t="s">
        <v>981</v>
      </c>
      <c r="D35" s="14" t="s">
        <v>982</v>
      </c>
      <c r="E35" s="67">
        <v>22278</v>
      </c>
      <c r="F35" s="9">
        <f t="shared" ca="1" si="0"/>
        <v>65</v>
      </c>
      <c r="G35" s="27">
        <v>42998</v>
      </c>
      <c r="H35" s="28" t="s">
        <v>275</v>
      </c>
      <c r="I35" s="59">
        <v>44641</v>
      </c>
      <c r="J35" s="580" t="s">
        <v>363</v>
      </c>
      <c r="K35" s="4" t="str">
        <f t="shared" si="1"/>
        <v>I</v>
      </c>
      <c r="L35" s="7" t="str">
        <f t="shared" si="2"/>
        <v>G8</v>
      </c>
      <c r="M35" s="7" t="str">
        <f t="shared" si="3"/>
        <v>J2</v>
      </c>
      <c r="N35" s="62" t="str">
        <f t="shared" si="4"/>
        <v/>
      </c>
      <c r="O35" s="8">
        <f t="shared" si="5"/>
        <v>45737</v>
      </c>
      <c r="P35" s="9" t="str">
        <f t="shared" ca="1" si="6"/>
        <v>ATRASADO</v>
      </c>
      <c r="Q35" s="12" t="s">
        <v>919</v>
      </c>
      <c r="R35" s="9"/>
      <c r="S35" s="9" t="str">
        <f t="shared" si="7"/>
        <v>TRICOMONAS</v>
      </c>
    </row>
    <row r="36" spans="1:19" x14ac:dyDescent="0.3">
      <c r="A36" s="9">
        <v>32</v>
      </c>
      <c r="B36" s="73" t="s">
        <v>56</v>
      </c>
      <c r="C36" s="75" t="s">
        <v>983</v>
      </c>
      <c r="D36" s="14" t="s">
        <v>984</v>
      </c>
      <c r="E36" s="67">
        <v>21770</v>
      </c>
      <c r="F36" s="9">
        <f t="shared" ca="1" si="0"/>
        <v>67</v>
      </c>
      <c r="G36" s="28" t="s">
        <v>8</v>
      </c>
      <c r="H36" s="28" t="s">
        <v>8</v>
      </c>
      <c r="I36" s="59">
        <v>44639</v>
      </c>
      <c r="J36" s="580" t="s">
        <v>275</v>
      </c>
      <c r="K36" s="4" t="str">
        <f t="shared" si="1"/>
        <v>I</v>
      </c>
      <c r="L36" s="7" t="str">
        <f t="shared" si="2"/>
        <v>G8</v>
      </c>
      <c r="M36" s="7" t="str">
        <f t="shared" si="3"/>
        <v/>
      </c>
      <c r="N36" s="62" t="str">
        <f t="shared" si="4"/>
        <v/>
      </c>
      <c r="O36" s="8">
        <f t="shared" si="5"/>
        <v>45735</v>
      </c>
      <c r="P36" s="9" t="str">
        <f t="shared" ca="1" si="6"/>
        <v>ATRASADO</v>
      </c>
      <c r="Q36" s="12" t="s">
        <v>919</v>
      </c>
      <c r="R36" s="9"/>
      <c r="S36" s="9" t="str">
        <f t="shared" si="7"/>
        <v/>
      </c>
    </row>
    <row r="37" spans="1:19" x14ac:dyDescent="0.3">
      <c r="A37" s="9">
        <v>33</v>
      </c>
      <c r="B37" s="73" t="s">
        <v>56</v>
      </c>
      <c r="C37" s="75" t="s">
        <v>985</v>
      </c>
      <c r="D37" s="14" t="s">
        <v>986</v>
      </c>
      <c r="E37" s="67">
        <v>35047</v>
      </c>
      <c r="F37" s="9">
        <f t="shared" ca="1" si="0"/>
        <v>30</v>
      </c>
      <c r="G37" s="27">
        <v>43695</v>
      </c>
      <c r="H37" s="28" t="s">
        <v>275</v>
      </c>
      <c r="I37" s="59">
        <v>44630</v>
      </c>
      <c r="J37" s="580" t="s">
        <v>275</v>
      </c>
      <c r="K37" s="4" t="str">
        <f t="shared" si="1"/>
        <v>I</v>
      </c>
      <c r="L37" s="7" t="str">
        <f t="shared" si="2"/>
        <v>G8</v>
      </c>
      <c r="M37" s="7" t="str">
        <f t="shared" si="3"/>
        <v/>
      </c>
      <c r="N37" s="62" t="str">
        <f t="shared" si="4"/>
        <v/>
      </c>
      <c r="O37" s="8">
        <f t="shared" si="5"/>
        <v>45726</v>
      </c>
      <c r="P37" s="9" t="str">
        <f t="shared" ca="1" si="6"/>
        <v>ATRASADO</v>
      </c>
      <c r="Q37" s="12" t="s">
        <v>919</v>
      </c>
      <c r="R37" s="9"/>
      <c r="S37" s="9" t="str">
        <f t="shared" si="7"/>
        <v/>
      </c>
    </row>
    <row r="38" spans="1:19" x14ac:dyDescent="0.3">
      <c r="A38" s="9">
        <v>34</v>
      </c>
      <c r="B38" s="73" t="s">
        <v>56</v>
      </c>
      <c r="C38" s="75" t="s">
        <v>987</v>
      </c>
      <c r="D38" s="14" t="s">
        <v>988</v>
      </c>
      <c r="E38" s="67">
        <v>35212</v>
      </c>
      <c r="F38" s="9">
        <f t="shared" ca="1" si="0"/>
        <v>30</v>
      </c>
      <c r="G38" s="27">
        <v>44132</v>
      </c>
      <c r="H38" s="28" t="s">
        <v>275</v>
      </c>
      <c r="I38" s="59">
        <v>44648</v>
      </c>
      <c r="J38" s="580" t="s">
        <v>275</v>
      </c>
      <c r="K38" s="4" t="str">
        <f t="shared" si="1"/>
        <v>I</v>
      </c>
      <c r="L38" s="7" t="str">
        <f t="shared" si="2"/>
        <v>G8</v>
      </c>
      <c r="M38" s="7" t="str">
        <f t="shared" si="3"/>
        <v/>
      </c>
      <c r="N38" s="62" t="str">
        <f t="shared" si="4"/>
        <v/>
      </c>
      <c r="O38" s="8">
        <f t="shared" si="5"/>
        <v>45744</v>
      </c>
      <c r="P38" s="9" t="str">
        <f t="shared" ca="1" si="6"/>
        <v>ATRASADO</v>
      </c>
      <c r="Q38" s="12" t="s">
        <v>919</v>
      </c>
      <c r="R38" s="9"/>
      <c r="S38" s="9" t="str">
        <f t="shared" si="7"/>
        <v/>
      </c>
    </row>
    <row r="39" spans="1:19" x14ac:dyDescent="0.3">
      <c r="A39" s="9">
        <v>35</v>
      </c>
      <c r="B39" s="73" t="s">
        <v>45</v>
      </c>
      <c r="C39" s="75" t="s">
        <v>989</v>
      </c>
      <c r="D39" s="14" t="s">
        <v>990</v>
      </c>
      <c r="E39" s="67">
        <v>26955</v>
      </c>
      <c r="F39" s="9">
        <f t="shared" ca="1" si="0"/>
        <v>52</v>
      </c>
      <c r="G39" s="28" t="s">
        <v>8</v>
      </c>
      <c r="H39" s="28" t="s">
        <v>275</v>
      </c>
      <c r="I39" s="59">
        <v>44651</v>
      </c>
      <c r="J39" s="580" t="s">
        <v>594</v>
      </c>
      <c r="K39" s="4" t="str">
        <f t="shared" si="1"/>
        <v>I</v>
      </c>
      <c r="L39" s="7" t="str">
        <f t="shared" si="2"/>
        <v>G8</v>
      </c>
      <c r="M39" s="7" t="str">
        <f t="shared" si="3"/>
        <v>J6</v>
      </c>
      <c r="N39" s="62" t="str">
        <f t="shared" si="4"/>
        <v/>
      </c>
      <c r="O39" s="8">
        <f t="shared" si="5"/>
        <v>45747</v>
      </c>
      <c r="P39" s="9" t="str">
        <f t="shared" ca="1" si="6"/>
        <v>ATRASADO</v>
      </c>
      <c r="Q39" s="12" t="s">
        <v>919</v>
      </c>
      <c r="R39" s="9"/>
      <c r="S39" s="9" t="str">
        <f t="shared" si="7"/>
        <v>ACTINOMYCES</v>
      </c>
    </row>
    <row r="40" spans="1:19" x14ac:dyDescent="0.3">
      <c r="A40" s="9">
        <v>36</v>
      </c>
      <c r="B40" s="73" t="s">
        <v>56</v>
      </c>
      <c r="C40" s="75" t="s">
        <v>991</v>
      </c>
      <c r="D40" s="14" t="s">
        <v>992</v>
      </c>
      <c r="E40" s="67">
        <v>31799</v>
      </c>
      <c r="F40" s="9">
        <f t="shared" ca="1" si="0"/>
        <v>39</v>
      </c>
      <c r="G40" s="28" t="s">
        <v>8</v>
      </c>
      <c r="H40" s="28" t="s">
        <v>271</v>
      </c>
      <c r="I40" s="59">
        <v>44645</v>
      </c>
      <c r="J40" s="581" t="s">
        <v>271</v>
      </c>
      <c r="K40" s="4" t="str">
        <f t="shared" si="1"/>
        <v>I</v>
      </c>
      <c r="L40" s="7" t="str">
        <f t="shared" si="2"/>
        <v>G8</v>
      </c>
      <c r="M40" s="7" t="str">
        <f t="shared" si="3"/>
        <v>J1</v>
      </c>
      <c r="N40" s="62" t="str">
        <f t="shared" si="4"/>
        <v/>
      </c>
      <c r="O40" s="8">
        <f t="shared" si="5"/>
        <v>45741</v>
      </c>
      <c r="P40" s="9" t="str">
        <f t="shared" ca="1" si="6"/>
        <v>ATRASADO</v>
      </c>
      <c r="Q40" s="12" t="s">
        <v>341</v>
      </c>
      <c r="R40" s="9"/>
      <c r="S40" s="9" t="str">
        <f t="shared" si="7"/>
        <v/>
      </c>
    </row>
    <row r="41" spans="1:19" x14ac:dyDescent="0.3">
      <c r="A41" s="9">
        <v>37</v>
      </c>
      <c r="B41" s="73" t="s">
        <v>56</v>
      </c>
      <c r="C41" s="75" t="s">
        <v>994</v>
      </c>
      <c r="D41" s="14" t="s">
        <v>995</v>
      </c>
      <c r="E41" s="67">
        <v>30768</v>
      </c>
      <c r="F41" s="9">
        <f t="shared" ca="1" si="0"/>
        <v>42</v>
      </c>
      <c r="G41" s="27">
        <v>44211</v>
      </c>
      <c r="H41" s="28" t="s">
        <v>275</v>
      </c>
      <c r="I41" s="59">
        <v>44639</v>
      </c>
      <c r="J41" s="580" t="s">
        <v>275</v>
      </c>
      <c r="K41" s="4" t="str">
        <f t="shared" si="1"/>
        <v>I</v>
      </c>
      <c r="L41" s="7" t="str">
        <f t="shared" si="2"/>
        <v>G8</v>
      </c>
      <c r="M41" s="7" t="str">
        <f t="shared" si="3"/>
        <v/>
      </c>
      <c r="N41" s="62" t="str">
        <f t="shared" si="4"/>
        <v/>
      </c>
      <c r="O41" s="8">
        <f t="shared" si="5"/>
        <v>45735</v>
      </c>
      <c r="P41" s="9" t="str">
        <f t="shared" ca="1" si="6"/>
        <v>ATRASADO</v>
      </c>
      <c r="Q41" s="12" t="s">
        <v>919</v>
      </c>
      <c r="R41" s="9"/>
      <c r="S41" s="9" t="str">
        <f t="shared" si="7"/>
        <v/>
      </c>
    </row>
    <row r="42" spans="1:19" x14ac:dyDescent="0.3">
      <c r="A42" s="9">
        <v>38</v>
      </c>
      <c r="B42" s="73" t="s">
        <v>56</v>
      </c>
      <c r="C42" s="75" t="s">
        <v>996</v>
      </c>
      <c r="D42" s="14" t="s">
        <v>997</v>
      </c>
      <c r="E42" s="67">
        <v>34038</v>
      </c>
      <c r="F42" s="9">
        <f t="shared" ca="1" si="0"/>
        <v>33</v>
      </c>
      <c r="G42" s="27">
        <v>43987</v>
      </c>
      <c r="H42" s="28" t="s">
        <v>340</v>
      </c>
      <c r="I42" s="59">
        <v>44627</v>
      </c>
      <c r="J42" s="580" t="s">
        <v>271</v>
      </c>
      <c r="K42" s="4" t="str">
        <f t="shared" si="1"/>
        <v>I</v>
      </c>
      <c r="L42" s="7" t="str">
        <f t="shared" si="2"/>
        <v>G8</v>
      </c>
      <c r="M42" s="7" t="str">
        <f t="shared" si="3"/>
        <v>J1</v>
      </c>
      <c r="N42" s="62" t="str">
        <f t="shared" si="4"/>
        <v/>
      </c>
      <c r="O42" s="8">
        <f t="shared" si="5"/>
        <v>45723</v>
      </c>
      <c r="P42" s="9" t="str">
        <f t="shared" ca="1" si="6"/>
        <v>ATRASADO</v>
      </c>
      <c r="Q42" s="12" t="s">
        <v>919</v>
      </c>
      <c r="R42" s="9"/>
      <c r="S42" s="9" t="str">
        <f t="shared" si="7"/>
        <v/>
      </c>
    </row>
    <row r="43" spans="1:19" x14ac:dyDescent="0.3">
      <c r="A43" s="9">
        <v>39</v>
      </c>
      <c r="B43" s="73" t="s">
        <v>56</v>
      </c>
      <c r="C43" s="75" t="s">
        <v>998</v>
      </c>
      <c r="D43" s="14" t="s">
        <v>999</v>
      </c>
      <c r="E43" s="67">
        <v>24832</v>
      </c>
      <c r="F43" s="9">
        <f t="shared" ca="1" si="0"/>
        <v>58</v>
      </c>
      <c r="G43" s="27">
        <v>43252</v>
      </c>
      <c r="H43" s="28" t="s">
        <v>8</v>
      </c>
      <c r="I43" s="59">
        <v>44629</v>
      </c>
      <c r="J43" s="580" t="s">
        <v>271</v>
      </c>
      <c r="K43" s="4" t="str">
        <f t="shared" si="1"/>
        <v>I</v>
      </c>
      <c r="L43" s="7" t="str">
        <f t="shared" si="2"/>
        <v>G8</v>
      </c>
      <c r="M43" s="7" t="str">
        <f t="shared" si="3"/>
        <v>J1</v>
      </c>
      <c r="N43" s="62" t="str">
        <f t="shared" si="4"/>
        <v/>
      </c>
      <c r="O43" s="8">
        <f t="shared" si="5"/>
        <v>45725</v>
      </c>
      <c r="P43" s="9" t="str">
        <f t="shared" ca="1" si="6"/>
        <v>ATRASADO</v>
      </c>
      <c r="Q43" s="12" t="s">
        <v>919</v>
      </c>
      <c r="R43" s="9"/>
      <c r="S43" s="9" t="str">
        <f t="shared" si="7"/>
        <v/>
      </c>
    </row>
    <row r="44" spans="1:19" x14ac:dyDescent="0.3">
      <c r="A44" s="9">
        <v>40</v>
      </c>
      <c r="B44" s="73" t="s">
        <v>56</v>
      </c>
      <c r="C44" s="75" t="s">
        <v>1000</v>
      </c>
      <c r="D44" s="16" t="s">
        <v>1001</v>
      </c>
      <c r="E44" s="67">
        <v>26018</v>
      </c>
      <c r="F44" s="9">
        <f t="shared" ca="1" si="0"/>
        <v>55</v>
      </c>
      <c r="G44" s="27">
        <v>43356</v>
      </c>
      <c r="H44" s="28" t="s">
        <v>8</v>
      </c>
      <c r="I44" s="59">
        <v>44625</v>
      </c>
      <c r="J44" s="580" t="s">
        <v>340</v>
      </c>
      <c r="K44" s="4" t="str">
        <f t="shared" si="1"/>
        <v>I</v>
      </c>
      <c r="L44" s="7" t="str">
        <f t="shared" si="2"/>
        <v>G8</v>
      </c>
      <c r="M44" s="7" t="str">
        <f t="shared" si="3"/>
        <v>S</v>
      </c>
      <c r="N44" s="62" t="str">
        <f t="shared" si="4"/>
        <v/>
      </c>
      <c r="O44" s="8">
        <f t="shared" si="5"/>
        <v>44990</v>
      </c>
      <c r="P44" s="9" t="str">
        <f t="shared" ca="1" si="6"/>
        <v>ATRASADO</v>
      </c>
      <c r="Q44" s="12" t="s">
        <v>919</v>
      </c>
      <c r="R44" s="9"/>
      <c r="S44" s="9" t="str">
        <f t="shared" si="7"/>
        <v/>
      </c>
    </row>
    <row r="45" spans="1:19" x14ac:dyDescent="0.3">
      <c r="A45" s="9">
        <v>41</v>
      </c>
      <c r="B45" s="73" t="s">
        <v>56</v>
      </c>
      <c r="C45" s="75" t="s">
        <v>1002</v>
      </c>
      <c r="D45" s="14" t="s">
        <v>1003</v>
      </c>
      <c r="E45" s="67">
        <v>34867</v>
      </c>
      <c r="F45" s="9">
        <f t="shared" ca="1" si="0"/>
        <v>31</v>
      </c>
      <c r="G45" s="27">
        <v>43404</v>
      </c>
      <c r="H45" s="28" t="s">
        <v>271</v>
      </c>
      <c r="I45" s="59">
        <v>44633</v>
      </c>
      <c r="J45" s="580" t="s">
        <v>275</v>
      </c>
      <c r="K45" s="4" t="str">
        <f t="shared" si="1"/>
        <v>I</v>
      </c>
      <c r="L45" s="7" t="str">
        <f t="shared" si="2"/>
        <v>G8</v>
      </c>
      <c r="M45" s="7" t="str">
        <f t="shared" si="3"/>
        <v/>
      </c>
      <c r="N45" s="62" t="str">
        <f t="shared" si="4"/>
        <v/>
      </c>
      <c r="O45" s="8">
        <f t="shared" si="5"/>
        <v>45729</v>
      </c>
      <c r="P45" s="9" t="str">
        <f t="shared" ca="1" si="6"/>
        <v>ATRASADO</v>
      </c>
      <c r="Q45" s="12" t="s">
        <v>919</v>
      </c>
      <c r="R45" s="9"/>
      <c r="S45" s="9" t="str">
        <f t="shared" si="7"/>
        <v/>
      </c>
    </row>
    <row r="46" spans="1:19" x14ac:dyDescent="0.3">
      <c r="A46" s="9">
        <v>42</v>
      </c>
      <c r="B46" s="73" t="s">
        <v>56</v>
      </c>
      <c r="C46" s="75" t="s">
        <v>1004</v>
      </c>
      <c r="D46" s="14" t="s">
        <v>1005</v>
      </c>
      <c r="E46" s="67">
        <v>27974</v>
      </c>
      <c r="F46" s="9">
        <f t="shared" ca="1" si="0"/>
        <v>50</v>
      </c>
      <c r="G46" s="27">
        <v>43437</v>
      </c>
      <c r="H46" s="28" t="s">
        <v>271</v>
      </c>
      <c r="I46" s="59">
        <v>44644</v>
      </c>
      <c r="J46" s="580" t="s">
        <v>291</v>
      </c>
      <c r="K46" s="4" t="str">
        <f t="shared" si="1"/>
        <v>I</v>
      </c>
      <c r="L46" s="7" t="str">
        <f t="shared" si="2"/>
        <v>G8</v>
      </c>
      <c r="M46" s="7" t="str">
        <f t="shared" si="3"/>
        <v>J5</v>
      </c>
      <c r="N46" s="62" t="str">
        <f t="shared" si="4"/>
        <v/>
      </c>
      <c r="O46" s="8">
        <f t="shared" si="5"/>
        <v>45740</v>
      </c>
      <c r="P46" s="9" t="str">
        <f t="shared" ca="1" si="6"/>
        <v>ATRASADO</v>
      </c>
      <c r="Q46" s="12" t="s">
        <v>919</v>
      </c>
      <c r="R46" s="9"/>
      <c r="S46" s="9" t="str">
        <f t="shared" si="7"/>
        <v>CANDIDA</v>
      </c>
    </row>
    <row r="47" spans="1:19" x14ac:dyDescent="0.3">
      <c r="A47" s="9">
        <v>43</v>
      </c>
      <c r="B47" s="73" t="s">
        <v>45</v>
      </c>
      <c r="C47" s="75" t="s">
        <v>1006</v>
      </c>
      <c r="D47" s="14" t="s">
        <v>1007</v>
      </c>
      <c r="E47" s="67">
        <v>24850</v>
      </c>
      <c r="F47" s="9">
        <f t="shared" ca="1" si="0"/>
        <v>58</v>
      </c>
      <c r="G47" s="27">
        <v>43765</v>
      </c>
      <c r="H47" s="28" t="s">
        <v>271</v>
      </c>
      <c r="I47" s="59">
        <v>44645</v>
      </c>
      <c r="J47" s="580" t="s">
        <v>271</v>
      </c>
      <c r="K47" s="4" t="str">
        <f t="shared" si="1"/>
        <v>I</v>
      </c>
      <c r="L47" s="7" t="str">
        <f t="shared" si="2"/>
        <v>G8</v>
      </c>
      <c r="M47" s="7" t="str">
        <f t="shared" si="3"/>
        <v>J1</v>
      </c>
      <c r="N47" s="62" t="str">
        <f t="shared" si="4"/>
        <v/>
      </c>
      <c r="O47" s="8">
        <f t="shared" si="5"/>
        <v>45741</v>
      </c>
      <c r="P47" s="9" t="str">
        <f t="shared" ca="1" si="6"/>
        <v>ATRASADO</v>
      </c>
      <c r="Q47" s="12" t="s">
        <v>919</v>
      </c>
      <c r="R47" s="9"/>
      <c r="S47" s="9" t="str">
        <f t="shared" si="7"/>
        <v/>
      </c>
    </row>
    <row r="48" spans="1:19" x14ac:dyDescent="0.3">
      <c r="A48" s="9">
        <v>44</v>
      </c>
      <c r="B48" s="73" t="s">
        <v>56</v>
      </c>
      <c r="C48" s="75" t="s">
        <v>1008</v>
      </c>
      <c r="D48" s="14" t="s">
        <v>1009</v>
      </c>
      <c r="E48" s="67">
        <v>29110</v>
      </c>
      <c r="F48" s="9">
        <f t="shared" ca="1" si="0"/>
        <v>47</v>
      </c>
      <c r="G48" s="27">
        <v>44155</v>
      </c>
      <c r="H48" s="28" t="s">
        <v>8</v>
      </c>
      <c r="I48" s="59">
        <v>44627</v>
      </c>
      <c r="J48" s="580" t="s">
        <v>8</v>
      </c>
      <c r="K48" s="4" t="str">
        <f t="shared" si="1"/>
        <v>SI</v>
      </c>
      <c r="L48" s="7" t="str">
        <f t="shared" si="2"/>
        <v xml:space="preserve">N </v>
      </c>
      <c r="M48" s="7" t="str">
        <f t="shared" si="3"/>
        <v>RE</v>
      </c>
      <c r="N48" s="62" t="str">
        <f t="shared" si="4"/>
        <v>GI</v>
      </c>
      <c r="O48" s="8">
        <f t="shared" si="5"/>
        <v>45723</v>
      </c>
      <c r="P48" s="9" t="str">
        <f t="shared" ca="1" si="6"/>
        <v>ATRASADO</v>
      </c>
      <c r="Q48" s="12" t="s">
        <v>919</v>
      </c>
      <c r="R48" s="9"/>
      <c r="S48" s="9" t="str">
        <f t="shared" si="7"/>
        <v/>
      </c>
    </row>
    <row r="49" spans="1:19" x14ac:dyDescent="0.3">
      <c r="A49" s="9">
        <v>45</v>
      </c>
      <c r="B49" s="73" t="s">
        <v>45</v>
      </c>
      <c r="C49" s="75" t="s">
        <v>1010</v>
      </c>
      <c r="D49" s="14" t="s">
        <v>1011</v>
      </c>
      <c r="E49" s="67">
        <v>28445</v>
      </c>
      <c r="F49" s="9">
        <f t="shared" ca="1" si="0"/>
        <v>48</v>
      </c>
      <c r="G49" s="27">
        <v>43729</v>
      </c>
      <c r="H49" s="28" t="s">
        <v>275</v>
      </c>
      <c r="I49" s="59">
        <v>44626</v>
      </c>
      <c r="J49" s="580" t="s">
        <v>271</v>
      </c>
      <c r="K49" s="4" t="str">
        <f t="shared" si="1"/>
        <v>I</v>
      </c>
      <c r="L49" s="7" t="str">
        <f t="shared" si="2"/>
        <v>G8</v>
      </c>
      <c r="M49" s="7" t="str">
        <f t="shared" si="3"/>
        <v>J1</v>
      </c>
      <c r="N49" s="62" t="str">
        <f t="shared" si="4"/>
        <v/>
      </c>
      <c r="O49" s="8">
        <f t="shared" si="5"/>
        <v>45722</v>
      </c>
      <c r="P49" s="9" t="str">
        <f t="shared" ca="1" si="6"/>
        <v>ATRASADO</v>
      </c>
      <c r="Q49" s="12" t="s">
        <v>919</v>
      </c>
      <c r="R49" s="9"/>
      <c r="S49" s="9" t="str">
        <f t="shared" si="7"/>
        <v/>
      </c>
    </row>
    <row r="50" spans="1:19" x14ac:dyDescent="0.3">
      <c r="A50" s="9">
        <v>46</v>
      </c>
      <c r="B50" s="73" t="s">
        <v>78</v>
      </c>
      <c r="C50" s="75" t="s">
        <v>1012</v>
      </c>
      <c r="D50" s="14" t="s">
        <v>1013</v>
      </c>
      <c r="E50" s="67">
        <v>30318</v>
      </c>
      <c r="F50" s="9">
        <f t="shared" ca="1" si="0"/>
        <v>43</v>
      </c>
      <c r="G50" s="27">
        <v>43538</v>
      </c>
      <c r="H50" s="28" t="s">
        <v>8</v>
      </c>
      <c r="I50" s="59">
        <v>44648</v>
      </c>
      <c r="J50" s="580" t="s">
        <v>271</v>
      </c>
      <c r="K50" s="4" t="str">
        <f t="shared" si="1"/>
        <v>I</v>
      </c>
      <c r="L50" s="7" t="str">
        <f t="shared" si="2"/>
        <v>G8</v>
      </c>
      <c r="M50" s="7" t="str">
        <f t="shared" si="3"/>
        <v>J1</v>
      </c>
      <c r="N50" s="62" t="str">
        <f t="shared" si="4"/>
        <v/>
      </c>
      <c r="O50" s="8">
        <f t="shared" si="5"/>
        <v>45744</v>
      </c>
      <c r="P50" s="9" t="str">
        <f t="shared" ca="1" si="6"/>
        <v>ATRASADO</v>
      </c>
      <c r="Q50" s="12" t="s">
        <v>919</v>
      </c>
      <c r="R50" s="9"/>
      <c r="S50" s="9" t="str">
        <f t="shared" si="7"/>
        <v/>
      </c>
    </row>
    <row r="51" spans="1:19" x14ac:dyDescent="0.3">
      <c r="A51" s="9">
        <v>47</v>
      </c>
      <c r="B51" s="73" t="s">
        <v>56</v>
      </c>
      <c r="C51" s="75" t="s">
        <v>1014</v>
      </c>
      <c r="D51" s="14" t="s">
        <v>1015</v>
      </c>
      <c r="E51" s="67">
        <v>22398</v>
      </c>
      <c r="F51" s="9">
        <f t="shared" ca="1" si="0"/>
        <v>65</v>
      </c>
      <c r="G51" s="27">
        <v>43198</v>
      </c>
      <c r="H51" s="28" t="s">
        <v>275</v>
      </c>
      <c r="I51" s="59">
        <v>44651</v>
      </c>
      <c r="J51" s="580" t="s">
        <v>340</v>
      </c>
      <c r="K51" s="4" t="str">
        <f t="shared" si="1"/>
        <v>I</v>
      </c>
      <c r="L51" s="7" t="str">
        <f t="shared" si="2"/>
        <v>G8</v>
      </c>
      <c r="M51" s="7" t="str">
        <f t="shared" si="3"/>
        <v>S</v>
      </c>
      <c r="N51" s="62" t="str">
        <f t="shared" si="4"/>
        <v/>
      </c>
      <c r="O51" s="8">
        <f t="shared" si="5"/>
        <v>45016</v>
      </c>
      <c r="P51" s="9" t="str">
        <f t="shared" ca="1" si="6"/>
        <v>ATRASADO</v>
      </c>
      <c r="Q51" s="12" t="s">
        <v>919</v>
      </c>
      <c r="R51" s="9"/>
      <c r="S51" s="9" t="str">
        <f t="shared" si="7"/>
        <v/>
      </c>
    </row>
    <row r="52" spans="1:19" x14ac:dyDescent="0.3">
      <c r="A52" s="9">
        <v>48</v>
      </c>
      <c r="B52" s="73" t="s">
        <v>579</v>
      </c>
      <c r="C52" s="75" t="s">
        <v>1016</v>
      </c>
      <c r="D52" s="16" t="s">
        <v>1017</v>
      </c>
      <c r="E52" s="67">
        <v>32474</v>
      </c>
      <c r="F52" s="9">
        <f t="shared" ca="1" si="0"/>
        <v>37</v>
      </c>
      <c r="G52" s="28" t="s">
        <v>8</v>
      </c>
      <c r="H52" s="28" t="s">
        <v>275</v>
      </c>
      <c r="I52" s="59">
        <v>44627</v>
      </c>
      <c r="J52" s="580" t="s">
        <v>271</v>
      </c>
      <c r="K52" s="4" t="str">
        <f t="shared" si="1"/>
        <v>I</v>
      </c>
      <c r="L52" s="7" t="str">
        <f t="shared" si="2"/>
        <v>G8</v>
      </c>
      <c r="M52" s="7" t="str">
        <f t="shared" si="3"/>
        <v>J1</v>
      </c>
      <c r="N52" s="62" t="str">
        <f t="shared" si="4"/>
        <v/>
      </c>
      <c r="O52" s="8">
        <f t="shared" si="5"/>
        <v>45723</v>
      </c>
      <c r="P52" s="9" t="str">
        <f t="shared" ca="1" si="6"/>
        <v>ATRASADO</v>
      </c>
      <c r="Q52" s="12" t="s">
        <v>919</v>
      </c>
      <c r="R52" s="9"/>
      <c r="S52" s="9" t="str">
        <f t="shared" si="7"/>
        <v/>
      </c>
    </row>
    <row r="53" spans="1:19" x14ac:dyDescent="0.3">
      <c r="A53" s="9">
        <v>49</v>
      </c>
      <c r="B53" s="73" t="s">
        <v>45</v>
      </c>
      <c r="C53" s="75" t="s">
        <v>1018</v>
      </c>
      <c r="D53" s="14" t="s">
        <v>1019</v>
      </c>
      <c r="E53" s="67">
        <v>33888</v>
      </c>
      <c r="F53" s="9">
        <f t="shared" ca="1" si="0"/>
        <v>33</v>
      </c>
      <c r="G53" s="27">
        <v>43065</v>
      </c>
      <c r="H53" s="28" t="s">
        <v>275</v>
      </c>
      <c r="I53" s="59">
        <v>44642</v>
      </c>
      <c r="J53" s="580" t="s">
        <v>363</v>
      </c>
      <c r="K53" s="4" t="str">
        <f t="shared" si="1"/>
        <v>I</v>
      </c>
      <c r="L53" s="7" t="str">
        <f t="shared" si="2"/>
        <v>G8</v>
      </c>
      <c r="M53" s="7" t="str">
        <f t="shared" si="3"/>
        <v>J2</v>
      </c>
      <c r="N53" s="62" t="str">
        <f t="shared" si="4"/>
        <v/>
      </c>
      <c r="O53" s="8">
        <f t="shared" si="5"/>
        <v>45738</v>
      </c>
      <c r="P53" s="9" t="str">
        <f t="shared" ca="1" si="6"/>
        <v>ATRASADO</v>
      </c>
      <c r="Q53" s="12" t="s">
        <v>919</v>
      </c>
      <c r="R53" s="9"/>
      <c r="S53" s="9" t="str">
        <f t="shared" si="7"/>
        <v>TRICOMONAS</v>
      </c>
    </row>
    <row r="54" spans="1:19" x14ac:dyDescent="0.3">
      <c r="A54" s="9">
        <v>50</v>
      </c>
      <c r="B54" s="73" t="s">
        <v>56</v>
      </c>
      <c r="C54" s="75" t="s">
        <v>1020</v>
      </c>
      <c r="D54" s="14" t="s">
        <v>1021</v>
      </c>
      <c r="E54" s="67">
        <v>21578</v>
      </c>
      <c r="F54" s="9">
        <f t="shared" ca="1" si="0"/>
        <v>67</v>
      </c>
      <c r="G54" s="27">
        <v>43426</v>
      </c>
      <c r="H54" s="28" t="s">
        <v>275</v>
      </c>
      <c r="I54" s="59">
        <v>44651</v>
      </c>
      <c r="J54" s="580" t="s">
        <v>275</v>
      </c>
      <c r="K54" s="4" t="str">
        <f t="shared" si="1"/>
        <v>I</v>
      </c>
      <c r="L54" s="7" t="str">
        <f t="shared" si="2"/>
        <v>G8</v>
      </c>
      <c r="M54" s="7" t="str">
        <f t="shared" si="3"/>
        <v/>
      </c>
      <c r="N54" s="62" t="str">
        <f t="shared" si="4"/>
        <v/>
      </c>
      <c r="O54" s="8">
        <f t="shared" si="5"/>
        <v>45747</v>
      </c>
      <c r="P54" s="9" t="str">
        <f t="shared" ca="1" si="6"/>
        <v>ATRASADO</v>
      </c>
      <c r="Q54" s="12" t="s">
        <v>919</v>
      </c>
      <c r="R54" s="9"/>
      <c r="S54" s="9" t="str">
        <f t="shared" si="7"/>
        <v/>
      </c>
    </row>
    <row r="55" spans="1:19" x14ac:dyDescent="0.3">
      <c r="A55" s="9">
        <v>51</v>
      </c>
      <c r="B55" s="73" t="s">
        <v>56</v>
      </c>
      <c r="C55" s="75" t="s">
        <v>1022</v>
      </c>
      <c r="D55" s="16" t="s">
        <v>1023</v>
      </c>
      <c r="E55" s="67">
        <v>23505</v>
      </c>
      <c r="F55" s="9">
        <f t="shared" ca="1" si="0"/>
        <v>62</v>
      </c>
      <c r="G55" s="27">
        <v>43317</v>
      </c>
      <c r="H55" s="28" t="s">
        <v>327</v>
      </c>
      <c r="I55" s="59">
        <v>44648</v>
      </c>
      <c r="J55" s="580" t="s">
        <v>8</v>
      </c>
      <c r="K55" s="4" t="str">
        <f t="shared" si="1"/>
        <v>SI</v>
      </c>
      <c r="L55" s="7" t="str">
        <f t="shared" si="2"/>
        <v xml:space="preserve">N </v>
      </c>
      <c r="M55" s="7" t="str">
        <f t="shared" si="3"/>
        <v>RE</v>
      </c>
      <c r="N55" s="62" t="str">
        <f t="shared" si="4"/>
        <v>GI</v>
      </c>
      <c r="O55" s="8">
        <f t="shared" si="5"/>
        <v>45744</v>
      </c>
      <c r="P55" s="9" t="str">
        <f t="shared" ca="1" si="6"/>
        <v>ATRASADO</v>
      </c>
      <c r="Q55" s="12" t="s">
        <v>919</v>
      </c>
      <c r="R55" s="9"/>
      <c r="S55" s="9" t="str">
        <f t="shared" si="7"/>
        <v/>
      </c>
    </row>
    <row r="56" spans="1:19" x14ac:dyDescent="0.3">
      <c r="A56" s="9">
        <v>52</v>
      </c>
      <c r="B56" s="73" t="s">
        <v>56</v>
      </c>
      <c r="C56" s="75" t="s">
        <v>1024</v>
      </c>
      <c r="D56" s="14" t="s">
        <v>1025</v>
      </c>
      <c r="E56" s="67">
        <v>33743</v>
      </c>
      <c r="F56" s="9">
        <f t="shared" ca="1" si="0"/>
        <v>34</v>
      </c>
      <c r="G56" s="27">
        <v>43728</v>
      </c>
      <c r="H56" s="28" t="s">
        <v>271</v>
      </c>
      <c r="I56" s="59">
        <v>44624</v>
      </c>
      <c r="J56" s="580" t="s">
        <v>8</v>
      </c>
      <c r="K56" s="4" t="str">
        <f t="shared" si="1"/>
        <v>SI</v>
      </c>
      <c r="L56" s="7" t="str">
        <f t="shared" si="2"/>
        <v xml:space="preserve">N </v>
      </c>
      <c r="M56" s="7" t="str">
        <f t="shared" si="3"/>
        <v>RE</v>
      </c>
      <c r="N56" s="62" t="str">
        <f t="shared" si="4"/>
        <v>GI</v>
      </c>
      <c r="O56" s="8">
        <f t="shared" si="5"/>
        <v>45720</v>
      </c>
      <c r="P56" s="9" t="str">
        <f t="shared" ca="1" si="6"/>
        <v>ATRASADO</v>
      </c>
      <c r="Q56" s="12" t="s">
        <v>919</v>
      </c>
      <c r="R56" s="9"/>
      <c r="S56" s="9" t="str">
        <f t="shared" si="7"/>
        <v/>
      </c>
    </row>
    <row r="57" spans="1:19" x14ac:dyDescent="0.3">
      <c r="A57" s="9">
        <v>53</v>
      </c>
      <c r="B57" s="73" t="s">
        <v>56</v>
      </c>
      <c r="C57" s="75" t="s">
        <v>1026</v>
      </c>
      <c r="D57" s="14" t="s">
        <v>1027</v>
      </c>
      <c r="E57" s="67">
        <v>28725</v>
      </c>
      <c r="F57" s="9">
        <f t="shared" ca="1" si="0"/>
        <v>48</v>
      </c>
      <c r="G57" s="28" t="s">
        <v>8</v>
      </c>
      <c r="H57" s="28" t="s">
        <v>8</v>
      </c>
      <c r="I57" s="59">
        <v>44647</v>
      </c>
      <c r="J57" s="580" t="s">
        <v>275</v>
      </c>
      <c r="K57" s="4" t="str">
        <f t="shared" si="1"/>
        <v>I</v>
      </c>
      <c r="L57" s="7" t="str">
        <f t="shared" si="2"/>
        <v>G8</v>
      </c>
      <c r="M57" s="7" t="str">
        <f t="shared" si="3"/>
        <v/>
      </c>
      <c r="N57" s="62" t="str">
        <f t="shared" si="4"/>
        <v/>
      </c>
      <c r="O57" s="8">
        <f t="shared" si="5"/>
        <v>45743</v>
      </c>
      <c r="P57" s="9" t="str">
        <f t="shared" ca="1" si="6"/>
        <v>ATRASADO</v>
      </c>
      <c r="Q57" s="12" t="s">
        <v>919</v>
      </c>
      <c r="R57" s="9"/>
      <c r="S57" s="9" t="str">
        <f t="shared" si="7"/>
        <v/>
      </c>
    </row>
    <row r="58" spans="1:19" x14ac:dyDescent="0.3">
      <c r="A58" s="9">
        <v>54</v>
      </c>
      <c r="B58" s="73" t="s">
        <v>56</v>
      </c>
      <c r="C58" s="75" t="s">
        <v>1028</v>
      </c>
      <c r="D58" s="14" t="s">
        <v>1029</v>
      </c>
      <c r="E58" s="67">
        <v>26738</v>
      </c>
      <c r="F58" s="9">
        <f t="shared" ca="1" si="0"/>
        <v>53</v>
      </c>
      <c r="G58" s="27">
        <v>44060</v>
      </c>
      <c r="H58" s="28" t="s">
        <v>275</v>
      </c>
      <c r="I58" s="59">
        <v>44640</v>
      </c>
      <c r="J58" s="580" t="s">
        <v>8</v>
      </c>
      <c r="K58" s="4" t="str">
        <f t="shared" si="1"/>
        <v>SI</v>
      </c>
      <c r="L58" s="7" t="str">
        <f t="shared" si="2"/>
        <v xml:space="preserve">N </v>
      </c>
      <c r="M58" s="7" t="str">
        <f t="shared" si="3"/>
        <v>RE</v>
      </c>
      <c r="N58" s="62" t="str">
        <f t="shared" si="4"/>
        <v>GI</v>
      </c>
      <c r="O58" s="8">
        <f t="shared" si="5"/>
        <v>45736</v>
      </c>
      <c r="P58" s="9" t="str">
        <f t="shared" ca="1" si="6"/>
        <v>ATRASADO</v>
      </c>
      <c r="Q58" s="12" t="s">
        <v>919</v>
      </c>
      <c r="R58" s="9"/>
      <c r="S58" s="9" t="str">
        <f t="shared" si="7"/>
        <v/>
      </c>
    </row>
    <row r="59" spans="1:19" x14ac:dyDescent="0.3">
      <c r="A59" s="9">
        <v>55</v>
      </c>
      <c r="B59" s="73" t="s">
        <v>56</v>
      </c>
      <c r="C59" s="75" t="s">
        <v>1030</v>
      </c>
      <c r="D59" s="14" t="s">
        <v>1031</v>
      </c>
      <c r="E59" s="67">
        <v>26727</v>
      </c>
      <c r="F59" s="9">
        <f t="shared" ca="1" si="0"/>
        <v>53</v>
      </c>
      <c r="G59" s="27">
        <v>43276</v>
      </c>
      <c r="H59" s="28" t="s">
        <v>275</v>
      </c>
      <c r="I59" s="59">
        <v>44639</v>
      </c>
      <c r="J59" s="580" t="s">
        <v>271</v>
      </c>
      <c r="K59" s="4" t="str">
        <f t="shared" si="1"/>
        <v>I</v>
      </c>
      <c r="L59" s="7" t="str">
        <f t="shared" si="2"/>
        <v>G8</v>
      </c>
      <c r="M59" s="7" t="str">
        <f t="shared" si="3"/>
        <v>J1</v>
      </c>
      <c r="N59" s="62" t="str">
        <f t="shared" si="4"/>
        <v/>
      </c>
      <c r="O59" s="8">
        <f t="shared" si="5"/>
        <v>45735</v>
      </c>
      <c r="P59" s="9" t="str">
        <f t="shared" ca="1" si="6"/>
        <v>ATRASADO</v>
      </c>
      <c r="Q59" s="12" t="s">
        <v>919</v>
      </c>
      <c r="R59" s="9"/>
      <c r="S59" s="9" t="str">
        <f t="shared" si="7"/>
        <v/>
      </c>
    </row>
    <row r="60" spans="1:19" x14ac:dyDescent="0.3">
      <c r="A60" s="9">
        <v>56</v>
      </c>
      <c r="B60" s="73" t="s">
        <v>56</v>
      </c>
      <c r="C60" s="75" t="s">
        <v>1032</v>
      </c>
      <c r="D60" s="14" t="s">
        <v>1033</v>
      </c>
      <c r="E60" s="67">
        <v>23755</v>
      </c>
      <c r="F60" s="9">
        <f t="shared" ca="1" si="0"/>
        <v>61</v>
      </c>
      <c r="G60" s="27">
        <v>43224</v>
      </c>
      <c r="H60" s="28" t="s">
        <v>275</v>
      </c>
      <c r="I60" s="59">
        <v>44631</v>
      </c>
      <c r="J60" s="580" t="s">
        <v>275</v>
      </c>
      <c r="K60" s="4" t="str">
        <f t="shared" si="1"/>
        <v>I</v>
      </c>
      <c r="L60" s="7" t="str">
        <f t="shared" si="2"/>
        <v>G8</v>
      </c>
      <c r="M60" s="7" t="str">
        <f t="shared" si="3"/>
        <v/>
      </c>
      <c r="N60" s="62" t="str">
        <f t="shared" si="4"/>
        <v/>
      </c>
      <c r="O60" s="8">
        <f t="shared" si="5"/>
        <v>45727</v>
      </c>
      <c r="P60" s="9" t="str">
        <f t="shared" ca="1" si="6"/>
        <v>ATRASADO</v>
      </c>
      <c r="Q60" s="12" t="s">
        <v>919</v>
      </c>
      <c r="R60" s="9"/>
      <c r="S60" s="9" t="str">
        <f t="shared" si="7"/>
        <v/>
      </c>
    </row>
    <row r="61" spans="1:19" x14ac:dyDescent="0.3">
      <c r="A61" s="9">
        <v>57</v>
      </c>
      <c r="B61" s="73" t="s">
        <v>56</v>
      </c>
      <c r="C61" s="75" t="s">
        <v>1034</v>
      </c>
      <c r="D61" s="14" t="s">
        <v>1035</v>
      </c>
      <c r="E61" s="67">
        <v>25677</v>
      </c>
      <c r="F61" s="9">
        <f t="shared" ca="1" si="0"/>
        <v>56</v>
      </c>
      <c r="G61" s="28" t="s">
        <v>8</v>
      </c>
      <c r="H61" s="28" t="s">
        <v>275</v>
      </c>
      <c r="I61" s="59">
        <v>44633</v>
      </c>
      <c r="J61" s="580" t="s">
        <v>271</v>
      </c>
      <c r="K61" s="4" t="str">
        <f t="shared" si="1"/>
        <v>I</v>
      </c>
      <c r="L61" s="7" t="str">
        <f t="shared" si="2"/>
        <v>G8</v>
      </c>
      <c r="M61" s="7" t="str">
        <f t="shared" si="3"/>
        <v>J1</v>
      </c>
      <c r="N61" s="62" t="str">
        <f t="shared" si="4"/>
        <v/>
      </c>
      <c r="O61" s="8">
        <f t="shared" si="5"/>
        <v>45729</v>
      </c>
      <c r="P61" s="9" t="str">
        <f t="shared" ca="1" si="6"/>
        <v>ATRASADO</v>
      </c>
      <c r="Q61" s="12" t="s">
        <v>919</v>
      </c>
      <c r="R61" s="9"/>
      <c r="S61" s="9" t="str">
        <f t="shared" si="7"/>
        <v/>
      </c>
    </row>
    <row r="62" spans="1:19" x14ac:dyDescent="0.3">
      <c r="A62" s="9">
        <v>58</v>
      </c>
      <c r="B62" s="73" t="s">
        <v>56</v>
      </c>
      <c r="C62" s="75" t="s">
        <v>1036</v>
      </c>
      <c r="D62" s="14" t="s">
        <v>1037</v>
      </c>
      <c r="E62" s="67">
        <v>28237</v>
      </c>
      <c r="F62" s="9">
        <f t="shared" ca="1" si="0"/>
        <v>49</v>
      </c>
      <c r="G62" s="27">
        <v>43036</v>
      </c>
      <c r="H62" s="28" t="s">
        <v>275</v>
      </c>
      <c r="I62" s="59">
        <v>44627</v>
      </c>
      <c r="J62" s="580" t="s">
        <v>271</v>
      </c>
      <c r="K62" s="4" t="str">
        <f t="shared" si="1"/>
        <v>I</v>
      </c>
      <c r="L62" s="7" t="str">
        <f t="shared" si="2"/>
        <v>G8</v>
      </c>
      <c r="M62" s="7" t="str">
        <f t="shared" si="3"/>
        <v>J1</v>
      </c>
      <c r="N62" s="62" t="str">
        <f t="shared" si="4"/>
        <v/>
      </c>
      <c r="O62" s="8">
        <f t="shared" si="5"/>
        <v>45723</v>
      </c>
      <c r="P62" s="9" t="str">
        <f t="shared" ca="1" si="6"/>
        <v>ATRASADO</v>
      </c>
      <c r="Q62" s="12" t="s">
        <v>919</v>
      </c>
      <c r="R62" s="9"/>
      <c r="S62" s="9" t="str">
        <f t="shared" si="7"/>
        <v/>
      </c>
    </row>
    <row r="63" spans="1:19" x14ac:dyDescent="0.3">
      <c r="A63" s="9">
        <v>59</v>
      </c>
      <c r="B63" s="73" t="s">
        <v>56</v>
      </c>
      <c r="C63" s="75" t="s">
        <v>1038</v>
      </c>
      <c r="D63" s="14" t="s">
        <v>1039</v>
      </c>
      <c r="E63" s="67">
        <v>30021</v>
      </c>
      <c r="F63" s="9">
        <f t="shared" ca="1" si="0"/>
        <v>44</v>
      </c>
      <c r="G63" s="27">
        <v>43879</v>
      </c>
      <c r="H63" s="28" t="s">
        <v>8</v>
      </c>
      <c r="I63" s="59">
        <v>44643</v>
      </c>
      <c r="J63" s="580" t="s">
        <v>340</v>
      </c>
      <c r="K63" s="4" t="str">
        <f t="shared" si="1"/>
        <v>I</v>
      </c>
      <c r="L63" s="7" t="str">
        <f t="shared" si="2"/>
        <v>G8</v>
      </c>
      <c r="M63" s="7" t="str">
        <f t="shared" si="3"/>
        <v>S</v>
      </c>
      <c r="N63" s="62" t="str">
        <f t="shared" si="4"/>
        <v/>
      </c>
      <c r="O63" s="8">
        <f t="shared" si="5"/>
        <v>45008</v>
      </c>
      <c r="P63" s="9" t="str">
        <f t="shared" ca="1" si="6"/>
        <v>ATRASADO</v>
      </c>
      <c r="Q63" s="12" t="s">
        <v>919</v>
      </c>
      <c r="R63" s="9"/>
      <c r="S63" s="9" t="str">
        <f t="shared" si="7"/>
        <v/>
      </c>
    </row>
    <row r="64" spans="1:19" x14ac:dyDescent="0.3">
      <c r="A64" s="9">
        <v>60</v>
      </c>
      <c r="B64" s="73" t="s">
        <v>56</v>
      </c>
      <c r="C64" s="75" t="s">
        <v>1040</v>
      </c>
      <c r="D64" s="16" t="s">
        <v>1041</v>
      </c>
      <c r="E64" s="67">
        <v>28206</v>
      </c>
      <c r="F64" s="9">
        <f t="shared" ca="1" si="0"/>
        <v>49</v>
      </c>
      <c r="G64" s="27">
        <v>42883</v>
      </c>
      <c r="H64" s="28" t="s">
        <v>275</v>
      </c>
      <c r="I64" s="59">
        <v>44640</v>
      </c>
      <c r="J64" s="580" t="s">
        <v>275</v>
      </c>
      <c r="K64" s="4" t="str">
        <f t="shared" si="1"/>
        <v>I</v>
      </c>
      <c r="L64" s="7" t="str">
        <f t="shared" si="2"/>
        <v>G8</v>
      </c>
      <c r="M64" s="7" t="str">
        <f t="shared" si="3"/>
        <v/>
      </c>
      <c r="N64" s="62" t="str">
        <f t="shared" si="4"/>
        <v/>
      </c>
      <c r="O64" s="8">
        <f t="shared" si="5"/>
        <v>45736</v>
      </c>
      <c r="P64" s="9" t="str">
        <f t="shared" ca="1" si="6"/>
        <v>ATRASADO</v>
      </c>
      <c r="Q64" s="12" t="s">
        <v>919</v>
      </c>
      <c r="R64" s="9"/>
      <c r="S64" s="9" t="str">
        <f t="shared" si="7"/>
        <v/>
      </c>
    </row>
    <row r="65" spans="1:19" x14ac:dyDescent="0.3">
      <c r="A65" s="9">
        <v>61</v>
      </c>
      <c r="B65" s="73" t="s">
        <v>312</v>
      </c>
      <c r="C65" s="75" t="s">
        <v>1042</v>
      </c>
      <c r="D65" s="16" t="s">
        <v>1043</v>
      </c>
      <c r="E65" s="67">
        <v>24758</v>
      </c>
      <c r="F65" s="9">
        <f t="shared" ca="1" si="0"/>
        <v>58</v>
      </c>
      <c r="G65" s="27">
        <v>42914</v>
      </c>
      <c r="H65" s="28" t="s">
        <v>275</v>
      </c>
      <c r="I65" s="59">
        <v>44651</v>
      </c>
      <c r="J65" s="580" t="s">
        <v>271</v>
      </c>
      <c r="K65" s="4" t="str">
        <f t="shared" si="1"/>
        <v>I</v>
      </c>
      <c r="L65" s="7" t="str">
        <f t="shared" si="2"/>
        <v>G8</v>
      </c>
      <c r="M65" s="7" t="str">
        <f t="shared" si="3"/>
        <v>J1</v>
      </c>
      <c r="N65" s="62" t="str">
        <f t="shared" si="4"/>
        <v/>
      </c>
      <c r="O65" s="8">
        <f t="shared" si="5"/>
        <v>45747</v>
      </c>
      <c r="P65" s="9" t="str">
        <f t="shared" ca="1" si="6"/>
        <v>ATRASADO</v>
      </c>
      <c r="Q65" s="12" t="s">
        <v>919</v>
      </c>
      <c r="R65" s="9"/>
      <c r="S65" s="9" t="str">
        <f t="shared" si="7"/>
        <v/>
      </c>
    </row>
    <row r="66" spans="1:19" x14ac:dyDescent="0.3">
      <c r="A66" s="9">
        <v>62</v>
      </c>
      <c r="B66" s="73" t="s">
        <v>56</v>
      </c>
      <c r="C66" s="75" t="s">
        <v>1044</v>
      </c>
      <c r="D66" s="14" t="s">
        <v>1045</v>
      </c>
      <c r="E66" s="67">
        <v>33487</v>
      </c>
      <c r="F66" s="9">
        <f t="shared" ca="1" si="0"/>
        <v>35</v>
      </c>
      <c r="G66" s="28" t="s">
        <v>8</v>
      </c>
      <c r="H66" s="28" t="s">
        <v>271</v>
      </c>
      <c r="I66" s="59">
        <v>44637</v>
      </c>
      <c r="J66" s="580" t="s">
        <v>271</v>
      </c>
      <c r="K66" s="4" t="str">
        <f t="shared" si="1"/>
        <v>I</v>
      </c>
      <c r="L66" s="7" t="str">
        <f t="shared" si="2"/>
        <v>G8</v>
      </c>
      <c r="M66" s="7" t="str">
        <f t="shared" si="3"/>
        <v>J1</v>
      </c>
      <c r="N66" s="62" t="str">
        <f t="shared" si="4"/>
        <v/>
      </c>
      <c r="O66" s="8">
        <f t="shared" si="5"/>
        <v>45733</v>
      </c>
      <c r="P66" s="9" t="str">
        <f t="shared" ca="1" si="6"/>
        <v>ATRASADO</v>
      </c>
      <c r="Q66" s="12" t="s">
        <v>919</v>
      </c>
      <c r="R66" s="9"/>
      <c r="S66" s="9" t="str">
        <f t="shared" si="7"/>
        <v/>
      </c>
    </row>
    <row r="67" spans="1:19" x14ac:dyDescent="0.3">
      <c r="A67" s="9">
        <v>63</v>
      </c>
      <c r="B67" s="73" t="s">
        <v>270</v>
      </c>
      <c r="C67" s="75" t="s">
        <v>1046</v>
      </c>
      <c r="D67" s="14" t="s">
        <v>1047</v>
      </c>
      <c r="E67" s="67">
        <v>22752</v>
      </c>
      <c r="F67" s="9">
        <f t="shared" ca="1" si="0"/>
        <v>64</v>
      </c>
      <c r="G67" s="27">
        <v>42871</v>
      </c>
      <c r="H67" s="28" t="s">
        <v>275</v>
      </c>
      <c r="I67" s="59">
        <v>44638</v>
      </c>
      <c r="J67" s="580" t="s">
        <v>271</v>
      </c>
      <c r="K67" s="4" t="str">
        <f t="shared" si="1"/>
        <v>I</v>
      </c>
      <c r="L67" s="7" t="str">
        <f t="shared" si="2"/>
        <v>G8</v>
      </c>
      <c r="M67" s="7" t="str">
        <f t="shared" si="3"/>
        <v>J1</v>
      </c>
      <c r="N67" s="62" t="str">
        <f t="shared" si="4"/>
        <v/>
      </c>
      <c r="O67" s="8">
        <f t="shared" si="5"/>
        <v>45734</v>
      </c>
      <c r="P67" s="9" t="str">
        <f t="shared" ca="1" si="6"/>
        <v>ATRASADO</v>
      </c>
      <c r="Q67" s="12" t="s">
        <v>919</v>
      </c>
      <c r="R67" s="9"/>
      <c r="S67" s="9" t="str">
        <f t="shared" si="7"/>
        <v/>
      </c>
    </row>
    <row r="68" spans="1:19" x14ac:dyDescent="0.3">
      <c r="A68" s="9">
        <v>64</v>
      </c>
      <c r="B68" s="73" t="s">
        <v>312</v>
      </c>
      <c r="C68" s="75" t="s">
        <v>1048</v>
      </c>
      <c r="D68" s="14" t="s">
        <v>1049</v>
      </c>
      <c r="E68" s="67">
        <v>27422</v>
      </c>
      <c r="F68" s="9">
        <f t="shared" ca="1" si="0"/>
        <v>51</v>
      </c>
      <c r="G68" s="28" t="s">
        <v>8</v>
      </c>
      <c r="H68" s="28" t="s">
        <v>8</v>
      </c>
      <c r="I68" s="59">
        <v>44622</v>
      </c>
      <c r="J68" s="580" t="s">
        <v>275</v>
      </c>
      <c r="K68" s="4" t="str">
        <f t="shared" si="1"/>
        <v>I</v>
      </c>
      <c r="L68" s="7" t="str">
        <f t="shared" si="2"/>
        <v>G8</v>
      </c>
      <c r="M68" s="7" t="str">
        <f t="shared" si="3"/>
        <v/>
      </c>
      <c r="N68" s="62" t="str">
        <f t="shared" si="4"/>
        <v/>
      </c>
      <c r="O68" s="8">
        <f t="shared" si="5"/>
        <v>45718</v>
      </c>
      <c r="P68" s="9" t="str">
        <f t="shared" ca="1" si="6"/>
        <v>ATRASADO</v>
      </c>
      <c r="Q68" s="12" t="s">
        <v>919</v>
      </c>
      <c r="R68" s="9"/>
      <c r="S68" s="9" t="str">
        <f t="shared" si="7"/>
        <v/>
      </c>
    </row>
    <row r="69" spans="1:19" x14ac:dyDescent="0.3">
      <c r="A69" s="9">
        <v>65</v>
      </c>
      <c r="B69" s="73" t="s">
        <v>75</v>
      </c>
      <c r="C69" s="75" t="s">
        <v>1050</v>
      </c>
      <c r="D69" s="14" t="s">
        <v>1051</v>
      </c>
      <c r="E69" s="67">
        <v>26406</v>
      </c>
      <c r="F69" s="9">
        <f t="shared" ref="F69:F132" ca="1" si="8">IF(E69="","",DATEDIF(E69,TODAY(),"Y"))</f>
        <v>54</v>
      </c>
      <c r="G69" s="28" t="s">
        <v>8</v>
      </c>
      <c r="H69" s="28" t="s">
        <v>275</v>
      </c>
      <c r="I69" s="59">
        <v>44622</v>
      </c>
      <c r="J69" s="580" t="s">
        <v>594</v>
      </c>
      <c r="K69" s="4" t="str">
        <f t="shared" ref="K69:K132" si="9">IF(OR(LEFT(J69,2)="T1",LEFT(J69,2)="T2",LEFT(J69,2)="A1",LEFT(J69,2)="D0",LEFT(J69,2)="D1",LEFT(J69,2)="D2",LEFT(J69,2)="D3",LEFT(J69,2)="E1",LEFT(J69,2)="E2"),LEFT(J69,2),IF(OR(LEFT(J69,1)="A",LEFT(J69,1)="B",LEFT(J69,1)="C",LEFT(J69,1)="D",LEFT(J69,1)="I",LEFT(J69,1)="E",LEFT(J69,1)="K",LEFT(J69,1)="T"),LEFT(J69,1),LEFT(J69,2)))</f>
        <v>I</v>
      </c>
      <c r="L69" s="7" t="str">
        <f t="shared" ref="L69:L132" si="10">IF(AND(OR(LEFT(J69,2)="A1",LEFT(J69,2)="D0",LEFT(J69,2)="D1",LEFT(J69,2)="D2",LEFT(J69,2)="D3",LEFT(J69,2)="E1",LEFT(J69,2)="E2",LEFT(J69,2)="T1",LEFT(J69,2)="T2"),OR(MID(J69,3,1)="A",MID(J69,3,1)="B",MID(J69,3,1)="C",MID(J69,3,1)="D",MID(J69,3,1)="E",MID(J69,3,1)="I",MID(J69,3,1)="K",MID(J69,3,1)="T",MID(J69,3,1)="N",)),MID(J69,3,1),IF(OR(LEFT(J69,2)="A1",LEFT(J69,2)="D0",LEFT(J69,2)="D1",LEFT(J69,2)="D2",LEFT(J69,2)="D3",LEFT(J69,2)="E1",LEFT(J69,2)="E2",LEFT(J69,2)="T1",LEFT(J69,2)="T2"),MID(J69,3,2),IF(AND(OR(LEFT(J69,1)="A",LEFT(J69,1)="B",LEFT(J69,1)="C",LEFT(J69,1)="D",LEFT(J69,1)="E",LEFT(J69,1)="I",LEFT(J69,1)="K",LEFT(J69,1)="T",LEFT(J69,1)="N"),OR(MID(J69,2,1)="A",MID(J69,2,1)="B",MID(J69,2,1)="C",MID(J69,2,1)="D",MID(J69,2,1)="E",MID(J69,2,1)="I",MID(J69,2,1)="K",MID(J69,2,1)="T",MID(J69,2,1)="N")),MID(J69,2,2),IF(OR(LEFT(J69,1)="A",LEFT(J69,1)="B",LEFT(J69,1)="C",LEFT(J69,1)="D",LEFT(J69,1)="E",LEFT(J69,1)="I",LEFT(J69,1)="K",LEFT(J69,1)="T",LEFT(J69,1)="N"),MID(J69,2,2),MID(J69,3,2)))))</f>
        <v>G8</v>
      </c>
      <c r="M69" s="7" t="str">
        <f t="shared" ref="M69:M132" si="11">IF(AND(OR(LEFT(J69,2)="A1",LEFT(J69,2)="D0",LEFT(J69,2)="D1",LEFT(J69,2)="D2",LEFT(J69,2)="D3",LEFT(J69,2)="E1",LEFT(J69,2)="E2",LEFT(J69,2)="T1",LEFT(J69,2)="T2"),OR(MID(J69,3,1)="A",MID(J69,3,1)="B",MID(J69,3,1)="C",MID(J69,3,1)="D",MID(J69,3,1)="E",MID(J69,3,1)="I",MID(J69,3,1)="K",MID(J69,3,1)="T",MID(J69,3,1)="N",)),MID(J69,4,2),IF(OR(LEFT(J69,2)="A1",LEFT(J69,2)="D0",LEFT(J69,2)="D1",LEFT(J69,2)="D2",LEFT(J69,2)="D3",LEFT(J69,2)="E1",LEFT(J69,2)="E2",LEFT(J69,2)="T1",LEFT(J69,2)="T2"),MID(J69,5,2),IF(AND(OR(LEFT(J69,1)="A",LEFT(J69,1)="B",LEFT(J69,1)="C",LEFT(J69,1)="D",LEFT(J69,1)="E",LEFT(J69,1)="I",LEFT(J69,1)="K",LEFT(J69,1)="T",LEFT(J69,1)="N"),OR(MID(J69,2,1)="A",MID(J69,2,1)="B",MID(J69,2,1)="C",MID(J69,2,1)="D",MID(J69,2,1)="E",MID(J69,2,1)="I",MID(J69,2,1)="K",MID(J69,2,1)="T",MID(J69,2,1)="N")),MID(J69,3,2),IF(OR(LEFT(J69,1)="A",LEFT(J69,1)="B",LEFT(J69,1)="C",LEFT(J69,1)="D",LEFT(J69,1)="E",LEFT(J69,1)="I",LEFT(J69,1)="K",LEFT(J69,1)="T",LEFT(J69,1)="N"),MID(J69,4,2),MID(J69,5,2)))))</f>
        <v>J6</v>
      </c>
      <c r="N69" s="62" t="str">
        <f t="shared" ref="N69:N132" si="12">IF(AND(OR(LEFT(J69,1)="I",LEFT(J69,1)="T",LEFT(J69,1)="A",LEFT(J69,1)="B",LEFT(J69,1)="C",LEFT(J69,1)="D",LEFT(J69,1)="E"),OR(MID(J69,2,1)="I",MID(J69,2,1)="T",MID(J69,2,1)="A",MID(J69,2,1)="B",MID(J69,2,1)="C",MID(J69,2,1)="D",MID(J69,2,1)="E")),MID(J69,5,2),IF(OR(LEFT(J69,1)="I",LEFT(J69,1)="T",LEFT(J69,1)="A",LEFT(J69,1)="B",LEFT(J69,1)="C",LEFT(J69,1)="D",LEFT(J69,1)="E"),MID(J69,6,2),MID(J69,7,2)))</f>
        <v/>
      </c>
      <c r="O69" s="8">
        <f t="shared" ref="O69:O132" si="13">IF(I69="","",IF(OR(K69="S",L69="S",M69="S",N69="S",K69="G7",L69="G7",M69="G7",N69="G7",),DATE(YEAR(I69)+1,MONTH(I69),DAY(I69)),IF(OR(K69="O3",L69="O3",M69="O3",N69="O3",K69="ASCUS",L69="ASCUS",M69="ASCUS",N69="ASCUS"),DATE(YEAR(I69),MONTH(I69)+6,DAY(I69)),IF(OR(K69="O5",L69="O5",M69="O5",N69="O5"),DATE(YEAR(I69),MONTH(I69)+3,DAY(I69)),IF(OR(K69="T",L69="T",M69="T",N69="T"),DATE(YEAR(I69),MONTH(I69)+1,DAY(I69)+10),DATE(YEAR(I69)+3,MONTH(I69),DAY(I69)))))))</f>
        <v>45718</v>
      </c>
      <c r="P69" s="9" t="str">
        <f t="shared" ref="P69:P132" ca="1" si="14">IF(O69="","",IF(YEAR(O69)&gt;YEAR(TODAY()),"VIGENTE",IF(AND(YEAR(O69)&gt;=YEAR(TODAY()),MONTH(O69)&gt;=MONTH(TODAY())),"VIGENTE","ATRASADO")))</f>
        <v>ATRASADO</v>
      </c>
      <c r="Q69" s="12" t="s">
        <v>919</v>
      </c>
      <c r="R69" s="9"/>
      <c r="S69" s="9" t="str">
        <f t="shared" si="7"/>
        <v>ACTINOMYCES</v>
      </c>
    </row>
    <row r="70" spans="1:19" x14ac:dyDescent="0.3">
      <c r="A70" s="9">
        <v>66</v>
      </c>
      <c r="B70" s="73" t="s">
        <v>111</v>
      </c>
      <c r="C70" s="75" t="s">
        <v>1052</v>
      </c>
      <c r="D70" s="14" t="s">
        <v>1053</v>
      </c>
      <c r="E70" s="67">
        <v>26211</v>
      </c>
      <c r="F70" s="9">
        <f t="shared" ca="1" si="8"/>
        <v>54</v>
      </c>
      <c r="G70" s="27">
        <v>43821</v>
      </c>
      <c r="H70" s="28" t="s">
        <v>275</v>
      </c>
      <c r="I70" s="59">
        <v>44624</v>
      </c>
      <c r="J70" s="580" t="s">
        <v>275</v>
      </c>
      <c r="K70" s="4" t="str">
        <f t="shared" si="9"/>
        <v>I</v>
      </c>
      <c r="L70" s="7" t="str">
        <f t="shared" si="10"/>
        <v>G8</v>
      </c>
      <c r="M70" s="7" t="str">
        <f t="shared" si="11"/>
        <v/>
      </c>
      <c r="N70" s="62" t="str">
        <f t="shared" si="12"/>
        <v/>
      </c>
      <c r="O70" s="8">
        <f t="shared" si="13"/>
        <v>45720</v>
      </c>
      <c r="P70" s="9" t="str">
        <f t="shared" ca="1" si="14"/>
        <v>ATRASADO</v>
      </c>
      <c r="Q70" s="12" t="s">
        <v>919</v>
      </c>
      <c r="R70" s="9"/>
      <c r="S70" s="9" t="str">
        <f t="shared" ref="S70:S133" si="15">IF(OR(K70="T1",L70="T1",M70="T1",N70="T1",),"LESION SOSPECHOSA A UPC",IF(OR(K70="T2",L70="T2",M70="T2",N70="T2",),"DERIVAR A UPC POR SEGUNDO ATIPICO",IF(OR(K70="J2",L70="J2",M70="J2",N70="J2",),"TRICOMONAS",IF(OR(K70="J3",L70="J3",M70="J3",N70="J3",),"HERPES SIMPLEX",IF(OR(K70="J5",L70="J5",M70="J5",N70="J5",),"CANDIDA",IF(OR(K70="J6",L70="J6",M70="J6",N70="J6",),"ACTINOMYCES",IF(OR(K70="A1",L70="A1",M70="A1",N70="A1",),"VPH",IF(OR(K70="ASC-H",L70="ASC-H",M70="ASC-H",K70="H2",K70="H3",K70="H4",N70="ASC-H",K70="AGUS",L70="AGUS",L70="H2",L70="H3",L70="H4",M70="AGUS",M70="H2",M70="H3",M70="H4",N70="AGUS",N70="H2",N70="H3",N70="H4"),"MANDAR A UPC / COLPOSCOPIA",IF(OR(K70="A",K70="B",K70="C",K70="D",K70="D0",K70="D1",K70="D2",K70="D3",K70="E",K70="E1",K70="E2",K70="K",K70="T",L70="A",L70="B",L70="C",L70="D",L70="D0",L70="D1",L70="D2",L70="D3",L70="E",L70="E1",L70="E2",L70="K",L70="T",M70="A",M70="B",M70="C",M70="D",M70="D0",M70="D1",M70="D2",M70="D3",M70="E",M70="E1",M70="E2",M70="K",M70="T",N70="A",N70="B",N70="C",N70="D",N70="D0",N70="D1",K70="D2",N70="D2",N70="D3",N70="E",N70="E1",N70="E2",N70="K",N70="T",),"CITAR A UPC","")))))))))</f>
        <v/>
      </c>
    </row>
    <row r="71" spans="1:19" x14ac:dyDescent="0.3">
      <c r="A71" s="9">
        <v>67</v>
      </c>
      <c r="B71" s="73" t="s">
        <v>56</v>
      </c>
      <c r="C71" s="75" t="s">
        <v>1054</v>
      </c>
      <c r="D71" s="14" t="s">
        <v>1055</v>
      </c>
      <c r="E71" s="67">
        <v>30013</v>
      </c>
      <c r="F71" s="9">
        <f t="shared" ca="1" si="8"/>
        <v>44</v>
      </c>
      <c r="G71" s="28" t="s">
        <v>8</v>
      </c>
      <c r="H71" s="28" t="s">
        <v>275</v>
      </c>
      <c r="I71" s="59">
        <v>44640</v>
      </c>
      <c r="J71" s="580" t="s">
        <v>8</v>
      </c>
      <c r="K71" s="4" t="str">
        <f t="shared" si="9"/>
        <v>SI</v>
      </c>
      <c r="L71" s="7" t="str">
        <f t="shared" si="10"/>
        <v xml:space="preserve">N </v>
      </c>
      <c r="M71" s="7" t="str">
        <f t="shared" si="11"/>
        <v>RE</v>
      </c>
      <c r="N71" s="62" t="str">
        <f t="shared" si="12"/>
        <v>GI</v>
      </c>
      <c r="O71" s="8">
        <f t="shared" si="13"/>
        <v>45736</v>
      </c>
      <c r="P71" s="9" t="str">
        <f t="shared" ca="1" si="14"/>
        <v>ATRASADO</v>
      </c>
      <c r="Q71" s="12" t="s">
        <v>919</v>
      </c>
      <c r="R71" s="9"/>
      <c r="S71" s="9" t="str">
        <f t="shared" si="15"/>
        <v/>
      </c>
    </row>
    <row r="72" spans="1:19" x14ac:dyDescent="0.3">
      <c r="A72" s="9">
        <v>68</v>
      </c>
      <c r="B72" s="73" t="s">
        <v>56</v>
      </c>
      <c r="C72" s="75" t="s">
        <v>1056</v>
      </c>
      <c r="D72" s="14" t="s">
        <v>1057</v>
      </c>
      <c r="E72" s="67">
        <v>25538</v>
      </c>
      <c r="F72" s="9">
        <f t="shared" ca="1" si="8"/>
        <v>56</v>
      </c>
      <c r="G72" s="27">
        <v>43136</v>
      </c>
      <c r="H72" s="28" t="s">
        <v>275</v>
      </c>
      <c r="I72" s="59">
        <v>44635</v>
      </c>
      <c r="J72" s="580" t="s">
        <v>271</v>
      </c>
      <c r="K72" s="4" t="str">
        <f t="shared" si="9"/>
        <v>I</v>
      </c>
      <c r="L72" s="7" t="str">
        <f t="shared" si="10"/>
        <v>G8</v>
      </c>
      <c r="M72" s="7" t="str">
        <f t="shared" si="11"/>
        <v>J1</v>
      </c>
      <c r="N72" s="62" t="str">
        <f t="shared" si="12"/>
        <v/>
      </c>
      <c r="O72" s="8">
        <f t="shared" si="13"/>
        <v>45731</v>
      </c>
      <c r="P72" s="9" t="str">
        <f t="shared" ca="1" si="14"/>
        <v>ATRASADO</v>
      </c>
      <c r="Q72" s="12" t="s">
        <v>919</v>
      </c>
      <c r="R72" s="9"/>
      <c r="S72" s="9" t="str">
        <f t="shared" si="15"/>
        <v/>
      </c>
    </row>
    <row r="73" spans="1:19" x14ac:dyDescent="0.3">
      <c r="A73" s="9">
        <v>69</v>
      </c>
      <c r="B73" s="73" t="s">
        <v>56</v>
      </c>
      <c r="C73" s="75" t="s">
        <v>1058</v>
      </c>
      <c r="D73" s="14" t="s">
        <v>1059</v>
      </c>
      <c r="E73" s="67">
        <v>31983</v>
      </c>
      <c r="F73" s="9">
        <f t="shared" ca="1" si="8"/>
        <v>39</v>
      </c>
      <c r="G73" s="27">
        <v>43074</v>
      </c>
      <c r="H73" s="28" t="s">
        <v>340</v>
      </c>
      <c r="I73" s="59">
        <v>44640</v>
      </c>
      <c r="J73" s="580" t="s">
        <v>8</v>
      </c>
      <c r="K73" s="4" t="str">
        <f t="shared" si="9"/>
        <v>SI</v>
      </c>
      <c r="L73" s="7" t="str">
        <f t="shared" si="10"/>
        <v xml:space="preserve">N </v>
      </c>
      <c r="M73" s="7" t="str">
        <f t="shared" si="11"/>
        <v>RE</v>
      </c>
      <c r="N73" s="62" t="str">
        <f t="shared" si="12"/>
        <v>GI</v>
      </c>
      <c r="O73" s="8">
        <f t="shared" si="13"/>
        <v>45736</v>
      </c>
      <c r="P73" s="9" t="str">
        <f t="shared" ca="1" si="14"/>
        <v>ATRASADO</v>
      </c>
      <c r="Q73" s="12" t="s">
        <v>919</v>
      </c>
      <c r="R73" s="9"/>
      <c r="S73" s="9" t="str">
        <f t="shared" si="15"/>
        <v/>
      </c>
    </row>
    <row r="74" spans="1:19" x14ac:dyDescent="0.3">
      <c r="A74" s="9">
        <v>70</v>
      </c>
      <c r="B74" s="73" t="s">
        <v>45</v>
      </c>
      <c r="C74" s="75" t="s">
        <v>1061</v>
      </c>
      <c r="D74" s="14" t="s">
        <v>1062</v>
      </c>
      <c r="E74" s="67">
        <v>35829</v>
      </c>
      <c r="F74" s="9">
        <f t="shared" ca="1" si="8"/>
        <v>28</v>
      </c>
      <c r="G74" s="27">
        <v>43458</v>
      </c>
      <c r="H74" s="28" t="s">
        <v>271</v>
      </c>
      <c r="I74" s="59">
        <v>44643</v>
      </c>
      <c r="J74" s="580" t="s">
        <v>8</v>
      </c>
      <c r="K74" s="4" t="str">
        <f t="shared" si="9"/>
        <v>SI</v>
      </c>
      <c r="L74" s="7" t="str">
        <f t="shared" si="10"/>
        <v xml:space="preserve">N </v>
      </c>
      <c r="M74" s="7" t="str">
        <f t="shared" si="11"/>
        <v>RE</v>
      </c>
      <c r="N74" s="62" t="str">
        <f t="shared" si="12"/>
        <v>GI</v>
      </c>
      <c r="O74" s="8">
        <f t="shared" si="13"/>
        <v>45739</v>
      </c>
      <c r="P74" s="9" t="str">
        <f t="shared" ca="1" si="14"/>
        <v>ATRASADO</v>
      </c>
      <c r="Q74" s="12" t="s">
        <v>919</v>
      </c>
      <c r="R74" s="9"/>
      <c r="S74" s="9" t="str">
        <f t="shared" si="15"/>
        <v/>
      </c>
    </row>
    <row r="75" spans="1:19" x14ac:dyDescent="0.3">
      <c r="A75" s="9">
        <v>71</v>
      </c>
      <c r="B75" s="73" t="s">
        <v>270</v>
      </c>
      <c r="C75" s="75" t="s">
        <v>1063</v>
      </c>
      <c r="D75" s="14" t="s">
        <v>1064</v>
      </c>
      <c r="E75" s="67">
        <v>27139</v>
      </c>
      <c r="F75" s="9">
        <f t="shared" ca="1" si="8"/>
        <v>52</v>
      </c>
      <c r="G75" s="27">
        <v>43480</v>
      </c>
      <c r="H75" s="28" t="s">
        <v>275</v>
      </c>
      <c r="I75" s="59">
        <v>44628</v>
      </c>
      <c r="J75" s="580" t="s">
        <v>271</v>
      </c>
      <c r="K75" s="4" t="str">
        <f t="shared" si="9"/>
        <v>I</v>
      </c>
      <c r="L75" s="7" t="str">
        <f t="shared" si="10"/>
        <v>G8</v>
      </c>
      <c r="M75" s="7" t="str">
        <f t="shared" si="11"/>
        <v>J1</v>
      </c>
      <c r="N75" s="62" t="str">
        <f t="shared" si="12"/>
        <v/>
      </c>
      <c r="O75" s="8">
        <f t="shared" si="13"/>
        <v>45724</v>
      </c>
      <c r="P75" s="9" t="str">
        <f t="shared" ca="1" si="14"/>
        <v>ATRASADO</v>
      </c>
      <c r="Q75" s="12" t="s">
        <v>919</v>
      </c>
      <c r="R75" s="9"/>
      <c r="S75" s="9" t="str">
        <f t="shared" si="15"/>
        <v/>
      </c>
    </row>
    <row r="76" spans="1:19" x14ac:dyDescent="0.3">
      <c r="A76" s="9">
        <v>72</v>
      </c>
      <c r="B76" s="73" t="s">
        <v>45</v>
      </c>
      <c r="C76" s="75" t="s">
        <v>1065</v>
      </c>
      <c r="D76" s="14" t="s">
        <v>1066</v>
      </c>
      <c r="E76" s="67">
        <v>20602</v>
      </c>
      <c r="F76" s="9">
        <f t="shared" ca="1" si="8"/>
        <v>70</v>
      </c>
      <c r="G76" s="28" t="s">
        <v>8</v>
      </c>
      <c r="H76" s="28" t="s">
        <v>275</v>
      </c>
      <c r="I76" s="59">
        <v>44639</v>
      </c>
      <c r="J76" s="580" t="s">
        <v>8</v>
      </c>
      <c r="K76" s="4" t="str">
        <f t="shared" si="9"/>
        <v>SI</v>
      </c>
      <c r="L76" s="7" t="str">
        <f t="shared" si="10"/>
        <v xml:space="preserve">N </v>
      </c>
      <c r="M76" s="7" t="str">
        <f t="shared" si="11"/>
        <v>RE</v>
      </c>
      <c r="N76" s="62" t="str">
        <f t="shared" si="12"/>
        <v>GI</v>
      </c>
      <c r="O76" s="8">
        <f t="shared" si="13"/>
        <v>45735</v>
      </c>
      <c r="P76" s="9" t="str">
        <f t="shared" ca="1" si="14"/>
        <v>ATRASADO</v>
      </c>
      <c r="Q76" s="12" t="s">
        <v>919</v>
      </c>
      <c r="R76" s="9"/>
      <c r="S76" s="9" t="str">
        <f t="shared" si="15"/>
        <v/>
      </c>
    </row>
    <row r="77" spans="1:19" x14ac:dyDescent="0.3">
      <c r="A77" s="9">
        <v>73</v>
      </c>
      <c r="B77" s="73" t="s">
        <v>56</v>
      </c>
      <c r="C77" s="75" t="s">
        <v>1067</v>
      </c>
      <c r="D77" s="14" t="s">
        <v>1068</v>
      </c>
      <c r="E77" s="67">
        <v>24731</v>
      </c>
      <c r="F77" s="9">
        <f t="shared" ca="1" si="8"/>
        <v>59</v>
      </c>
      <c r="G77" s="28" t="s">
        <v>8</v>
      </c>
      <c r="H77" s="28" t="s">
        <v>275</v>
      </c>
      <c r="I77" s="59">
        <v>44649</v>
      </c>
      <c r="J77" s="580" t="s">
        <v>271</v>
      </c>
      <c r="K77" s="4" t="str">
        <f t="shared" si="9"/>
        <v>I</v>
      </c>
      <c r="L77" s="7" t="str">
        <f t="shared" si="10"/>
        <v>G8</v>
      </c>
      <c r="M77" s="7" t="str">
        <f t="shared" si="11"/>
        <v>J1</v>
      </c>
      <c r="N77" s="62" t="str">
        <f t="shared" si="12"/>
        <v/>
      </c>
      <c r="O77" s="8">
        <f t="shared" si="13"/>
        <v>45745</v>
      </c>
      <c r="P77" s="9" t="str">
        <f t="shared" ca="1" si="14"/>
        <v>ATRASADO</v>
      </c>
      <c r="Q77" s="12" t="s">
        <v>919</v>
      </c>
      <c r="R77" s="9"/>
      <c r="S77" s="9" t="str">
        <f t="shared" si="15"/>
        <v/>
      </c>
    </row>
    <row r="78" spans="1:19" x14ac:dyDescent="0.3">
      <c r="A78" s="9">
        <v>74</v>
      </c>
      <c r="B78" s="73" t="s">
        <v>78</v>
      </c>
      <c r="C78" s="75" t="s">
        <v>1069</v>
      </c>
      <c r="D78" s="14" t="s">
        <v>1070</v>
      </c>
      <c r="E78" s="67">
        <v>34784</v>
      </c>
      <c r="F78" s="9">
        <f t="shared" ca="1" si="8"/>
        <v>31</v>
      </c>
      <c r="G78" s="27">
        <v>43657</v>
      </c>
      <c r="H78" s="28" t="s">
        <v>271</v>
      </c>
      <c r="I78" s="59">
        <v>44637</v>
      </c>
      <c r="J78" s="580" t="s">
        <v>271</v>
      </c>
      <c r="K78" s="4" t="str">
        <f t="shared" si="9"/>
        <v>I</v>
      </c>
      <c r="L78" s="7" t="str">
        <f t="shared" si="10"/>
        <v>G8</v>
      </c>
      <c r="M78" s="7" t="str">
        <f t="shared" si="11"/>
        <v>J1</v>
      </c>
      <c r="N78" s="62" t="str">
        <f t="shared" si="12"/>
        <v/>
      </c>
      <c r="O78" s="8">
        <f t="shared" si="13"/>
        <v>45733</v>
      </c>
      <c r="P78" s="9" t="str">
        <f t="shared" ca="1" si="14"/>
        <v>ATRASADO</v>
      </c>
      <c r="Q78" s="12" t="s">
        <v>919</v>
      </c>
      <c r="R78" s="9"/>
      <c r="S78" s="9" t="str">
        <f t="shared" si="15"/>
        <v/>
      </c>
    </row>
    <row r="79" spans="1:19" x14ac:dyDescent="0.3">
      <c r="A79" s="9">
        <v>75</v>
      </c>
      <c r="B79" s="73" t="s">
        <v>78</v>
      </c>
      <c r="C79" s="75" t="s">
        <v>1071</v>
      </c>
      <c r="D79" s="14" t="s">
        <v>1072</v>
      </c>
      <c r="E79" s="67">
        <v>30738</v>
      </c>
      <c r="F79" s="9">
        <f t="shared" ca="1" si="8"/>
        <v>42</v>
      </c>
      <c r="G79" s="27">
        <v>43616</v>
      </c>
      <c r="H79" s="28" t="s">
        <v>594</v>
      </c>
      <c r="I79" s="59">
        <v>44630</v>
      </c>
      <c r="J79" s="580" t="s">
        <v>275</v>
      </c>
      <c r="K79" s="4" t="str">
        <f t="shared" si="9"/>
        <v>I</v>
      </c>
      <c r="L79" s="7" t="str">
        <f t="shared" si="10"/>
        <v>G8</v>
      </c>
      <c r="M79" s="7" t="str">
        <f t="shared" si="11"/>
        <v/>
      </c>
      <c r="N79" s="62" t="str">
        <f t="shared" si="12"/>
        <v/>
      </c>
      <c r="O79" s="8">
        <f t="shared" si="13"/>
        <v>45726</v>
      </c>
      <c r="P79" s="9" t="str">
        <f t="shared" ca="1" si="14"/>
        <v>ATRASADO</v>
      </c>
      <c r="Q79" s="12" t="s">
        <v>919</v>
      </c>
      <c r="R79" s="9"/>
      <c r="S79" s="9" t="str">
        <f t="shared" si="15"/>
        <v/>
      </c>
    </row>
    <row r="80" spans="1:19" x14ac:dyDescent="0.3">
      <c r="A80" s="9">
        <v>76</v>
      </c>
      <c r="B80" s="73" t="s">
        <v>56</v>
      </c>
      <c r="C80" s="75" t="s">
        <v>1073</v>
      </c>
      <c r="D80" s="16" t="s">
        <v>1074</v>
      </c>
      <c r="E80" s="67">
        <v>34670</v>
      </c>
      <c r="F80" s="9">
        <f t="shared" ca="1" si="8"/>
        <v>31</v>
      </c>
      <c r="G80" s="28" t="s">
        <v>8</v>
      </c>
      <c r="H80" s="28" t="s">
        <v>275</v>
      </c>
      <c r="I80" s="59">
        <v>44623</v>
      </c>
      <c r="J80" s="580" t="s">
        <v>8</v>
      </c>
      <c r="K80" s="4" t="str">
        <f t="shared" si="9"/>
        <v>SI</v>
      </c>
      <c r="L80" s="7" t="str">
        <f t="shared" si="10"/>
        <v xml:space="preserve">N </v>
      </c>
      <c r="M80" s="7" t="str">
        <f t="shared" si="11"/>
        <v>RE</v>
      </c>
      <c r="N80" s="62" t="str">
        <f t="shared" si="12"/>
        <v>GI</v>
      </c>
      <c r="O80" s="8">
        <f t="shared" si="13"/>
        <v>45719</v>
      </c>
      <c r="P80" s="9" t="str">
        <f t="shared" ca="1" si="14"/>
        <v>ATRASADO</v>
      </c>
      <c r="Q80" s="12" t="s">
        <v>919</v>
      </c>
      <c r="R80" s="9"/>
      <c r="S80" s="9" t="str">
        <f t="shared" si="15"/>
        <v/>
      </c>
    </row>
    <row r="81" spans="1:19" x14ac:dyDescent="0.3">
      <c r="A81" s="9">
        <v>77</v>
      </c>
      <c r="B81" s="73" t="s">
        <v>270</v>
      </c>
      <c r="C81" s="75" t="s">
        <v>1075</v>
      </c>
      <c r="D81" s="14" t="s">
        <v>1076</v>
      </c>
      <c r="E81" s="67">
        <v>25136</v>
      </c>
      <c r="F81" s="9">
        <f t="shared" ca="1" si="8"/>
        <v>57</v>
      </c>
      <c r="G81" s="28" t="s">
        <v>8</v>
      </c>
      <c r="H81" s="28" t="s">
        <v>340</v>
      </c>
      <c r="I81" s="59">
        <v>44641</v>
      </c>
      <c r="J81" s="580" t="s">
        <v>275</v>
      </c>
      <c r="K81" s="4" t="str">
        <f t="shared" si="9"/>
        <v>I</v>
      </c>
      <c r="L81" s="7" t="str">
        <f t="shared" si="10"/>
        <v>G8</v>
      </c>
      <c r="M81" s="7" t="str">
        <f t="shared" si="11"/>
        <v/>
      </c>
      <c r="N81" s="62" t="str">
        <f t="shared" si="12"/>
        <v/>
      </c>
      <c r="O81" s="8">
        <f t="shared" si="13"/>
        <v>45737</v>
      </c>
      <c r="P81" s="9" t="str">
        <f t="shared" ca="1" si="14"/>
        <v>ATRASADO</v>
      </c>
      <c r="Q81" s="12" t="s">
        <v>919</v>
      </c>
      <c r="R81" s="9"/>
      <c r="S81" s="9" t="str">
        <f t="shared" si="15"/>
        <v/>
      </c>
    </row>
    <row r="82" spans="1:19" x14ac:dyDescent="0.3">
      <c r="A82" s="9">
        <v>78</v>
      </c>
      <c r="B82" s="73" t="s">
        <v>78</v>
      </c>
      <c r="C82" s="75" t="s">
        <v>1077</v>
      </c>
      <c r="D82" s="14" t="s">
        <v>1078</v>
      </c>
      <c r="E82" s="67">
        <v>28421</v>
      </c>
      <c r="F82" s="9">
        <f t="shared" ca="1" si="8"/>
        <v>48</v>
      </c>
      <c r="G82" s="27">
        <v>42935</v>
      </c>
      <c r="H82" s="28" t="s">
        <v>271</v>
      </c>
      <c r="I82" s="59">
        <v>44630</v>
      </c>
      <c r="J82" s="580" t="s">
        <v>271</v>
      </c>
      <c r="K82" s="4" t="str">
        <f t="shared" si="9"/>
        <v>I</v>
      </c>
      <c r="L82" s="7" t="str">
        <f t="shared" si="10"/>
        <v>G8</v>
      </c>
      <c r="M82" s="7" t="str">
        <f t="shared" si="11"/>
        <v>J1</v>
      </c>
      <c r="N82" s="62" t="str">
        <f t="shared" si="12"/>
        <v/>
      </c>
      <c r="O82" s="8">
        <f t="shared" si="13"/>
        <v>45726</v>
      </c>
      <c r="P82" s="9" t="str">
        <f t="shared" ca="1" si="14"/>
        <v>ATRASADO</v>
      </c>
      <c r="Q82" s="12" t="s">
        <v>919</v>
      </c>
      <c r="R82" s="9"/>
      <c r="S82" s="9" t="str">
        <f t="shared" si="15"/>
        <v/>
      </c>
    </row>
    <row r="83" spans="1:19" x14ac:dyDescent="0.3">
      <c r="A83" s="9">
        <v>79</v>
      </c>
      <c r="B83" s="73" t="s">
        <v>56</v>
      </c>
      <c r="C83" s="75" t="s">
        <v>1079</v>
      </c>
      <c r="D83" s="14" t="s">
        <v>1080</v>
      </c>
      <c r="E83" s="67">
        <v>23885</v>
      </c>
      <c r="F83" s="9">
        <f t="shared" ca="1" si="8"/>
        <v>61</v>
      </c>
      <c r="G83" s="28" t="s">
        <v>8</v>
      </c>
      <c r="H83" s="28" t="s">
        <v>271</v>
      </c>
      <c r="I83" s="59">
        <v>44632</v>
      </c>
      <c r="J83" s="580" t="s">
        <v>271</v>
      </c>
      <c r="K83" s="4" t="str">
        <f t="shared" si="9"/>
        <v>I</v>
      </c>
      <c r="L83" s="7" t="str">
        <f t="shared" si="10"/>
        <v>G8</v>
      </c>
      <c r="M83" s="7" t="str">
        <f t="shared" si="11"/>
        <v>J1</v>
      </c>
      <c r="N83" s="62" t="str">
        <f t="shared" si="12"/>
        <v/>
      </c>
      <c r="O83" s="8">
        <f t="shared" si="13"/>
        <v>45728</v>
      </c>
      <c r="P83" s="9" t="str">
        <f t="shared" ca="1" si="14"/>
        <v>ATRASADO</v>
      </c>
      <c r="Q83" s="12" t="s">
        <v>919</v>
      </c>
      <c r="R83" s="9"/>
      <c r="S83" s="9" t="str">
        <f t="shared" si="15"/>
        <v/>
      </c>
    </row>
    <row r="84" spans="1:19" x14ac:dyDescent="0.3">
      <c r="A84" s="9">
        <v>80</v>
      </c>
      <c r="B84" s="73" t="s">
        <v>579</v>
      </c>
      <c r="C84" s="75" t="s">
        <v>1081</v>
      </c>
      <c r="D84" s="14" t="s">
        <v>1082</v>
      </c>
      <c r="E84" s="67">
        <v>22753</v>
      </c>
      <c r="F84" s="9">
        <f t="shared" ca="1" si="8"/>
        <v>64</v>
      </c>
      <c r="G84" s="27">
        <v>44150</v>
      </c>
      <c r="H84" s="28" t="s">
        <v>271</v>
      </c>
      <c r="I84" s="59">
        <v>44632</v>
      </c>
      <c r="J84" s="580" t="s">
        <v>271</v>
      </c>
      <c r="K84" s="4" t="str">
        <f t="shared" si="9"/>
        <v>I</v>
      </c>
      <c r="L84" s="7" t="str">
        <f t="shared" si="10"/>
        <v>G8</v>
      </c>
      <c r="M84" s="7" t="str">
        <f t="shared" si="11"/>
        <v>J1</v>
      </c>
      <c r="N84" s="62" t="str">
        <f t="shared" si="12"/>
        <v/>
      </c>
      <c r="O84" s="8">
        <f t="shared" si="13"/>
        <v>45728</v>
      </c>
      <c r="P84" s="9" t="str">
        <f t="shared" ca="1" si="14"/>
        <v>ATRASADO</v>
      </c>
      <c r="Q84" s="12" t="s">
        <v>919</v>
      </c>
      <c r="R84" s="9"/>
      <c r="S84" s="9" t="str">
        <f t="shared" si="15"/>
        <v/>
      </c>
    </row>
    <row r="85" spans="1:19" x14ac:dyDescent="0.3">
      <c r="A85" s="9">
        <v>81</v>
      </c>
      <c r="B85" s="73" t="s">
        <v>75</v>
      </c>
      <c r="C85" s="75" t="s">
        <v>1083</v>
      </c>
      <c r="D85" s="14" t="s">
        <v>1084</v>
      </c>
      <c r="E85" s="67">
        <v>31085</v>
      </c>
      <c r="F85" s="9">
        <f t="shared" ca="1" si="8"/>
        <v>41</v>
      </c>
      <c r="G85" s="27">
        <v>44007</v>
      </c>
      <c r="H85" s="28" t="s">
        <v>271</v>
      </c>
      <c r="I85" s="59">
        <v>44642</v>
      </c>
      <c r="J85" s="580" t="s">
        <v>271</v>
      </c>
      <c r="K85" s="4" t="str">
        <f t="shared" si="9"/>
        <v>I</v>
      </c>
      <c r="L85" s="7" t="str">
        <f t="shared" si="10"/>
        <v>G8</v>
      </c>
      <c r="M85" s="7" t="str">
        <f t="shared" si="11"/>
        <v>J1</v>
      </c>
      <c r="N85" s="62" t="str">
        <f t="shared" si="12"/>
        <v/>
      </c>
      <c r="O85" s="8">
        <f t="shared" si="13"/>
        <v>45738</v>
      </c>
      <c r="P85" s="9" t="str">
        <f t="shared" ca="1" si="14"/>
        <v>ATRASADO</v>
      </c>
      <c r="Q85" s="12" t="s">
        <v>919</v>
      </c>
      <c r="R85" s="9"/>
      <c r="S85" s="9" t="str">
        <f t="shared" si="15"/>
        <v/>
      </c>
    </row>
    <row r="86" spans="1:19" x14ac:dyDescent="0.3">
      <c r="A86" s="9">
        <v>82</v>
      </c>
      <c r="B86" s="73" t="s">
        <v>75</v>
      </c>
      <c r="C86" s="75" t="s">
        <v>1085</v>
      </c>
      <c r="D86" s="14" t="s">
        <v>1086</v>
      </c>
      <c r="E86" s="67">
        <v>27521</v>
      </c>
      <c r="F86" s="9">
        <f t="shared" ca="1" si="8"/>
        <v>51</v>
      </c>
      <c r="G86" s="27">
        <v>43807</v>
      </c>
      <c r="H86" s="28" t="s">
        <v>8</v>
      </c>
      <c r="I86" s="59">
        <v>44638</v>
      </c>
      <c r="J86" s="580" t="s">
        <v>271</v>
      </c>
      <c r="K86" s="4" t="str">
        <f t="shared" si="9"/>
        <v>I</v>
      </c>
      <c r="L86" s="7" t="str">
        <f t="shared" si="10"/>
        <v>G8</v>
      </c>
      <c r="M86" s="7" t="str">
        <f t="shared" si="11"/>
        <v>J1</v>
      </c>
      <c r="N86" s="62" t="str">
        <f t="shared" si="12"/>
        <v/>
      </c>
      <c r="O86" s="8">
        <f t="shared" si="13"/>
        <v>45734</v>
      </c>
      <c r="P86" s="9" t="str">
        <f t="shared" ca="1" si="14"/>
        <v>ATRASADO</v>
      </c>
      <c r="Q86" s="12" t="s">
        <v>919</v>
      </c>
      <c r="R86" s="9"/>
      <c r="S86" s="9" t="str">
        <f t="shared" si="15"/>
        <v/>
      </c>
    </row>
    <row r="87" spans="1:19" x14ac:dyDescent="0.3">
      <c r="A87" s="9">
        <v>83</v>
      </c>
      <c r="B87" s="73" t="s">
        <v>75</v>
      </c>
      <c r="C87" s="75" t="s">
        <v>1087</v>
      </c>
      <c r="D87" s="14" t="s">
        <v>1088</v>
      </c>
      <c r="E87" s="67">
        <v>27358</v>
      </c>
      <c r="F87" s="9">
        <f t="shared" ca="1" si="8"/>
        <v>51</v>
      </c>
      <c r="G87" s="27">
        <v>42930</v>
      </c>
      <c r="H87" s="28" t="s">
        <v>275</v>
      </c>
      <c r="I87" s="59">
        <v>44651</v>
      </c>
      <c r="J87" s="580" t="s">
        <v>291</v>
      </c>
      <c r="K87" s="4" t="str">
        <f t="shared" si="9"/>
        <v>I</v>
      </c>
      <c r="L87" s="7" t="str">
        <f t="shared" si="10"/>
        <v>G8</v>
      </c>
      <c r="M87" s="7" t="str">
        <f t="shared" si="11"/>
        <v>J5</v>
      </c>
      <c r="N87" s="62" t="str">
        <f t="shared" si="12"/>
        <v/>
      </c>
      <c r="O87" s="8">
        <f t="shared" si="13"/>
        <v>45747</v>
      </c>
      <c r="P87" s="9" t="str">
        <f t="shared" ca="1" si="14"/>
        <v>ATRASADO</v>
      </c>
      <c r="Q87" s="12" t="s">
        <v>919</v>
      </c>
      <c r="R87" s="9"/>
      <c r="S87" s="9" t="str">
        <f t="shared" si="15"/>
        <v>CANDIDA</v>
      </c>
    </row>
    <row r="88" spans="1:19" x14ac:dyDescent="0.3">
      <c r="A88" s="9">
        <v>84</v>
      </c>
      <c r="B88" s="73" t="s">
        <v>75</v>
      </c>
      <c r="C88" s="75" t="s">
        <v>1089</v>
      </c>
      <c r="D88" s="14" t="s">
        <v>1090</v>
      </c>
      <c r="E88" s="67">
        <v>35096</v>
      </c>
      <c r="F88" s="9">
        <f t="shared" ca="1" si="8"/>
        <v>30</v>
      </c>
      <c r="G88" s="28" t="s">
        <v>8</v>
      </c>
      <c r="H88" s="28" t="s">
        <v>271</v>
      </c>
      <c r="I88" s="59">
        <v>44630</v>
      </c>
      <c r="J88" s="580" t="s">
        <v>271</v>
      </c>
      <c r="K88" s="4" t="str">
        <f t="shared" si="9"/>
        <v>I</v>
      </c>
      <c r="L88" s="7" t="str">
        <f t="shared" si="10"/>
        <v>G8</v>
      </c>
      <c r="M88" s="7" t="str">
        <f t="shared" si="11"/>
        <v>J1</v>
      </c>
      <c r="N88" s="62" t="str">
        <f t="shared" si="12"/>
        <v/>
      </c>
      <c r="O88" s="8">
        <f t="shared" si="13"/>
        <v>45726</v>
      </c>
      <c r="P88" s="9" t="str">
        <f t="shared" ca="1" si="14"/>
        <v>ATRASADO</v>
      </c>
      <c r="Q88" s="12" t="s">
        <v>919</v>
      </c>
      <c r="R88" s="9"/>
      <c r="S88" s="9" t="str">
        <f t="shared" si="15"/>
        <v/>
      </c>
    </row>
    <row r="89" spans="1:19" x14ac:dyDescent="0.3">
      <c r="A89" s="9">
        <v>85</v>
      </c>
      <c r="B89" s="73" t="s">
        <v>75</v>
      </c>
      <c r="C89" s="75" t="s">
        <v>1091</v>
      </c>
      <c r="D89" s="14" t="s">
        <v>1092</v>
      </c>
      <c r="E89" s="67">
        <v>26059</v>
      </c>
      <c r="F89" s="9">
        <f t="shared" ca="1" si="8"/>
        <v>55</v>
      </c>
      <c r="G89" s="27">
        <v>44075</v>
      </c>
      <c r="H89" s="28" t="s">
        <v>275</v>
      </c>
      <c r="I89" s="59">
        <v>44641</v>
      </c>
      <c r="J89" s="580" t="s">
        <v>271</v>
      </c>
      <c r="K89" s="4" t="str">
        <f t="shared" si="9"/>
        <v>I</v>
      </c>
      <c r="L89" s="7" t="str">
        <f t="shared" si="10"/>
        <v>G8</v>
      </c>
      <c r="M89" s="7" t="str">
        <f t="shared" si="11"/>
        <v>J1</v>
      </c>
      <c r="N89" s="62" t="str">
        <f t="shared" si="12"/>
        <v/>
      </c>
      <c r="O89" s="8">
        <f t="shared" si="13"/>
        <v>45737</v>
      </c>
      <c r="P89" s="9" t="str">
        <f t="shared" ca="1" si="14"/>
        <v>ATRASADO</v>
      </c>
      <c r="Q89" s="12" t="s">
        <v>919</v>
      </c>
      <c r="R89" s="9"/>
      <c r="S89" s="9" t="str">
        <f t="shared" si="15"/>
        <v/>
      </c>
    </row>
    <row r="90" spans="1:19" x14ac:dyDescent="0.3">
      <c r="A90" s="9">
        <v>86</v>
      </c>
      <c r="B90" s="73" t="s">
        <v>75</v>
      </c>
      <c r="C90" s="75" t="s">
        <v>1093</v>
      </c>
      <c r="D90" s="14" t="s">
        <v>1094</v>
      </c>
      <c r="E90" s="67">
        <v>25470</v>
      </c>
      <c r="F90" s="9">
        <f t="shared" ca="1" si="8"/>
        <v>57</v>
      </c>
      <c r="G90" s="27">
        <v>43019</v>
      </c>
      <c r="H90" s="28" t="s">
        <v>275</v>
      </c>
      <c r="I90" s="59">
        <v>44640</v>
      </c>
      <c r="J90" s="580" t="s">
        <v>275</v>
      </c>
      <c r="K90" s="4" t="str">
        <f t="shared" si="9"/>
        <v>I</v>
      </c>
      <c r="L90" s="7" t="str">
        <f t="shared" si="10"/>
        <v>G8</v>
      </c>
      <c r="M90" s="7" t="str">
        <f t="shared" si="11"/>
        <v/>
      </c>
      <c r="N90" s="62" t="str">
        <f t="shared" si="12"/>
        <v/>
      </c>
      <c r="O90" s="8">
        <f t="shared" si="13"/>
        <v>45736</v>
      </c>
      <c r="P90" s="9" t="str">
        <f t="shared" ca="1" si="14"/>
        <v>ATRASADO</v>
      </c>
      <c r="Q90" s="12" t="s">
        <v>919</v>
      </c>
      <c r="R90" s="9"/>
      <c r="S90" s="9" t="str">
        <f t="shared" si="15"/>
        <v/>
      </c>
    </row>
    <row r="91" spans="1:19" x14ac:dyDescent="0.3">
      <c r="A91" s="9">
        <v>87</v>
      </c>
      <c r="B91" s="73" t="s">
        <v>75</v>
      </c>
      <c r="C91" s="75" t="s">
        <v>1095</v>
      </c>
      <c r="D91" s="14" t="s">
        <v>1096</v>
      </c>
      <c r="E91" s="67">
        <v>34809</v>
      </c>
      <c r="F91" s="9">
        <f t="shared" ca="1" si="8"/>
        <v>31</v>
      </c>
      <c r="G91" s="27">
        <v>43779</v>
      </c>
      <c r="H91" s="28" t="s">
        <v>320</v>
      </c>
      <c r="I91" s="59">
        <v>44643</v>
      </c>
      <c r="J91" s="580" t="s">
        <v>8</v>
      </c>
      <c r="K91" s="4" t="str">
        <f t="shared" si="9"/>
        <v>SI</v>
      </c>
      <c r="L91" s="7" t="str">
        <f t="shared" si="10"/>
        <v xml:space="preserve">N </v>
      </c>
      <c r="M91" s="7" t="str">
        <f t="shared" si="11"/>
        <v>RE</v>
      </c>
      <c r="N91" s="62" t="str">
        <f t="shared" si="12"/>
        <v>GI</v>
      </c>
      <c r="O91" s="8">
        <f t="shared" si="13"/>
        <v>45739</v>
      </c>
      <c r="P91" s="9" t="str">
        <f t="shared" ca="1" si="14"/>
        <v>ATRASADO</v>
      </c>
      <c r="Q91" s="12" t="s">
        <v>919</v>
      </c>
      <c r="R91" s="9"/>
      <c r="S91" s="9" t="str">
        <f t="shared" si="15"/>
        <v/>
      </c>
    </row>
    <row r="92" spans="1:19" x14ac:dyDescent="0.3">
      <c r="A92" s="9">
        <v>88</v>
      </c>
      <c r="B92" s="73" t="s">
        <v>75</v>
      </c>
      <c r="C92" s="75" t="s">
        <v>1097</v>
      </c>
      <c r="D92" s="16" t="s">
        <v>1098</v>
      </c>
      <c r="E92" s="67">
        <v>23751</v>
      </c>
      <c r="F92" s="9">
        <f t="shared" ca="1" si="8"/>
        <v>61</v>
      </c>
      <c r="G92" s="27">
        <v>43063</v>
      </c>
      <c r="H92" s="28" t="s">
        <v>275</v>
      </c>
      <c r="I92" s="59">
        <v>44621</v>
      </c>
      <c r="J92" s="580" t="s">
        <v>8</v>
      </c>
      <c r="K92" s="4" t="str">
        <f t="shared" si="9"/>
        <v>SI</v>
      </c>
      <c r="L92" s="7" t="str">
        <f t="shared" si="10"/>
        <v xml:space="preserve">N </v>
      </c>
      <c r="M92" s="7" t="str">
        <f t="shared" si="11"/>
        <v>RE</v>
      </c>
      <c r="N92" s="62" t="str">
        <f t="shared" si="12"/>
        <v>GI</v>
      </c>
      <c r="O92" s="8">
        <f t="shared" si="13"/>
        <v>45717</v>
      </c>
      <c r="P92" s="9" t="str">
        <f t="shared" ca="1" si="14"/>
        <v>ATRASADO</v>
      </c>
      <c r="Q92" s="12" t="s">
        <v>919</v>
      </c>
      <c r="R92" s="9"/>
      <c r="S92" s="9" t="str">
        <f t="shared" si="15"/>
        <v/>
      </c>
    </row>
    <row r="93" spans="1:19" x14ac:dyDescent="0.3">
      <c r="A93" s="9">
        <v>89</v>
      </c>
      <c r="B93" s="73" t="s">
        <v>75</v>
      </c>
      <c r="C93" s="75" t="s">
        <v>1099</v>
      </c>
      <c r="D93" s="16" t="s">
        <v>1100</v>
      </c>
      <c r="E93" s="67">
        <v>25082</v>
      </c>
      <c r="F93" s="9">
        <f t="shared" ca="1" si="8"/>
        <v>58</v>
      </c>
      <c r="G93" s="27">
        <v>43159</v>
      </c>
      <c r="H93" s="28" t="s">
        <v>275</v>
      </c>
      <c r="I93" s="59">
        <v>44651</v>
      </c>
      <c r="J93" s="580" t="s">
        <v>275</v>
      </c>
      <c r="K93" s="4" t="str">
        <f t="shared" si="9"/>
        <v>I</v>
      </c>
      <c r="L93" s="7" t="str">
        <f t="shared" si="10"/>
        <v>G8</v>
      </c>
      <c r="M93" s="7" t="str">
        <f t="shared" si="11"/>
        <v/>
      </c>
      <c r="N93" s="62" t="str">
        <f t="shared" si="12"/>
        <v/>
      </c>
      <c r="O93" s="8">
        <f t="shared" si="13"/>
        <v>45747</v>
      </c>
      <c r="P93" s="9" t="str">
        <f t="shared" ca="1" si="14"/>
        <v>ATRASADO</v>
      </c>
      <c r="Q93" s="12" t="s">
        <v>919</v>
      </c>
      <c r="R93" s="9"/>
      <c r="S93" s="9" t="str">
        <f t="shared" si="15"/>
        <v/>
      </c>
    </row>
    <row r="94" spans="1:19" x14ac:dyDescent="0.3">
      <c r="A94" s="9">
        <v>90</v>
      </c>
      <c r="B94" s="73" t="s">
        <v>75</v>
      </c>
      <c r="C94" s="75" t="s">
        <v>1101</v>
      </c>
      <c r="D94" s="14" t="s">
        <v>1102</v>
      </c>
      <c r="E94" s="67">
        <v>31535</v>
      </c>
      <c r="F94" s="9">
        <f t="shared" ca="1" si="8"/>
        <v>40</v>
      </c>
      <c r="G94" s="27">
        <v>43191</v>
      </c>
      <c r="H94" s="28" t="s">
        <v>291</v>
      </c>
      <c r="I94" s="59">
        <v>44627</v>
      </c>
      <c r="J94" s="580" t="s">
        <v>8</v>
      </c>
      <c r="K94" s="4" t="str">
        <f t="shared" si="9"/>
        <v>SI</v>
      </c>
      <c r="L94" s="7" t="str">
        <f t="shared" si="10"/>
        <v xml:space="preserve">N </v>
      </c>
      <c r="M94" s="7" t="str">
        <f t="shared" si="11"/>
        <v>RE</v>
      </c>
      <c r="N94" s="62" t="str">
        <f t="shared" si="12"/>
        <v>GI</v>
      </c>
      <c r="O94" s="8">
        <f t="shared" si="13"/>
        <v>45723</v>
      </c>
      <c r="P94" s="9" t="str">
        <f t="shared" ca="1" si="14"/>
        <v>ATRASADO</v>
      </c>
      <c r="Q94" s="12" t="s">
        <v>919</v>
      </c>
      <c r="R94" s="9"/>
      <c r="S94" s="9" t="str">
        <f t="shared" si="15"/>
        <v/>
      </c>
    </row>
    <row r="95" spans="1:19" x14ac:dyDescent="0.3">
      <c r="A95" s="9">
        <v>91</v>
      </c>
      <c r="B95" s="73" t="s">
        <v>75</v>
      </c>
      <c r="C95" s="75" t="s">
        <v>1103</v>
      </c>
      <c r="D95" s="14" t="s">
        <v>1104</v>
      </c>
      <c r="E95" s="67">
        <v>30507</v>
      </c>
      <c r="F95" s="9">
        <f t="shared" ca="1" si="8"/>
        <v>43</v>
      </c>
      <c r="G95" s="27">
        <v>43180</v>
      </c>
      <c r="H95" s="28" t="s">
        <v>8</v>
      </c>
      <c r="I95" s="59">
        <v>44623</v>
      </c>
      <c r="J95" s="580" t="s">
        <v>271</v>
      </c>
      <c r="K95" s="4" t="str">
        <f t="shared" si="9"/>
        <v>I</v>
      </c>
      <c r="L95" s="7" t="str">
        <f t="shared" si="10"/>
        <v>G8</v>
      </c>
      <c r="M95" s="7" t="str">
        <f t="shared" si="11"/>
        <v>J1</v>
      </c>
      <c r="N95" s="62" t="str">
        <f t="shared" si="12"/>
        <v/>
      </c>
      <c r="O95" s="8">
        <f t="shared" si="13"/>
        <v>45719</v>
      </c>
      <c r="P95" s="9" t="str">
        <f t="shared" ca="1" si="14"/>
        <v>ATRASADO</v>
      </c>
      <c r="Q95" s="12" t="s">
        <v>919</v>
      </c>
      <c r="R95" s="9"/>
      <c r="S95" s="9" t="str">
        <f t="shared" si="15"/>
        <v/>
      </c>
    </row>
    <row r="96" spans="1:19" x14ac:dyDescent="0.3">
      <c r="A96" s="9">
        <v>92</v>
      </c>
      <c r="B96" s="73" t="s">
        <v>75</v>
      </c>
      <c r="C96" s="75" t="s">
        <v>1105</v>
      </c>
      <c r="D96" s="16" t="s">
        <v>1106</v>
      </c>
      <c r="E96" s="67">
        <v>26213</v>
      </c>
      <c r="F96" s="9">
        <f t="shared" ca="1" si="8"/>
        <v>54</v>
      </c>
      <c r="G96" s="27">
        <v>44194</v>
      </c>
      <c r="H96" s="28" t="s">
        <v>271</v>
      </c>
      <c r="I96" s="59">
        <v>44641</v>
      </c>
      <c r="J96" s="580" t="s">
        <v>8</v>
      </c>
      <c r="K96" s="4" t="str">
        <f t="shared" si="9"/>
        <v>SI</v>
      </c>
      <c r="L96" s="7" t="str">
        <f t="shared" si="10"/>
        <v xml:space="preserve">N </v>
      </c>
      <c r="M96" s="7" t="str">
        <f t="shared" si="11"/>
        <v>RE</v>
      </c>
      <c r="N96" s="62" t="str">
        <f t="shared" si="12"/>
        <v>GI</v>
      </c>
      <c r="O96" s="8">
        <f t="shared" si="13"/>
        <v>45737</v>
      </c>
      <c r="P96" s="9" t="str">
        <f t="shared" ca="1" si="14"/>
        <v>ATRASADO</v>
      </c>
      <c r="Q96" s="12" t="s">
        <v>919</v>
      </c>
      <c r="R96" s="9"/>
      <c r="S96" s="9" t="str">
        <f t="shared" si="15"/>
        <v/>
      </c>
    </row>
    <row r="97" spans="1:19" x14ac:dyDescent="0.3">
      <c r="A97" s="9">
        <v>93</v>
      </c>
      <c r="B97" s="73" t="s">
        <v>75</v>
      </c>
      <c r="C97" s="75" t="s">
        <v>1107</v>
      </c>
      <c r="D97" s="14" t="s">
        <v>1108</v>
      </c>
      <c r="E97" s="67">
        <v>22078</v>
      </c>
      <c r="F97" s="9">
        <f t="shared" ca="1" si="8"/>
        <v>66</v>
      </c>
      <c r="G97" s="27">
        <v>43789</v>
      </c>
      <c r="H97" s="28" t="s">
        <v>275</v>
      </c>
      <c r="I97" s="59">
        <v>44644</v>
      </c>
      <c r="J97" s="580" t="s">
        <v>271</v>
      </c>
      <c r="K97" s="4" t="str">
        <f t="shared" si="9"/>
        <v>I</v>
      </c>
      <c r="L97" s="7" t="str">
        <f t="shared" si="10"/>
        <v>G8</v>
      </c>
      <c r="M97" s="7" t="str">
        <f t="shared" si="11"/>
        <v>J1</v>
      </c>
      <c r="N97" s="62" t="str">
        <f t="shared" si="12"/>
        <v/>
      </c>
      <c r="O97" s="8">
        <f t="shared" si="13"/>
        <v>45740</v>
      </c>
      <c r="P97" s="9" t="str">
        <f t="shared" ca="1" si="14"/>
        <v>ATRASADO</v>
      </c>
      <c r="Q97" s="12" t="s">
        <v>919</v>
      </c>
      <c r="R97" s="9"/>
      <c r="S97" s="9" t="str">
        <f t="shared" si="15"/>
        <v/>
      </c>
    </row>
    <row r="98" spans="1:19" x14ac:dyDescent="0.3">
      <c r="A98" s="9">
        <v>94</v>
      </c>
      <c r="B98" s="73" t="s">
        <v>75</v>
      </c>
      <c r="C98" s="75" t="s">
        <v>1109</v>
      </c>
      <c r="D98" s="14" t="s">
        <v>1110</v>
      </c>
      <c r="E98" s="67">
        <v>34801</v>
      </c>
      <c r="F98" s="9">
        <f t="shared" ca="1" si="8"/>
        <v>31</v>
      </c>
      <c r="G98" s="27">
        <v>43869</v>
      </c>
      <c r="H98" s="28" t="s">
        <v>275</v>
      </c>
      <c r="I98" s="59">
        <v>44645</v>
      </c>
      <c r="J98" s="580" t="s">
        <v>275</v>
      </c>
      <c r="K98" s="4" t="str">
        <f t="shared" si="9"/>
        <v>I</v>
      </c>
      <c r="L98" s="7" t="str">
        <f t="shared" si="10"/>
        <v>G8</v>
      </c>
      <c r="M98" s="7" t="str">
        <f t="shared" si="11"/>
        <v/>
      </c>
      <c r="N98" s="62" t="str">
        <f t="shared" si="12"/>
        <v/>
      </c>
      <c r="O98" s="8">
        <f t="shared" si="13"/>
        <v>45741</v>
      </c>
      <c r="P98" s="9" t="str">
        <f t="shared" ca="1" si="14"/>
        <v>ATRASADO</v>
      </c>
      <c r="Q98" s="12" t="s">
        <v>919</v>
      </c>
      <c r="R98" s="9"/>
      <c r="S98" s="9" t="str">
        <f t="shared" si="15"/>
        <v/>
      </c>
    </row>
    <row r="99" spans="1:19" x14ac:dyDescent="0.3">
      <c r="A99" s="9">
        <v>95</v>
      </c>
      <c r="B99" s="73" t="s">
        <v>75</v>
      </c>
      <c r="C99" s="75" t="s">
        <v>1111</v>
      </c>
      <c r="D99" s="16" t="s">
        <v>1112</v>
      </c>
      <c r="E99" s="67">
        <v>27460</v>
      </c>
      <c r="F99" s="9">
        <f t="shared" ca="1" si="8"/>
        <v>51</v>
      </c>
      <c r="G99" s="27">
        <v>44075</v>
      </c>
      <c r="H99" s="28" t="s">
        <v>275</v>
      </c>
      <c r="I99" s="59">
        <v>44631</v>
      </c>
      <c r="J99" s="580" t="s">
        <v>275</v>
      </c>
      <c r="K99" s="4" t="str">
        <f t="shared" si="9"/>
        <v>I</v>
      </c>
      <c r="L99" s="7" t="str">
        <f t="shared" si="10"/>
        <v>G8</v>
      </c>
      <c r="M99" s="7" t="str">
        <f t="shared" si="11"/>
        <v/>
      </c>
      <c r="N99" s="62" t="str">
        <f t="shared" si="12"/>
        <v/>
      </c>
      <c r="O99" s="8">
        <f t="shared" si="13"/>
        <v>45727</v>
      </c>
      <c r="P99" s="9" t="str">
        <f t="shared" ca="1" si="14"/>
        <v>ATRASADO</v>
      </c>
      <c r="Q99" s="12" t="s">
        <v>919</v>
      </c>
      <c r="R99" s="9"/>
      <c r="S99" s="9" t="str">
        <f t="shared" si="15"/>
        <v/>
      </c>
    </row>
    <row r="100" spans="1:19" x14ac:dyDescent="0.3">
      <c r="A100" s="9">
        <v>96</v>
      </c>
      <c r="B100" s="73" t="s">
        <v>75</v>
      </c>
      <c r="C100" s="75" t="s">
        <v>1113</v>
      </c>
      <c r="D100" s="16" t="s">
        <v>1114</v>
      </c>
      <c r="E100" s="67">
        <v>34512</v>
      </c>
      <c r="F100" s="9">
        <f t="shared" ca="1" si="8"/>
        <v>32</v>
      </c>
      <c r="G100" s="27">
        <v>43888</v>
      </c>
      <c r="H100" s="28" t="s">
        <v>271</v>
      </c>
      <c r="I100" s="59">
        <v>44649</v>
      </c>
      <c r="J100" s="580" t="s">
        <v>275</v>
      </c>
      <c r="K100" s="4" t="str">
        <f t="shared" si="9"/>
        <v>I</v>
      </c>
      <c r="L100" s="7" t="str">
        <f t="shared" si="10"/>
        <v>G8</v>
      </c>
      <c r="M100" s="7" t="str">
        <f t="shared" si="11"/>
        <v/>
      </c>
      <c r="N100" s="62" t="str">
        <f t="shared" si="12"/>
        <v/>
      </c>
      <c r="O100" s="8">
        <f t="shared" si="13"/>
        <v>45745</v>
      </c>
      <c r="P100" s="9" t="str">
        <f t="shared" ca="1" si="14"/>
        <v>ATRASADO</v>
      </c>
      <c r="Q100" s="12" t="s">
        <v>919</v>
      </c>
      <c r="R100" s="9"/>
      <c r="S100" s="9" t="str">
        <f t="shared" si="15"/>
        <v/>
      </c>
    </row>
    <row r="101" spans="1:19" x14ac:dyDescent="0.3">
      <c r="A101" s="9">
        <v>97</v>
      </c>
      <c r="B101" s="73" t="s">
        <v>111</v>
      </c>
      <c r="C101" s="75" t="s">
        <v>1115</v>
      </c>
      <c r="D101" s="16" t="s">
        <v>1116</v>
      </c>
      <c r="E101" s="67">
        <v>27973</v>
      </c>
      <c r="F101" s="9">
        <f t="shared" ca="1" si="8"/>
        <v>50</v>
      </c>
      <c r="G101" s="27">
        <v>42904</v>
      </c>
      <c r="H101" s="28" t="s">
        <v>271</v>
      </c>
      <c r="I101" s="59">
        <v>44649</v>
      </c>
      <c r="J101" s="580" t="s">
        <v>275</v>
      </c>
      <c r="K101" s="4" t="str">
        <f t="shared" si="9"/>
        <v>I</v>
      </c>
      <c r="L101" s="7" t="str">
        <f t="shared" si="10"/>
        <v>G8</v>
      </c>
      <c r="M101" s="7" t="str">
        <f t="shared" si="11"/>
        <v/>
      </c>
      <c r="N101" s="62" t="str">
        <f t="shared" si="12"/>
        <v/>
      </c>
      <c r="O101" s="8">
        <f t="shared" si="13"/>
        <v>45745</v>
      </c>
      <c r="P101" s="9" t="str">
        <f t="shared" ca="1" si="14"/>
        <v>ATRASADO</v>
      </c>
      <c r="Q101" s="12" t="s">
        <v>919</v>
      </c>
      <c r="R101" s="9"/>
      <c r="S101" s="9" t="str">
        <f t="shared" si="15"/>
        <v/>
      </c>
    </row>
    <row r="102" spans="1:19" x14ac:dyDescent="0.3">
      <c r="A102" s="9">
        <v>98</v>
      </c>
      <c r="B102" s="73" t="s">
        <v>75</v>
      </c>
      <c r="C102" s="75" t="s">
        <v>1117</v>
      </c>
      <c r="D102" s="14" t="s">
        <v>1118</v>
      </c>
      <c r="E102" s="67">
        <v>25762</v>
      </c>
      <c r="F102" s="9">
        <f t="shared" ca="1" si="8"/>
        <v>56</v>
      </c>
      <c r="G102" s="28" t="s">
        <v>15</v>
      </c>
      <c r="H102" s="28" t="s">
        <v>275</v>
      </c>
      <c r="I102" s="59">
        <v>44644</v>
      </c>
      <c r="J102" s="580" t="s">
        <v>275</v>
      </c>
      <c r="K102" s="4" t="str">
        <f t="shared" si="9"/>
        <v>I</v>
      </c>
      <c r="L102" s="7" t="str">
        <f t="shared" si="10"/>
        <v>G8</v>
      </c>
      <c r="M102" s="7" t="str">
        <f t="shared" si="11"/>
        <v/>
      </c>
      <c r="N102" s="62" t="str">
        <f t="shared" si="12"/>
        <v/>
      </c>
      <c r="O102" s="8">
        <f t="shared" si="13"/>
        <v>45740</v>
      </c>
      <c r="P102" s="9" t="str">
        <f t="shared" ca="1" si="14"/>
        <v>ATRASADO</v>
      </c>
      <c r="Q102" s="12" t="s">
        <v>919</v>
      </c>
      <c r="R102" s="9"/>
      <c r="S102" s="9" t="str">
        <f t="shared" si="15"/>
        <v/>
      </c>
    </row>
    <row r="103" spans="1:19" x14ac:dyDescent="0.3">
      <c r="A103" s="9">
        <v>99</v>
      </c>
      <c r="B103" s="73" t="s">
        <v>75</v>
      </c>
      <c r="C103" s="75" t="s">
        <v>1119</v>
      </c>
      <c r="D103" s="14" t="s">
        <v>1120</v>
      </c>
      <c r="E103" s="67">
        <v>32883</v>
      </c>
      <c r="F103" s="9">
        <f t="shared" ca="1" si="8"/>
        <v>36</v>
      </c>
      <c r="G103" s="27">
        <v>43318</v>
      </c>
      <c r="H103" s="28" t="s">
        <v>271</v>
      </c>
      <c r="I103" s="59">
        <v>44637</v>
      </c>
      <c r="J103" s="580" t="s">
        <v>8</v>
      </c>
      <c r="K103" s="4" t="str">
        <f t="shared" si="9"/>
        <v>SI</v>
      </c>
      <c r="L103" s="7" t="str">
        <f t="shared" si="10"/>
        <v xml:space="preserve">N </v>
      </c>
      <c r="M103" s="7" t="str">
        <f t="shared" si="11"/>
        <v>RE</v>
      </c>
      <c r="N103" s="62" t="str">
        <f t="shared" si="12"/>
        <v>GI</v>
      </c>
      <c r="O103" s="8">
        <f t="shared" si="13"/>
        <v>45733</v>
      </c>
      <c r="P103" s="9" t="str">
        <f t="shared" ca="1" si="14"/>
        <v>ATRASADO</v>
      </c>
      <c r="Q103" s="12" t="s">
        <v>919</v>
      </c>
      <c r="R103" s="9"/>
      <c r="S103" s="9" t="str">
        <f t="shared" si="15"/>
        <v/>
      </c>
    </row>
    <row r="104" spans="1:19" x14ac:dyDescent="0.3">
      <c r="A104" s="9">
        <v>100</v>
      </c>
      <c r="B104" s="73" t="s">
        <v>75</v>
      </c>
      <c r="C104" s="75" t="s">
        <v>1121</v>
      </c>
      <c r="D104" s="14" t="s">
        <v>1122</v>
      </c>
      <c r="E104" s="67">
        <v>33360</v>
      </c>
      <c r="F104" s="9">
        <f t="shared" ca="1" si="8"/>
        <v>35</v>
      </c>
      <c r="G104" s="27">
        <v>43361</v>
      </c>
      <c r="H104" s="28" t="s">
        <v>271</v>
      </c>
      <c r="I104" s="59">
        <v>44637</v>
      </c>
      <c r="J104" s="580" t="s">
        <v>271</v>
      </c>
      <c r="K104" s="4" t="str">
        <f t="shared" si="9"/>
        <v>I</v>
      </c>
      <c r="L104" s="7" t="str">
        <f t="shared" si="10"/>
        <v>G8</v>
      </c>
      <c r="M104" s="7" t="str">
        <f t="shared" si="11"/>
        <v>J1</v>
      </c>
      <c r="N104" s="62" t="str">
        <f t="shared" si="12"/>
        <v/>
      </c>
      <c r="O104" s="8">
        <f t="shared" si="13"/>
        <v>45733</v>
      </c>
      <c r="P104" s="9" t="str">
        <f t="shared" ca="1" si="14"/>
        <v>ATRASADO</v>
      </c>
      <c r="Q104" s="12" t="s">
        <v>919</v>
      </c>
      <c r="R104" s="9"/>
      <c r="S104" s="9" t="str">
        <f t="shared" si="15"/>
        <v/>
      </c>
    </row>
    <row r="105" spans="1:19" x14ac:dyDescent="0.3">
      <c r="A105" s="9">
        <v>101</v>
      </c>
      <c r="B105" s="73" t="s">
        <v>75</v>
      </c>
      <c r="C105" s="75" t="s">
        <v>1123</v>
      </c>
      <c r="D105" s="14" t="s">
        <v>1124</v>
      </c>
      <c r="E105" s="67">
        <v>30030</v>
      </c>
      <c r="F105" s="9">
        <f t="shared" ca="1" si="8"/>
        <v>44</v>
      </c>
      <c r="G105" s="28" t="s">
        <v>8</v>
      </c>
      <c r="H105" s="28" t="s">
        <v>271</v>
      </c>
      <c r="I105" s="59">
        <v>44636</v>
      </c>
      <c r="J105" s="580" t="s">
        <v>275</v>
      </c>
      <c r="K105" s="4" t="str">
        <f t="shared" si="9"/>
        <v>I</v>
      </c>
      <c r="L105" s="7" t="str">
        <f t="shared" si="10"/>
        <v>G8</v>
      </c>
      <c r="M105" s="7" t="str">
        <f t="shared" si="11"/>
        <v/>
      </c>
      <c r="N105" s="62" t="str">
        <f t="shared" si="12"/>
        <v/>
      </c>
      <c r="O105" s="8">
        <f t="shared" si="13"/>
        <v>45732</v>
      </c>
      <c r="P105" s="9" t="str">
        <f t="shared" ca="1" si="14"/>
        <v>ATRASADO</v>
      </c>
      <c r="Q105" s="12" t="s">
        <v>919</v>
      </c>
      <c r="R105" s="9"/>
      <c r="S105" s="9" t="str">
        <f t="shared" si="15"/>
        <v/>
      </c>
    </row>
    <row r="106" spans="1:19" x14ac:dyDescent="0.3">
      <c r="A106" s="9">
        <v>102</v>
      </c>
      <c r="B106" s="73" t="s">
        <v>75</v>
      </c>
      <c r="C106" s="75" t="s">
        <v>1125</v>
      </c>
      <c r="D106" s="14" t="s">
        <v>1126</v>
      </c>
      <c r="E106" s="67">
        <v>27914</v>
      </c>
      <c r="F106" s="9">
        <f t="shared" ca="1" si="8"/>
        <v>50</v>
      </c>
      <c r="G106" s="27">
        <v>43970</v>
      </c>
      <c r="H106" s="28" t="s">
        <v>275</v>
      </c>
      <c r="I106" s="59">
        <v>44646</v>
      </c>
      <c r="J106" s="580" t="s">
        <v>271</v>
      </c>
      <c r="K106" s="4" t="str">
        <f t="shared" si="9"/>
        <v>I</v>
      </c>
      <c r="L106" s="7" t="str">
        <f t="shared" si="10"/>
        <v>G8</v>
      </c>
      <c r="M106" s="7" t="str">
        <f t="shared" si="11"/>
        <v>J1</v>
      </c>
      <c r="N106" s="62" t="str">
        <f t="shared" si="12"/>
        <v/>
      </c>
      <c r="O106" s="8">
        <f t="shared" si="13"/>
        <v>45742</v>
      </c>
      <c r="P106" s="9" t="str">
        <f t="shared" ca="1" si="14"/>
        <v>ATRASADO</v>
      </c>
      <c r="Q106" s="12" t="s">
        <v>919</v>
      </c>
      <c r="R106" s="9"/>
      <c r="S106" s="9" t="str">
        <f t="shared" si="15"/>
        <v/>
      </c>
    </row>
    <row r="107" spans="1:19" x14ac:dyDescent="0.3">
      <c r="A107" s="9">
        <v>103</v>
      </c>
      <c r="B107" s="73" t="s">
        <v>75</v>
      </c>
      <c r="C107" s="75" t="s">
        <v>1127</v>
      </c>
      <c r="D107" s="14" t="s">
        <v>1128</v>
      </c>
      <c r="E107" s="67">
        <v>23639</v>
      </c>
      <c r="F107" s="9">
        <f t="shared" ca="1" si="8"/>
        <v>62</v>
      </c>
      <c r="G107" s="28" t="s">
        <v>8</v>
      </c>
      <c r="H107" s="28" t="s">
        <v>275</v>
      </c>
      <c r="I107" s="59">
        <v>44631</v>
      </c>
      <c r="J107" s="580" t="s">
        <v>271</v>
      </c>
      <c r="K107" s="4" t="str">
        <f t="shared" si="9"/>
        <v>I</v>
      </c>
      <c r="L107" s="7" t="str">
        <f t="shared" si="10"/>
        <v>G8</v>
      </c>
      <c r="M107" s="7" t="str">
        <f t="shared" si="11"/>
        <v>J1</v>
      </c>
      <c r="N107" s="62" t="str">
        <f t="shared" si="12"/>
        <v/>
      </c>
      <c r="O107" s="8">
        <f t="shared" si="13"/>
        <v>45727</v>
      </c>
      <c r="P107" s="9" t="str">
        <f t="shared" ca="1" si="14"/>
        <v>ATRASADO</v>
      </c>
      <c r="Q107" s="12" t="s">
        <v>919</v>
      </c>
      <c r="R107" s="9"/>
      <c r="S107" s="9" t="str">
        <f t="shared" si="15"/>
        <v/>
      </c>
    </row>
    <row r="108" spans="1:19" x14ac:dyDescent="0.3">
      <c r="A108" s="9">
        <v>104</v>
      </c>
      <c r="B108" s="73" t="s">
        <v>75</v>
      </c>
      <c r="C108" s="75" t="s">
        <v>1129</v>
      </c>
      <c r="D108" s="14" t="s">
        <v>1130</v>
      </c>
      <c r="E108" s="67">
        <v>31876</v>
      </c>
      <c r="F108" s="9">
        <f t="shared" ca="1" si="8"/>
        <v>39</v>
      </c>
      <c r="G108" s="27">
        <v>44237</v>
      </c>
      <c r="H108" s="28" t="s">
        <v>275</v>
      </c>
      <c r="I108" s="59">
        <v>44628</v>
      </c>
      <c r="J108" s="580" t="s">
        <v>271</v>
      </c>
      <c r="K108" s="4" t="str">
        <f t="shared" si="9"/>
        <v>I</v>
      </c>
      <c r="L108" s="7" t="str">
        <f t="shared" si="10"/>
        <v>G8</v>
      </c>
      <c r="M108" s="7" t="str">
        <f t="shared" si="11"/>
        <v>J1</v>
      </c>
      <c r="N108" s="62" t="str">
        <f t="shared" si="12"/>
        <v/>
      </c>
      <c r="O108" s="8">
        <f t="shared" si="13"/>
        <v>45724</v>
      </c>
      <c r="P108" s="9" t="str">
        <f t="shared" ca="1" si="14"/>
        <v>ATRASADO</v>
      </c>
      <c r="Q108" s="12" t="s">
        <v>919</v>
      </c>
      <c r="R108" s="9"/>
      <c r="S108" s="9" t="str">
        <f t="shared" si="15"/>
        <v/>
      </c>
    </row>
    <row r="109" spans="1:19" x14ac:dyDescent="0.3">
      <c r="A109" s="9">
        <v>105</v>
      </c>
      <c r="B109" s="73" t="s">
        <v>75</v>
      </c>
      <c r="C109" s="75" t="s">
        <v>1131</v>
      </c>
      <c r="D109" s="14" t="s">
        <v>1132</v>
      </c>
      <c r="E109" s="67">
        <v>31825</v>
      </c>
      <c r="F109" s="9">
        <f t="shared" ca="1" si="8"/>
        <v>39</v>
      </c>
      <c r="G109" s="27">
        <v>43772</v>
      </c>
      <c r="H109" s="28" t="s">
        <v>8</v>
      </c>
      <c r="I109" s="59">
        <v>44630</v>
      </c>
      <c r="J109" s="580" t="s">
        <v>275</v>
      </c>
      <c r="K109" s="4" t="str">
        <f t="shared" si="9"/>
        <v>I</v>
      </c>
      <c r="L109" s="7" t="str">
        <f t="shared" si="10"/>
        <v>G8</v>
      </c>
      <c r="M109" s="7" t="str">
        <f t="shared" si="11"/>
        <v/>
      </c>
      <c r="N109" s="62" t="str">
        <f t="shared" si="12"/>
        <v/>
      </c>
      <c r="O109" s="8">
        <f t="shared" si="13"/>
        <v>45726</v>
      </c>
      <c r="P109" s="9" t="str">
        <f t="shared" ca="1" si="14"/>
        <v>ATRASADO</v>
      </c>
      <c r="Q109" s="12" t="s">
        <v>919</v>
      </c>
      <c r="R109" s="9"/>
      <c r="S109" s="9" t="str">
        <f t="shared" si="15"/>
        <v/>
      </c>
    </row>
    <row r="110" spans="1:19" x14ac:dyDescent="0.3">
      <c r="A110" s="9">
        <v>106</v>
      </c>
      <c r="B110" s="73" t="s">
        <v>75</v>
      </c>
      <c r="C110" s="75" t="s">
        <v>1133</v>
      </c>
      <c r="D110" s="14" t="s">
        <v>1134</v>
      </c>
      <c r="E110" s="67">
        <v>34027</v>
      </c>
      <c r="F110" s="9">
        <f t="shared" ca="1" si="8"/>
        <v>33</v>
      </c>
      <c r="G110" s="27">
        <v>42833</v>
      </c>
      <c r="H110" s="28" t="s">
        <v>8</v>
      </c>
      <c r="I110" s="59">
        <v>44642</v>
      </c>
      <c r="J110" s="580" t="s">
        <v>8</v>
      </c>
      <c r="K110" s="4" t="str">
        <f t="shared" si="9"/>
        <v>SI</v>
      </c>
      <c r="L110" s="7" t="str">
        <f t="shared" si="10"/>
        <v xml:space="preserve">N </v>
      </c>
      <c r="M110" s="7" t="str">
        <f t="shared" si="11"/>
        <v>RE</v>
      </c>
      <c r="N110" s="62" t="str">
        <f t="shared" si="12"/>
        <v>GI</v>
      </c>
      <c r="O110" s="8">
        <f t="shared" si="13"/>
        <v>45738</v>
      </c>
      <c r="P110" s="9" t="str">
        <f t="shared" ca="1" si="14"/>
        <v>ATRASADO</v>
      </c>
      <c r="Q110" s="12" t="s">
        <v>919</v>
      </c>
      <c r="R110" s="9"/>
      <c r="S110" s="9" t="str">
        <f t="shared" si="15"/>
        <v/>
      </c>
    </row>
    <row r="111" spans="1:19" x14ac:dyDescent="0.3">
      <c r="A111" s="9">
        <v>107</v>
      </c>
      <c r="B111" s="73" t="s">
        <v>75</v>
      </c>
      <c r="C111" s="75" t="s">
        <v>1135</v>
      </c>
      <c r="D111" s="14" t="s">
        <v>1136</v>
      </c>
      <c r="E111" s="67">
        <v>30126</v>
      </c>
      <c r="F111" s="9">
        <f t="shared" ca="1" si="8"/>
        <v>44</v>
      </c>
      <c r="G111" s="27">
        <v>43410</v>
      </c>
      <c r="H111" s="28" t="s">
        <v>327</v>
      </c>
      <c r="I111" s="59">
        <v>44624</v>
      </c>
      <c r="J111" s="580" t="s">
        <v>275</v>
      </c>
      <c r="K111" s="4" t="str">
        <f t="shared" si="9"/>
        <v>I</v>
      </c>
      <c r="L111" s="7" t="str">
        <f t="shared" si="10"/>
        <v>G8</v>
      </c>
      <c r="M111" s="7" t="str">
        <f t="shared" si="11"/>
        <v/>
      </c>
      <c r="N111" s="62" t="str">
        <f t="shared" si="12"/>
        <v/>
      </c>
      <c r="O111" s="8">
        <f t="shared" si="13"/>
        <v>45720</v>
      </c>
      <c r="P111" s="9" t="str">
        <f t="shared" ca="1" si="14"/>
        <v>ATRASADO</v>
      </c>
      <c r="Q111" s="12" t="s">
        <v>919</v>
      </c>
      <c r="R111" s="9"/>
      <c r="S111" s="9" t="str">
        <f t="shared" si="15"/>
        <v/>
      </c>
    </row>
    <row r="112" spans="1:19" x14ac:dyDescent="0.3">
      <c r="A112" s="9">
        <v>108</v>
      </c>
      <c r="B112" s="73" t="s">
        <v>75</v>
      </c>
      <c r="C112" s="75" t="s">
        <v>1137</v>
      </c>
      <c r="D112" s="14" t="s">
        <v>1138</v>
      </c>
      <c r="E112" s="67">
        <v>32514</v>
      </c>
      <c r="F112" s="9">
        <f t="shared" ca="1" si="8"/>
        <v>37</v>
      </c>
      <c r="G112" s="27">
        <v>43469</v>
      </c>
      <c r="H112" s="28" t="s">
        <v>275</v>
      </c>
      <c r="I112" s="59">
        <v>44644</v>
      </c>
      <c r="J112" s="580" t="s">
        <v>275</v>
      </c>
      <c r="K112" s="4" t="str">
        <f t="shared" si="9"/>
        <v>I</v>
      </c>
      <c r="L112" s="7" t="str">
        <f t="shared" si="10"/>
        <v>G8</v>
      </c>
      <c r="M112" s="7" t="str">
        <f t="shared" si="11"/>
        <v/>
      </c>
      <c r="N112" s="62" t="str">
        <f t="shared" si="12"/>
        <v/>
      </c>
      <c r="O112" s="8">
        <f t="shared" si="13"/>
        <v>45740</v>
      </c>
      <c r="P112" s="9" t="str">
        <f t="shared" ca="1" si="14"/>
        <v>ATRASADO</v>
      </c>
      <c r="Q112" s="12" t="s">
        <v>919</v>
      </c>
      <c r="R112" s="9"/>
      <c r="S112" s="9" t="str">
        <f t="shared" si="15"/>
        <v/>
      </c>
    </row>
    <row r="113" spans="1:19" x14ac:dyDescent="0.3">
      <c r="A113" s="9">
        <v>109</v>
      </c>
      <c r="B113" s="73" t="s">
        <v>45</v>
      </c>
      <c r="C113" s="75" t="s">
        <v>1140</v>
      </c>
      <c r="D113" s="14" t="s">
        <v>1141</v>
      </c>
      <c r="E113" s="67">
        <v>31834</v>
      </c>
      <c r="F113" s="9">
        <f t="shared" ca="1" si="8"/>
        <v>39</v>
      </c>
      <c r="G113" s="27">
        <v>43168</v>
      </c>
      <c r="H113" s="28" t="s">
        <v>275</v>
      </c>
      <c r="I113" s="59">
        <v>44632</v>
      </c>
      <c r="J113" s="580" t="s">
        <v>275</v>
      </c>
      <c r="K113" s="4" t="str">
        <f t="shared" si="9"/>
        <v>I</v>
      </c>
      <c r="L113" s="7" t="str">
        <f t="shared" si="10"/>
        <v>G8</v>
      </c>
      <c r="M113" s="7" t="str">
        <f t="shared" si="11"/>
        <v/>
      </c>
      <c r="N113" s="62" t="str">
        <f t="shared" si="12"/>
        <v/>
      </c>
      <c r="O113" s="8">
        <f t="shared" si="13"/>
        <v>45728</v>
      </c>
      <c r="P113" s="9" t="str">
        <f t="shared" ca="1" si="14"/>
        <v>ATRASADO</v>
      </c>
      <c r="Q113" s="12" t="s">
        <v>919</v>
      </c>
      <c r="R113" s="9"/>
      <c r="S113" s="9" t="str">
        <f t="shared" si="15"/>
        <v/>
      </c>
    </row>
    <row r="114" spans="1:19" x14ac:dyDescent="0.3">
      <c r="A114" s="9">
        <v>110</v>
      </c>
      <c r="B114" s="73" t="s">
        <v>45</v>
      </c>
      <c r="C114" s="75" t="s">
        <v>1142</v>
      </c>
      <c r="D114" s="16" t="s">
        <v>1143</v>
      </c>
      <c r="E114" s="67">
        <v>28806</v>
      </c>
      <c r="F114" s="9">
        <f t="shared" ca="1" si="8"/>
        <v>47</v>
      </c>
      <c r="G114" s="28" t="s">
        <v>8</v>
      </c>
      <c r="H114" s="28" t="s">
        <v>275</v>
      </c>
      <c r="I114" s="59">
        <v>44637</v>
      </c>
      <c r="J114" s="580" t="s">
        <v>275</v>
      </c>
      <c r="K114" s="4" t="str">
        <f t="shared" si="9"/>
        <v>I</v>
      </c>
      <c r="L114" s="7" t="str">
        <f t="shared" si="10"/>
        <v>G8</v>
      </c>
      <c r="M114" s="7" t="str">
        <f t="shared" si="11"/>
        <v/>
      </c>
      <c r="N114" s="62" t="str">
        <f t="shared" si="12"/>
        <v/>
      </c>
      <c r="O114" s="8">
        <f t="shared" si="13"/>
        <v>45733</v>
      </c>
      <c r="P114" s="9" t="str">
        <f t="shared" ca="1" si="14"/>
        <v>ATRASADO</v>
      </c>
      <c r="Q114" s="12" t="s">
        <v>919</v>
      </c>
      <c r="R114" s="9"/>
      <c r="S114" s="9" t="str">
        <f t="shared" si="15"/>
        <v/>
      </c>
    </row>
    <row r="115" spans="1:19" x14ac:dyDescent="0.3">
      <c r="A115" s="9">
        <v>111</v>
      </c>
      <c r="B115" s="73" t="s">
        <v>45</v>
      </c>
      <c r="C115" s="75" t="s">
        <v>1144</v>
      </c>
      <c r="D115" s="16" t="s">
        <v>1145</v>
      </c>
      <c r="E115" s="67">
        <v>29773</v>
      </c>
      <c r="F115" s="9">
        <f t="shared" ca="1" si="8"/>
        <v>45</v>
      </c>
      <c r="G115" s="27">
        <v>43592</v>
      </c>
      <c r="H115" s="28" t="s">
        <v>271</v>
      </c>
      <c r="I115" s="59">
        <v>44625</v>
      </c>
      <c r="J115" s="580" t="s">
        <v>327</v>
      </c>
      <c r="K115" s="4" t="str">
        <f t="shared" si="9"/>
        <v>I</v>
      </c>
      <c r="L115" s="7" t="str">
        <f t="shared" si="10"/>
        <v>G7</v>
      </c>
      <c r="M115" s="7" t="str">
        <f t="shared" si="11"/>
        <v>S</v>
      </c>
      <c r="N115" s="62" t="str">
        <f t="shared" si="12"/>
        <v/>
      </c>
      <c r="O115" s="8">
        <f t="shared" si="13"/>
        <v>44990</v>
      </c>
      <c r="P115" s="9" t="str">
        <f t="shared" ca="1" si="14"/>
        <v>ATRASADO</v>
      </c>
      <c r="Q115" s="12" t="s">
        <v>919</v>
      </c>
      <c r="R115" s="9"/>
      <c r="S115" s="9" t="str">
        <f t="shared" si="15"/>
        <v/>
      </c>
    </row>
    <row r="116" spans="1:19" x14ac:dyDescent="0.3">
      <c r="A116" s="9">
        <v>112</v>
      </c>
      <c r="B116" s="73" t="s">
        <v>346</v>
      </c>
      <c r="C116" s="75" t="s">
        <v>1146</v>
      </c>
      <c r="D116" s="14" t="s">
        <v>1147</v>
      </c>
      <c r="E116" s="67">
        <v>25491</v>
      </c>
      <c r="F116" s="9">
        <f t="shared" ca="1" si="8"/>
        <v>56</v>
      </c>
      <c r="G116" s="28" t="s">
        <v>8</v>
      </c>
      <c r="H116" s="28" t="s">
        <v>8</v>
      </c>
      <c r="I116" s="59">
        <v>44647</v>
      </c>
      <c r="J116" s="580" t="s">
        <v>275</v>
      </c>
      <c r="K116" s="4" t="str">
        <f t="shared" si="9"/>
        <v>I</v>
      </c>
      <c r="L116" s="7" t="str">
        <f t="shared" si="10"/>
        <v>G8</v>
      </c>
      <c r="M116" s="7" t="str">
        <f t="shared" si="11"/>
        <v/>
      </c>
      <c r="N116" s="62" t="str">
        <f t="shared" si="12"/>
        <v/>
      </c>
      <c r="O116" s="8">
        <f t="shared" si="13"/>
        <v>45743</v>
      </c>
      <c r="P116" s="9" t="str">
        <f t="shared" ca="1" si="14"/>
        <v>ATRASADO</v>
      </c>
      <c r="Q116" s="12" t="s">
        <v>919</v>
      </c>
      <c r="R116" s="9"/>
      <c r="S116" s="9" t="str">
        <f t="shared" si="15"/>
        <v/>
      </c>
    </row>
    <row r="117" spans="1:19" x14ac:dyDescent="0.3">
      <c r="A117" s="9">
        <v>113</v>
      </c>
      <c r="B117" s="73" t="s">
        <v>312</v>
      </c>
      <c r="C117" s="75" t="s">
        <v>1148</v>
      </c>
      <c r="D117" s="16" t="s">
        <v>1149</v>
      </c>
      <c r="E117" s="67">
        <v>33294</v>
      </c>
      <c r="F117" s="9">
        <f t="shared" ca="1" si="8"/>
        <v>35</v>
      </c>
      <c r="G117" s="27">
        <v>43395</v>
      </c>
      <c r="H117" s="28" t="s">
        <v>8</v>
      </c>
      <c r="I117" s="59">
        <v>44644</v>
      </c>
      <c r="J117" s="580" t="s">
        <v>275</v>
      </c>
      <c r="K117" s="4" t="str">
        <f t="shared" si="9"/>
        <v>I</v>
      </c>
      <c r="L117" s="7" t="str">
        <f t="shared" si="10"/>
        <v>G8</v>
      </c>
      <c r="M117" s="7" t="str">
        <f t="shared" si="11"/>
        <v/>
      </c>
      <c r="N117" s="62" t="str">
        <f t="shared" si="12"/>
        <v/>
      </c>
      <c r="O117" s="8">
        <f t="shared" si="13"/>
        <v>45740</v>
      </c>
      <c r="P117" s="9" t="str">
        <f t="shared" ca="1" si="14"/>
        <v>ATRASADO</v>
      </c>
      <c r="Q117" s="12" t="s">
        <v>919</v>
      </c>
      <c r="R117" s="9"/>
      <c r="S117" s="9" t="str">
        <f t="shared" si="15"/>
        <v/>
      </c>
    </row>
    <row r="118" spans="1:19" x14ac:dyDescent="0.3">
      <c r="A118" s="9">
        <v>114</v>
      </c>
      <c r="B118" s="73" t="s">
        <v>312</v>
      </c>
      <c r="C118" s="75" t="s">
        <v>1150</v>
      </c>
      <c r="D118" s="14" t="s">
        <v>1151</v>
      </c>
      <c r="E118" s="67">
        <v>24770</v>
      </c>
      <c r="F118" s="9">
        <f t="shared" ca="1" si="8"/>
        <v>58</v>
      </c>
      <c r="G118" s="28" t="s">
        <v>8</v>
      </c>
      <c r="H118" s="28" t="s">
        <v>8</v>
      </c>
      <c r="I118" s="59">
        <v>44649</v>
      </c>
      <c r="J118" s="580" t="s">
        <v>275</v>
      </c>
      <c r="K118" s="4" t="str">
        <f t="shared" si="9"/>
        <v>I</v>
      </c>
      <c r="L118" s="7" t="str">
        <f t="shared" si="10"/>
        <v>G8</v>
      </c>
      <c r="M118" s="7" t="str">
        <f t="shared" si="11"/>
        <v/>
      </c>
      <c r="N118" s="62" t="str">
        <f t="shared" si="12"/>
        <v/>
      </c>
      <c r="O118" s="8">
        <f t="shared" si="13"/>
        <v>45745</v>
      </c>
      <c r="P118" s="9" t="str">
        <f t="shared" ca="1" si="14"/>
        <v>ATRASADO</v>
      </c>
      <c r="Q118" s="12" t="s">
        <v>919</v>
      </c>
      <c r="R118" s="9"/>
      <c r="S118" s="9" t="str">
        <f t="shared" si="15"/>
        <v/>
      </c>
    </row>
    <row r="119" spans="1:19" x14ac:dyDescent="0.3">
      <c r="A119" s="9">
        <v>115</v>
      </c>
      <c r="B119" s="73" t="s">
        <v>579</v>
      </c>
      <c r="C119" s="75" t="s">
        <v>1152</v>
      </c>
      <c r="D119" s="16" t="s">
        <v>1153</v>
      </c>
      <c r="E119" s="67">
        <v>34221</v>
      </c>
      <c r="F119" s="9">
        <f t="shared" ca="1" si="8"/>
        <v>33</v>
      </c>
      <c r="G119" s="27">
        <v>42828</v>
      </c>
      <c r="H119" s="28" t="s">
        <v>275</v>
      </c>
      <c r="I119" s="59">
        <v>44638</v>
      </c>
      <c r="J119" s="580" t="s">
        <v>275</v>
      </c>
      <c r="K119" s="4" t="str">
        <f t="shared" si="9"/>
        <v>I</v>
      </c>
      <c r="L119" s="7" t="str">
        <f t="shared" si="10"/>
        <v>G8</v>
      </c>
      <c r="M119" s="7" t="str">
        <f t="shared" si="11"/>
        <v/>
      </c>
      <c r="N119" s="62" t="str">
        <f t="shared" si="12"/>
        <v/>
      </c>
      <c r="O119" s="8">
        <f t="shared" si="13"/>
        <v>45734</v>
      </c>
      <c r="P119" s="9" t="str">
        <f t="shared" ca="1" si="14"/>
        <v>ATRASADO</v>
      </c>
      <c r="Q119" s="12" t="s">
        <v>919</v>
      </c>
      <c r="R119" s="9"/>
      <c r="S119" s="9" t="str">
        <f t="shared" si="15"/>
        <v/>
      </c>
    </row>
    <row r="120" spans="1:19" x14ac:dyDescent="0.3">
      <c r="A120" s="9">
        <v>116</v>
      </c>
      <c r="B120" s="73" t="s">
        <v>312</v>
      </c>
      <c r="C120" s="75" t="s">
        <v>1154</v>
      </c>
      <c r="D120" s="14" t="s">
        <v>1155</v>
      </c>
      <c r="E120" s="67">
        <v>30523</v>
      </c>
      <c r="F120" s="9">
        <f t="shared" ca="1" si="8"/>
        <v>43</v>
      </c>
      <c r="G120" s="28" t="s">
        <v>8</v>
      </c>
      <c r="H120" s="28" t="s">
        <v>271</v>
      </c>
      <c r="I120" s="59">
        <v>44628</v>
      </c>
      <c r="J120" s="580" t="s">
        <v>271</v>
      </c>
      <c r="K120" s="4" t="str">
        <f t="shared" si="9"/>
        <v>I</v>
      </c>
      <c r="L120" s="7" t="str">
        <f t="shared" si="10"/>
        <v>G8</v>
      </c>
      <c r="M120" s="7" t="str">
        <f t="shared" si="11"/>
        <v>J1</v>
      </c>
      <c r="N120" s="62" t="str">
        <f t="shared" si="12"/>
        <v/>
      </c>
      <c r="O120" s="8">
        <f t="shared" si="13"/>
        <v>45724</v>
      </c>
      <c r="P120" s="9" t="str">
        <f t="shared" ca="1" si="14"/>
        <v>ATRASADO</v>
      </c>
      <c r="Q120" s="12" t="s">
        <v>919</v>
      </c>
      <c r="R120" s="9"/>
      <c r="S120" s="9" t="str">
        <f t="shared" si="15"/>
        <v/>
      </c>
    </row>
    <row r="121" spans="1:19" x14ac:dyDescent="0.3">
      <c r="A121" s="9">
        <v>117</v>
      </c>
      <c r="B121" s="73" t="s">
        <v>312</v>
      </c>
      <c r="C121" s="75" t="s">
        <v>1156</v>
      </c>
      <c r="D121" s="14" t="s">
        <v>1157</v>
      </c>
      <c r="E121" s="67">
        <v>24624</v>
      </c>
      <c r="F121" s="9">
        <f t="shared" ca="1" si="8"/>
        <v>59</v>
      </c>
      <c r="G121" s="27">
        <v>43544</v>
      </c>
      <c r="H121" s="28" t="s">
        <v>271</v>
      </c>
      <c r="I121" s="59">
        <v>44643</v>
      </c>
      <c r="J121" s="580" t="s">
        <v>8</v>
      </c>
      <c r="K121" s="4" t="str">
        <f t="shared" si="9"/>
        <v>SI</v>
      </c>
      <c r="L121" s="7" t="str">
        <f t="shared" si="10"/>
        <v xml:space="preserve">N </v>
      </c>
      <c r="M121" s="7" t="str">
        <f t="shared" si="11"/>
        <v>RE</v>
      </c>
      <c r="N121" s="62" t="str">
        <f t="shared" si="12"/>
        <v>GI</v>
      </c>
      <c r="O121" s="8">
        <f t="shared" si="13"/>
        <v>45739</v>
      </c>
      <c r="P121" s="9" t="str">
        <f t="shared" ca="1" si="14"/>
        <v>ATRASADO</v>
      </c>
      <c r="Q121" s="12" t="s">
        <v>919</v>
      </c>
      <c r="R121" s="9"/>
      <c r="S121" s="9" t="str">
        <f t="shared" si="15"/>
        <v/>
      </c>
    </row>
    <row r="122" spans="1:19" x14ac:dyDescent="0.3">
      <c r="A122" s="9">
        <v>118</v>
      </c>
      <c r="B122" s="73" t="s">
        <v>312</v>
      </c>
      <c r="C122" s="75" t="s">
        <v>1158</v>
      </c>
      <c r="D122" s="14" t="s">
        <v>1159</v>
      </c>
      <c r="E122" s="67">
        <v>26728</v>
      </c>
      <c r="F122" s="9">
        <f t="shared" ca="1" si="8"/>
        <v>53</v>
      </c>
      <c r="G122" s="28" t="s">
        <v>8</v>
      </c>
      <c r="H122" s="28" t="s">
        <v>271</v>
      </c>
      <c r="I122" s="59">
        <v>44639</v>
      </c>
      <c r="J122" s="580" t="s">
        <v>271</v>
      </c>
      <c r="K122" s="4" t="str">
        <f t="shared" si="9"/>
        <v>I</v>
      </c>
      <c r="L122" s="7" t="str">
        <f t="shared" si="10"/>
        <v>G8</v>
      </c>
      <c r="M122" s="7" t="str">
        <f t="shared" si="11"/>
        <v>J1</v>
      </c>
      <c r="N122" s="62" t="str">
        <f t="shared" si="12"/>
        <v/>
      </c>
      <c r="O122" s="8">
        <f t="shared" si="13"/>
        <v>45735</v>
      </c>
      <c r="P122" s="9" t="str">
        <f t="shared" ca="1" si="14"/>
        <v>ATRASADO</v>
      </c>
      <c r="Q122" s="12" t="s">
        <v>919</v>
      </c>
      <c r="R122" s="9"/>
      <c r="S122" s="9" t="str">
        <f t="shared" si="15"/>
        <v/>
      </c>
    </row>
    <row r="123" spans="1:19" x14ac:dyDescent="0.3">
      <c r="A123" s="9">
        <v>119</v>
      </c>
      <c r="B123" s="73" t="s">
        <v>312</v>
      </c>
      <c r="C123" s="75" t="s">
        <v>1160</v>
      </c>
      <c r="D123" s="14" t="s">
        <v>1161</v>
      </c>
      <c r="E123" s="67">
        <v>31115</v>
      </c>
      <c r="F123" s="9">
        <f t="shared" ca="1" si="8"/>
        <v>41</v>
      </c>
      <c r="G123" s="28" t="s">
        <v>8</v>
      </c>
      <c r="H123" s="28" t="s">
        <v>275</v>
      </c>
      <c r="I123" s="59">
        <v>44643</v>
      </c>
      <c r="J123" s="580" t="s">
        <v>271</v>
      </c>
      <c r="K123" s="4" t="str">
        <f t="shared" si="9"/>
        <v>I</v>
      </c>
      <c r="L123" s="7" t="str">
        <f t="shared" si="10"/>
        <v>G8</v>
      </c>
      <c r="M123" s="7" t="str">
        <f t="shared" si="11"/>
        <v>J1</v>
      </c>
      <c r="N123" s="62" t="str">
        <f t="shared" si="12"/>
        <v/>
      </c>
      <c r="O123" s="8">
        <f t="shared" si="13"/>
        <v>45739</v>
      </c>
      <c r="P123" s="9" t="str">
        <f t="shared" ca="1" si="14"/>
        <v>ATRASADO</v>
      </c>
      <c r="Q123" s="12" t="s">
        <v>919</v>
      </c>
      <c r="R123" s="9"/>
      <c r="S123" s="9" t="str">
        <f t="shared" si="15"/>
        <v/>
      </c>
    </row>
    <row r="124" spans="1:19" x14ac:dyDescent="0.3">
      <c r="A124" s="9">
        <v>120</v>
      </c>
      <c r="B124" s="73" t="s">
        <v>312</v>
      </c>
      <c r="C124" s="75" t="s">
        <v>1162</v>
      </c>
      <c r="D124" s="14" t="s">
        <v>1163</v>
      </c>
      <c r="E124" s="67">
        <v>34923</v>
      </c>
      <c r="F124" s="9">
        <f t="shared" ca="1" si="8"/>
        <v>31</v>
      </c>
      <c r="G124" s="27">
        <v>43562</v>
      </c>
      <c r="H124" s="28" t="s">
        <v>275</v>
      </c>
      <c r="I124" s="59">
        <v>44634</v>
      </c>
      <c r="J124" s="580" t="s">
        <v>275</v>
      </c>
      <c r="K124" s="4" t="str">
        <f t="shared" si="9"/>
        <v>I</v>
      </c>
      <c r="L124" s="7" t="str">
        <f t="shared" si="10"/>
        <v>G8</v>
      </c>
      <c r="M124" s="7" t="str">
        <f t="shared" si="11"/>
        <v/>
      </c>
      <c r="N124" s="62" t="str">
        <f t="shared" si="12"/>
        <v/>
      </c>
      <c r="O124" s="8">
        <f t="shared" si="13"/>
        <v>45730</v>
      </c>
      <c r="P124" s="9" t="str">
        <f t="shared" ca="1" si="14"/>
        <v>ATRASADO</v>
      </c>
      <c r="Q124" s="12" t="s">
        <v>919</v>
      </c>
      <c r="R124" s="9"/>
      <c r="S124" s="9" t="str">
        <f t="shared" si="15"/>
        <v/>
      </c>
    </row>
    <row r="125" spans="1:19" x14ac:dyDescent="0.3">
      <c r="A125" s="9">
        <v>121</v>
      </c>
      <c r="B125" s="73" t="s">
        <v>579</v>
      </c>
      <c r="C125" s="75" t="s">
        <v>1164</v>
      </c>
      <c r="D125" s="16" t="s">
        <v>1165</v>
      </c>
      <c r="E125" s="67">
        <v>31991</v>
      </c>
      <c r="F125" s="9">
        <f t="shared" ca="1" si="8"/>
        <v>39</v>
      </c>
      <c r="G125" s="27">
        <v>43716</v>
      </c>
      <c r="H125" s="28" t="s">
        <v>271</v>
      </c>
      <c r="I125" s="59">
        <v>44645</v>
      </c>
      <c r="J125" s="580" t="s">
        <v>271</v>
      </c>
      <c r="K125" s="4" t="str">
        <f t="shared" si="9"/>
        <v>I</v>
      </c>
      <c r="L125" s="7" t="str">
        <f t="shared" si="10"/>
        <v>G8</v>
      </c>
      <c r="M125" s="7" t="str">
        <f t="shared" si="11"/>
        <v>J1</v>
      </c>
      <c r="N125" s="62" t="str">
        <f t="shared" si="12"/>
        <v/>
      </c>
      <c r="O125" s="8">
        <f t="shared" si="13"/>
        <v>45741</v>
      </c>
      <c r="P125" s="9" t="str">
        <f t="shared" ca="1" si="14"/>
        <v>ATRASADO</v>
      </c>
      <c r="Q125" s="12" t="s">
        <v>919</v>
      </c>
      <c r="R125" s="9"/>
      <c r="S125" s="9" t="str">
        <f t="shared" si="15"/>
        <v/>
      </c>
    </row>
    <row r="126" spans="1:19" x14ac:dyDescent="0.3">
      <c r="A126" s="9">
        <v>122</v>
      </c>
      <c r="B126" s="73" t="s">
        <v>579</v>
      </c>
      <c r="C126" s="75" t="s">
        <v>1166</v>
      </c>
      <c r="D126" s="16" t="s">
        <v>1167</v>
      </c>
      <c r="E126" s="67">
        <v>31270</v>
      </c>
      <c r="F126" s="9">
        <f t="shared" ca="1" si="8"/>
        <v>41</v>
      </c>
      <c r="G126" s="27">
        <v>43279</v>
      </c>
      <c r="H126" s="28" t="s">
        <v>275</v>
      </c>
      <c r="I126" s="59">
        <v>44625</v>
      </c>
      <c r="J126" s="580" t="s">
        <v>271</v>
      </c>
      <c r="K126" s="4" t="str">
        <f t="shared" si="9"/>
        <v>I</v>
      </c>
      <c r="L126" s="7" t="str">
        <f t="shared" si="10"/>
        <v>G8</v>
      </c>
      <c r="M126" s="7" t="str">
        <f t="shared" si="11"/>
        <v>J1</v>
      </c>
      <c r="N126" s="62" t="str">
        <f t="shared" si="12"/>
        <v/>
      </c>
      <c r="O126" s="8">
        <f t="shared" si="13"/>
        <v>45721</v>
      </c>
      <c r="P126" s="9" t="str">
        <f t="shared" ca="1" si="14"/>
        <v>ATRASADO</v>
      </c>
      <c r="Q126" s="12" t="s">
        <v>919</v>
      </c>
      <c r="R126" s="9"/>
      <c r="S126" s="9" t="str">
        <f t="shared" si="15"/>
        <v/>
      </c>
    </row>
    <row r="127" spans="1:19" x14ac:dyDescent="0.3">
      <c r="A127" s="9">
        <v>123</v>
      </c>
      <c r="B127" s="73" t="s">
        <v>270</v>
      </c>
      <c r="C127" s="75" t="s">
        <v>1168</v>
      </c>
      <c r="D127" s="14" t="s">
        <v>1169</v>
      </c>
      <c r="E127" s="67">
        <v>36146</v>
      </c>
      <c r="F127" s="9">
        <f t="shared" ca="1" si="8"/>
        <v>27</v>
      </c>
      <c r="G127" s="28" t="s">
        <v>8</v>
      </c>
      <c r="H127" s="28" t="s">
        <v>275</v>
      </c>
      <c r="I127" s="59">
        <v>44640</v>
      </c>
      <c r="J127" s="580" t="s">
        <v>275</v>
      </c>
      <c r="K127" s="4" t="str">
        <f t="shared" si="9"/>
        <v>I</v>
      </c>
      <c r="L127" s="7" t="str">
        <f t="shared" si="10"/>
        <v>G8</v>
      </c>
      <c r="M127" s="7" t="str">
        <f t="shared" si="11"/>
        <v/>
      </c>
      <c r="N127" s="62" t="str">
        <f t="shared" si="12"/>
        <v/>
      </c>
      <c r="O127" s="8">
        <f t="shared" si="13"/>
        <v>45736</v>
      </c>
      <c r="P127" s="9" t="str">
        <f t="shared" ca="1" si="14"/>
        <v>ATRASADO</v>
      </c>
      <c r="Q127" s="12" t="s">
        <v>919</v>
      </c>
      <c r="R127" s="9"/>
      <c r="S127" s="9" t="str">
        <f t="shared" si="15"/>
        <v/>
      </c>
    </row>
    <row r="128" spans="1:19" x14ac:dyDescent="0.3">
      <c r="A128" s="9">
        <v>124</v>
      </c>
      <c r="B128" s="73" t="s">
        <v>56</v>
      </c>
      <c r="C128" s="75" t="s">
        <v>1170</v>
      </c>
      <c r="D128" s="16" t="s">
        <v>1171</v>
      </c>
      <c r="E128" s="67">
        <v>29907</v>
      </c>
      <c r="F128" s="9">
        <f t="shared" ca="1" si="8"/>
        <v>44</v>
      </c>
      <c r="G128" s="27">
        <v>43368</v>
      </c>
      <c r="H128" s="28" t="s">
        <v>271</v>
      </c>
      <c r="I128" s="59">
        <v>44643</v>
      </c>
      <c r="J128" s="580" t="s">
        <v>8</v>
      </c>
      <c r="K128" s="4" t="str">
        <f t="shared" si="9"/>
        <v>SI</v>
      </c>
      <c r="L128" s="7" t="str">
        <f t="shared" si="10"/>
        <v xml:space="preserve">N </v>
      </c>
      <c r="M128" s="7" t="str">
        <f t="shared" si="11"/>
        <v>RE</v>
      </c>
      <c r="N128" s="62" t="str">
        <f t="shared" si="12"/>
        <v>GI</v>
      </c>
      <c r="O128" s="8">
        <f t="shared" si="13"/>
        <v>45739</v>
      </c>
      <c r="P128" s="9" t="str">
        <f t="shared" ca="1" si="14"/>
        <v>ATRASADO</v>
      </c>
      <c r="Q128" s="12" t="s">
        <v>919</v>
      </c>
      <c r="R128" s="9"/>
      <c r="S128" s="9" t="str">
        <f t="shared" si="15"/>
        <v/>
      </c>
    </row>
    <row r="129" spans="1:19" x14ac:dyDescent="0.3">
      <c r="A129" s="9">
        <v>125</v>
      </c>
      <c r="B129" s="73" t="s">
        <v>312</v>
      </c>
      <c r="C129" s="75" t="s">
        <v>1172</v>
      </c>
      <c r="D129" s="14" t="s">
        <v>1173</v>
      </c>
      <c r="E129" s="67">
        <v>33621</v>
      </c>
      <c r="F129" s="9">
        <f t="shared" ca="1" si="8"/>
        <v>34</v>
      </c>
      <c r="G129" s="27">
        <v>43935</v>
      </c>
      <c r="H129" s="28" t="s">
        <v>291</v>
      </c>
      <c r="I129" s="59">
        <v>44633</v>
      </c>
      <c r="J129" s="580" t="s">
        <v>275</v>
      </c>
      <c r="K129" s="4" t="str">
        <f t="shared" si="9"/>
        <v>I</v>
      </c>
      <c r="L129" s="7" t="str">
        <f t="shared" si="10"/>
        <v>G8</v>
      </c>
      <c r="M129" s="7" t="str">
        <f t="shared" si="11"/>
        <v/>
      </c>
      <c r="N129" s="62" t="str">
        <f t="shared" si="12"/>
        <v/>
      </c>
      <c r="O129" s="8">
        <f t="shared" si="13"/>
        <v>45729</v>
      </c>
      <c r="P129" s="9" t="str">
        <f t="shared" ca="1" si="14"/>
        <v>ATRASADO</v>
      </c>
      <c r="Q129" s="12" t="s">
        <v>919</v>
      </c>
      <c r="R129" s="9"/>
      <c r="S129" s="9" t="str">
        <f t="shared" si="15"/>
        <v/>
      </c>
    </row>
    <row r="130" spans="1:19" x14ac:dyDescent="0.3">
      <c r="A130" s="9">
        <v>126</v>
      </c>
      <c r="B130" s="73" t="s">
        <v>312</v>
      </c>
      <c r="C130" s="75" t="s">
        <v>1174</v>
      </c>
      <c r="D130" s="14" t="s">
        <v>1175</v>
      </c>
      <c r="E130" s="67">
        <v>33477</v>
      </c>
      <c r="F130" s="9">
        <f t="shared" ca="1" si="8"/>
        <v>35</v>
      </c>
      <c r="G130" s="27">
        <v>43126</v>
      </c>
      <c r="H130" s="28" t="s">
        <v>594</v>
      </c>
      <c r="I130" s="59">
        <v>44643</v>
      </c>
      <c r="J130" s="580" t="s">
        <v>3426</v>
      </c>
      <c r="K130" s="4" t="str">
        <f t="shared" si="9"/>
        <v>I</v>
      </c>
      <c r="L130" s="7" t="str">
        <f t="shared" si="10"/>
        <v>G8</v>
      </c>
      <c r="M130" s="7" t="str">
        <f t="shared" si="11"/>
        <v>J6</v>
      </c>
      <c r="N130" s="62" t="str">
        <f t="shared" si="12"/>
        <v>S</v>
      </c>
      <c r="O130" s="8">
        <f t="shared" si="13"/>
        <v>45008</v>
      </c>
      <c r="P130" s="9" t="str">
        <f t="shared" ca="1" si="14"/>
        <v>ATRASADO</v>
      </c>
      <c r="Q130" s="12" t="s">
        <v>919</v>
      </c>
      <c r="R130" s="9"/>
      <c r="S130" s="9" t="str">
        <f t="shared" si="15"/>
        <v>ACTINOMYCES</v>
      </c>
    </row>
    <row r="131" spans="1:19" x14ac:dyDescent="0.3">
      <c r="A131" s="9">
        <v>127</v>
      </c>
      <c r="B131" s="73" t="s">
        <v>579</v>
      </c>
      <c r="C131" s="75" t="s">
        <v>1176</v>
      </c>
      <c r="D131" s="14" t="s">
        <v>1177</v>
      </c>
      <c r="E131" s="67">
        <v>27890</v>
      </c>
      <c r="F131" s="9">
        <f t="shared" ca="1" si="8"/>
        <v>50</v>
      </c>
      <c r="G131" s="27">
        <v>43633</v>
      </c>
      <c r="H131" s="28" t="s">
        <v>271</v>
      </c>
      <c r="I131" s="59">
        <v>44644</v>
      </c>
      <c r="J131" s="580" t="s">
        <v>275</v>
      </c>
      <c r="K131" s="4" t="str">
        <f t="shared" si="9"/>
        <v>I</v>
      </c>
      <c r="L131" s="7" t="str">
        <f t="shared" si="10"/>
        <v>G8</v>
      </c>
      <c r="M131" s="7" t="str">
        <f t="shared" si="11"/>
        <v/>
      </c>
      <c r="N131" s="62" t="str">
        <f t="shared" si="12"/>
        <v/>
      </c>
      <c r="O131" s="8">
        <f t="shared" si="13"/>
        <v>45740</v>
      </c>
      <c r="P131" s="9" t="str">
        <f t="shared" ca="1" si="14"/>
        <v>ATRASADO</v>
      </c>
      <c r="Q131" s="12" t="s">
        <v>919</v>
      </c>
      <c r="R131" s="9"/>
      <c r="S131" s="9" t="str">
        <f t="shared" si="15"/>
        <v/>
      </c>
    </row>
    <row r="132" spans="1:19" x14ac:dyDescent="0.3">
      <c r="A132" s="9">
        <v>128</v>
      </c>
      <c r="B132" s="73" t="s">
        <v>312</v>
      </c>
      <c r="C132" s="75" t="s">
        <v>1178</v>
      </c>
      <c r="D132" s="14" t="s">
        <v>1179</v>
      </c>
      <c r="E132" s="67">
        <v>31797</v>
      </c>
      <c r="F132" s="9">
        <f t="shared" ca="1" si="8"/>
        <v>39</v>
      </c>
      <c r="G132" s="27">
        <v>44029</v>
      </c>
      <c r="H132" s="28" t="s">
        <v>8</v>
      </c>
      <c r="I132" s="59">
        <v>44634</v>
      </c>
      <c r="J132" s="580" t="s">
        <v>320</v>
      </c>
      <c r="K132" s="4" t="str">
        <f t="shared" si="9"/>
        <v>I</v>
      </c>
      <c r="L132" s="7" t="str">
        <f t="shared" si="10"/>
        <v>G8</v>
      </c>
      <c r="M132" s="7" t="str">
        <f t="shared" si="11"/>
        <v>J1</v>
      </c>
      <c r="N132" s="62" t="str">
        <f t="shared" si="12"/>
        <v>S</v>
      </c>
      <c r="O132" s="8">
        <f t="shared" si="13"/>
        <v>44999</v>
      </c>
      <c r="P132" s="9" t="str">
        <f t="shared" ca="1" si="14"/>
        <v>ATRASADO</v>
      </c>
      <c r="Q132" s="12" t="s">
        <v>919</v>
      </c>
      <c r="R132" s="9"/>
      <c r="S132" s="9" t="str">
        <f t="shared" si="15"/>
        <v/>
      </c>
    </row>
    <row r="133" spans="1:19" x14ac:dyDescent="0.3">
      <c r="A133" s="9">
        <v>129</v>
      </c>
      <c r="B133" s="73" t="s">
        <v>312</v>
      </c>
      <c r="C133" s="75" t="s">
        <v>1180</v>
      </c>
      <c r="D133" s="14" t="s">
        <v>1181</v>
      </c>
      <c r="E133" s="67">
        <v>27257</v>
      </c>
      <c r="F133" s="9">
        <f t="shared" ref="F133:F196" ca="1" si="16">IF(E133="","",DATEDIF(E133,TODAY(),"Y"))</f>
        <v>52</v>
      </c>
      <c r="G133" s="27">
        <v>44008</v>
      </c>
      <c r="H133" s="28" t="s">
        <v>271</v>
      </c>
      <c r="I133" s="59">
        <v>44637</v>
      </c>
      <c r="J133" s="580" t="s">
        <v>275</v>
      </c>
      <c r="K133" s="4" t="str">
        <f t="shared" ref="K133:K196" si="17">IF(OR(LEFT(J133,2)="T1",LEFT(J133,2)="T2",LEFT(J133,2)="A1",LEFT(J133,2)="D0",LEFT(J133,2)="D1",LEFT(J133,2)="D2",LEFT(J133,2)="D3",LEFT(J133,2)="E1",LEFT(J133,2)="E2"),LEFT(J133,2),IF(OR(LEFT(J133,1)="A",LEFT(J133,1)="B",LEFT(J133,1)="C",LEFT(J133,1)="D",LEFT(J133,1)="I",LEFT(J133,1)="E",LEFT(J133,1)="K",LEFT(J133,1)="T"),LEFT(J133,1),LEFT(J133,2)))</f>
        <v>I</v>
      </c>
      <c r="L133" s="7" t="str">
        <f t="shared" ref="L133:L196" si="18">IF(AND(OR(LEFT(J133,2)="A1",LEFT(J133,2)="D0",LEFT(J133,2)="D1",LEFT(J133,2)="D2",LEFT(J133,2)="D3",LEFT(J133,2)="E1",LEFT(J133,2)="E2",LEFT(J133,2)="T1",LEFT(J133,2)="T2"),OR(MID(J133,3,1)="A",MID(J133,3,1)="B",MID(J133,3,1)="C",MID(J133,3,1)="D",MID(J133,3,1)="E",MID(J133,3,1)="I",MID(J133,3,1)="K",MID(J133,3,1)="T",MID(J133,3,1)="N",)),MID(J133,3,1),IF(OR(LEFT(J133,2)="A1",LEFT(J133,2)="D0",LEFT(J133,2)="D1",LEFT(J133,2)="D2",LEFT(J133,2)="D3",LEFT(J133,2)="E1",LEFT(J133,2)="E2",LEFT(J133,2)="T1",LEFT(J133,2)="T2"),MID(J133,3,2),IF(AND(OR(LEFT(J133,1)="A",LEFT(J133,1)="B",LEFT(J133,1)="C",LEFT(J133,1)="D",LEFT(J133,1)="E",LEFT(J133,1)="I",LEFT(J133,1)="K",LEFT(J133,1)="T",LEFT(J133,1)="N"),OR(MID(J133,2,1)="A",MID(J133,2,1)="B",MID(J133,2,1)="C",MID(J133,2,1)="D",MID(J133,2,1)="E",MID(J133,2,1)="I",MID(J133,2,1)="K",MID(J133,2,1)="T",MID(J133,2,1)="N")),MID(J133,2,2),IF(OR(LEFT(J133,1)="A",LEFT(J133,1)="B",LEFT(J133,1)="C",LEFT(J133,1)="D",LEFT(J133,1)="E",LEFT(J133,1)="I",LEFT(J133,1)="K",LEFT(J133,1)="T",LEFT(J133,1)="N"),MID(J133,2,2),MID(J133,3,2)))))</f>
        <v>G8</v>
      </c>
      <c r="M133" s="7" t="str">
        <f t="shared" ref="M133:M196" si="19">IF(AND(OR(LEFT(J133,2)="A1",LEFT(J133,2)="D0",LEFT(J133,2)="D1",LEFT(J133,2)="D2",LEFT(J133,2)="D3",LEFT(J133,2)="E1",LEFT(J133,2)="E2",LEFT(J133,2)="T1",LEFT(J133,2)="T2"),OR(MID(J133,3,1)="A",MID(J133,3,1)="B",MID(J133,3,1)="C",MID(J133,3,1)="D",MID(J133,3,1)="E",MID(J133,3,1)="I",MID(J133,3,1)="K",MID(J133,3,1)="T",MID(J133,3,1)="N",)),MID(J133,4,2),IF(OR(LEFT(J133,2)="A1",LEFT(J133,2)="D0",LEFT(J133,2)="D1",LEFT(J133,2)="D2",LEFT(J133,2)="D3",LEFT(J133,2)="E1",LEFT(J133,2)="E2",LEFT(J133,2)="T1",LEFT(J133,2)="T2"),MID(J133,5,2),IF(AND(OR(LEFT(J133,1)="A",LEFT(J133,1)="B",LEFT(J133,1)="C",LEFT(J133,1)="D",LEFT(J133,1)="E",LEFT(J133,1)="I",LEFT(J133,1)="K",LEFT(J133,1)="T",LEFT(J133,1)="N"),OR(MID(J133,2,1)="A",MID(J133,2,1)="B",MID(J133,2,1)="C",MID(J133,2,1)="D",MID(J133,2,1)="E",MID(J133,2,1)="I",MID(J133,2,1)="K",MID(J133,2,1)="T",MID(J133,2,1)="N")),MID(J133,3,2),IF(OR(LEFT(J133,1)="A",LEFT(J133,1)="B",LEFT(J133,1)="C",LEFT(J133,1)="D",LEFT(J133,1)="E",LEFT(J133,1)="I",LEFT(J133,1)="K",LEFT(J133,1)="T",LEFT(J133,1)="N"),MID(J133,4,2),MID(J133,5,2)))))</f>
        <v/>
      </c>
      <c r="N133" s="62" t="str">
        <f t="shared" ref="N133:N196" si="20">IF(AND(OR(LEFT(J133,1)="I",LEFT(J133,1)="T",LEFT(J133,1)="A",LEFT(J133,1)="B",LEFT(J133,1)="C",LEFT(J133,1)="D",LEFT(J133,1)="E"),OR(MID(J133,2,1)="I",MID(J133,2,1)="T",MID(J133,2,1)="A",MID(J133,2,1)="B",MID(J133,2,1)="C",MID(J133,2,1)="D",MID(J133,2,1)="E")),MID(J133,5,2),IF(OR(LEFT(J133,1)="I",LEFT(J133,1)="T",LEFT(J133,1)="A",LEFT(J133,1)="B",LEFT(J133,1)="C",LEFT(J133,1)="D",LEFT(J133,1)="E"),MID(J133,6,2),MID(J133,7,2)))</f>
        <v/>
      </c>
      <c r="O133" s="8">
        <f t="shared" ref="O133:O196" si="21">IF(I133="","",IF(OR(K133="S",L133="S",M133="S",N133="S",K133="G7",L133="G7",M133="G7",N133="G7",),DATE(YEAR(I133)+1,MONTH(I133),DAY(I133)),IF(OR(K133="O3",L133="O3",M133="O3",N133="O3",K133="ASCUS",L133="ASCUS",M133="ASCUS",N133="ASCUS"),DATE(YEAR(I133),MONTH(I133)+6,DAY(I133)),IF(OR(K133="O5",L133="O5",M133="O5",N133="O5"),DATE(YEAR(I133),MONTH(I133)+3,DAY(I133)),IF(OR(K133="T",L133="T",M133="T",N133="T"),DATE(YEAR(I133),MONTH(I133)+1,DAY(I133)+10),DATE(YEAR(I133)+3,MONTH(I133),DAY(I133)))))))</f>
        <v>45733</v>
      </c>
      <c r="P133" s="9" t="str">
        <f t="shared" ref="P133:P196" ca="1" si="22">IF(O133="","",IF(YEAR(O133)&gt;YEAR(TODAY()),"VIGENTE",IF(AND(YEAR(O133)&gt;=YEAR(TODAY()),MONTH(O133)&gt;=MONTH(TODAY())),"VIGENTE","ATRASADO")))</f>
        <v>ATRASADO</v>
      </c>
      <c r="Q133" s="12" t="s">
        <v>919</v>
      </c>
      <c r="R133" s="9"/>
      <c r="S133" s="9" t="str">
        <f t="shared" si="15"/>
        <v/>
      </c>
    </row>
    <row r="134" spans="1:19" x14ac:dyDescent="0.3">
      <c r="A134" s="9">
        <v>130</v>
      </c>
      <c r="B134" s="73" t="s">
        <v>312</v>
      </c>
      <c r="C134" s="75" t="s">
        <v>1182</v>
      </c>
      <c r="D134" s="14" t="s">
        <v>1183</v>
      </c>
      <c r="E134" s="67">
        <v>32626</v>
      </c>
      <c r="F134" s="9">
        <f t="shared" ca="1" si="16"/>
        <v>37</v>
      </c>
      <c r="G134" s="27">
        <v>42977</v>
      </c>
      <c r="H134" s="28" t="s">
        <v>275</v>
      </c>
      <c r="I134" s="59">
        <v>44680</v>
      </c>
      <c r="J134" s="580" t="s">
        <v>275</v>
      </c>
      <c r="K134" s="4" t="str">
        <f t="shared" si="17"/>
        <v>I</v>
      </c>
      <c r="L134" s="7" t="str">
        <f t="shared" si="18"/>
        <v>G8</v>
      </c>
      <c r="M134" s="7" t="str">
        <f t="shared" si="19"/>
        <v/>
      </c>
      <c r="N134" s="62" t="str">
        <f t="shared" si="20"/>
        <v/>
      </c>
      <c r="O134" s="8">
        <f t="shared" si="21"/>
        <v>45776</v>
      </c>
      <c r="P134" s="9" t="str">
        <f t="shared" ca="1" si="22"/>
        <v>ATRASADO</v>
      </c>
      <c r="Q134" s="12" t="s">
        <v>919</v>
      </c>
      <c r="R134" s="9"/>
      <c r="S134" s="9" t="str">
        <f t="shared" ref="S134:S197" si="23">IF(OR(K134="T1",L134="T1",M134="T1",N134="T1",),"LESION SOSPECHOSA A UPC",IF(OR(K134="T2",L134="T2",M134="T2",N134="T2",),"DERIVAR A UPC POR SEGUNDO ATIPICO",IF(OR(K134="J2",L134="J2",M134="J2",N134="J2",),"TRICOMONAS",IF(OR(K134="J3",L134="J3",M134="J3",N134="J3",),"HERPES SIMPLEX",IF(OR(K134="J5",L134="J5",M134="J5",N134="J5",),"CANDIDA",IF(OR(K134="J6",L134="J6",M134="J6",N134="J6",),"ACTINOMYCES",IF(OR(K134="A1",L134="A1",M134="A1",N134="A1",),"VPH",IF(OR(K134="ASC-H",L134="ASC-H",M134="ASC-H",K134="H2",K134="H3",K134="H4",N134="ASC-H",K134="AGUS",L134="AGUS",L134="H2",L134="H3",L134="H4",M134="AGUS",M134="H2",M134="H3",M134="H4",N134="AGUS",N134="H2",N134="H3",N134="H4"),"MANDAR A UPC / COLPOSCOPIA",IF(OR(K134="A",K134="B",K134="C",K134="D",K134="D0",K134="D1",K134="D2",K134="D3",K134="E",K134="E1",K134="E2",K134="K",K134="T",L134="A",L134="B",L134="C",L134="D",L134="D0",L134="D1",L134="D2",L134="D3",L134="E",L134="E1",L134="E2",L134="K",L134="T",M134="A",M134="B",M134="C",M134="D",M134="D0",M134="D1",M134="D2",M134="D3",M134="E",M134="E1",M134="E2",M134="K",M134="T",N134="A",N134="B",N134="C",N134="D",N134="D0",N134="D1",K134="D2",N134="D2",N134="D3",N134="E",N134="E1",N134="E2",N134="K",N134="T",),"CITAR A UPC","")))))))))</f>
        <v/>
      </c>
    </row>
    <row r="135" spans="1:19" x14ac:dyDescent="0.3">
      <c r="A135" s="9">
        <v>131</v>
      </c>
      <c r="B135" s="73" t="s">
        <v>312</v>
      </c>
      <c r="C135" s="75" t="s">
        <v>1184</v>
      </c>
      <c r="D135" s="14" t="s">
        <v>1185</v>
      </c>
      <c r="E135" s="67">
        <v>23604</v>
      </c>
      <c r="F135" s="9">
        <f t="shared" ca="1" si="16"/>
        <v>62</v>
      </c>
      <c r="G135" s="27">
        <v>43418</v>
      </c>
      <c r="H135" s="28" t="s">
        <v>275</v>
      </c>
      <c r="I135" s="59">
        <v>44658</v>
      </c>
      <c r="J135" s="580" t="s">
        <v>8</v>
      </c>
      <c r="K135" s="4" t="str">
        <f t="shared" si="17"/>
        <v>SI</v>
      </c>
      <c r="L135" s="7" t="str">
        <f t="shared" si="18"/>
        <v xml:space="preserve">N </v>
      </c>
      <c r="M135" s="7" t="str">
        <f t="shared" si="19"/>
        <v>RE</v>
      </c>
      <c r="N135" s="62" t="str">
        <f t="shared" si="20"/>
        <v>GI</v>
      </c>
      <c r="O135" s="8">
        <f t="shared" si="21"/>
        <v>45754</v>
      </c>
      <c r="P135" s="9" t="str">
        <f t="shared" ca="1" si="22"/>
        <v>ATRASADO</v>
      </c>
      <c r="Q135" s="12" t="s">
        <v>919</v>
      </c>
      <c r="R135" s="9"/>
      <c r="S135" s="9" t="str">
        <f t="shared" si="23"/>
        <v/>
      </c>
    </row>
    <row r="136" spans="1:19" x14ac:dyDescent="0.3">
      <c r="A136" s="9">
        <v>132</v>
      </c>
      <c r="B136" s="73" t="s">
        <v>579</v>
      </c>
      <c r="C136" s="75" t="s">
        <v>1186</v>
      </c>
      <c r="D136" s="14" t="s">
        <v>1187</v>
      </c>
      <c r="E136" s="67">
        <v>28206</v>
      </c>
      <c r="F136" s="9">
        <f t="shared" ca="1" si="16"/>
        <v>49</v>
      </c>
      <c r="G136" s="27">
        <v>43562</v>
      </c>
      <c r="H136" s="28" t="s">
        <v>8</v>
      </c>
      <c r="I136" s="59">
        <v>44681</v>
      </c>
      <c r="J136" s="580" t="s">
        <v>275</v>
      </c>
      <c r="K136" s="4" t="str">
        <f t="shared" si="17"/>
        <v>I</v>
      </c>
      <c r="L136" s="7" t="str">
        <f t="shared" si="18"/>
        <v>G8</v>
      </c>
      <c r="M136" s="7" t="str">
        <f t="shared" si="19"/>
        <v/>
      </c>
      <c r="N136" s="62" t="str">
        <f t="shared" si="20"/>
        <v/>
      </c>
      <c r="O136" s="8">
        <f t="shared" si="21"/>
        <v>45777</v>
      </c>
      <c r="P136" s="9" t="str">
        <f t="shared" ca="1" si="22"/>
        <v>ATRASADO</v>
      </c>
      <c r="Q136" s="12" t="s">
        <v>919</v>
      </c>
      <c r="R136" s="9"/>
      <c r="S136" s="9" t="str">
        <f t="shared" si="23"/>
        <v/>
      </c>
    </row>
    <row r="137" spans="1:19" x14ac:dyDescent="0.3">
      <c r="A137" s="9">
        <v>133</v>
      </c>
      <c r="B137" s="73" t="s">
        <v>75</v>
      </c>
      <c r="C137" s="75" t="s">
        <v>1188</v>
      </c>
      <c r="D137" s="14" t="s">
        <v>1189</v>
      </c>
      <c r="E137" s="67">
        <v>25219</v>
      </c>
      <c r="F137" s="9">
        <f t="shared" ca="1" si="16"/>
        <v>57</v>
      </c>
      <c r="G137" s="27">
        <v>43592</v>
      </c>
      <c r="H137" s="28" t="s">
        <v>271</v>
      </c>
      <c r="I137" s="59">
        <v>44669</v>
      </c>
      <c r="J137" s="580" t="s">
        <v>275</v>
      </c>
      <c r="K137" s="4" t="str">
        <f t="shared" si="17"/>
        <v>I</v>
      </c>
      <c r="L137" s="7" t="str">
        <f t="shared" si="18"/>
        <v>G8</v>
      </c>
      <c r="M137" s="7" t="str">
        <f t="shared" si="19"/>
        <v/>
      </c>
      <c r="N137" s="62" t="str">
        <f t="shared" si="20"/>
        <v/>
      </c>
      <c r="O137" s="8">
        <f t="shared" si="21"/>
        <v>45765</v>
      </c>
      <c r="P137" s="9" t="str">
        <f t="shared" ca="1" si="22"/>
        <v>ATRASADO</v>
      </c>
      <c r="Q137" s="12" t="s">
        <v>1190</v>
      </c>
      <c r="R137" s="9"/>
      <c r="S137" s="9" t="str">
        <f t="shared" si="23"/>
        <v/>
      </c>
    </row>
    <row r="138" spans="1:19" x14ac:dyDescent="0.3">
      <c r="A138" s="9">
        <v>134</v>
      </c>
      <c r="B138" s="73" t="s">
        <v>75</v>
      </c>
      <c r="C138" s="75" t="s">
        <v>1191</v>
      </c>
      <c r="D138" s="14" t="s">
        <v>1192</v>
      </c>
      <c r="E138" s="67">
        <v>35370</v>
      </c>
      <c r="F138" s="9">
        <f t="shared" ca="1" si="16"/>
        <v>29</v>
      </c>
      <c r="G138" s="27">
        <v>43247</v>
      </c>
      <c r="H138" s="28" t="s">
        <v>275</v>
      </c>
      <c r="I138" s="59">
        <v>44654</v>
      </c>
      <c r="J138" s="580" t="s">
        <v>327</v>
      </c>
      <c r="K138" s="4" t="str">
        <f t="shared" si="17"/>
        <v>I</v>
      </c>
      <c r="L138" s="7" t="str">
        <f t="shared" si="18"/>
        <v>G7</v>
      </c>
      <c r="M138" s="7" t="str">
        <f t="shared" si="19"/>
        <v>S</v>
      </c>
      <c r="N138" s="62" t="str">
        <f t="shared" si="20"/>
        <v/>
      </c>
      <c r="O138" s="8">
        <f t="shared" si="21"/>
        <v>45019</v>
      </c>
      <c r="P138" s="9" t="str">
        <f t="shared" ca="1" si="22"/>
        <v>ATRASADO</v>
      </c>
      <c r="Q138" s="12" t="s">
        <v>1190</v>
      </c>
      <c r="R138" s="9"/>
      <c r="S138" s="9" t="str">
        <f t="shared" si="23"/>
        <v/>
      </c>
    </row>
    <row r="139" spans="1:19" x14ac:dyDescent="0.3">
      <c r="A139" s="9">
        <v>135</v>
      </c>
      <c r="B139" s="73" t="s">
        <v>75</v>
      </c>
      <c r="C139" s="75" t="s">
        <v>1193</v>
      </c>
      <c r="D139" s="14" t="s">
        <v>1194</v>
      </c>
      <c r="E139" s="67">
        <v>26910</v>
      </c>
      <c r="F139" s="9">
        <f t="shared" ca="1" si="16"/>
        <v>53</v>
      </c>
      <c r="G139" s="27">
        <v>43820</v>
      </c>
      <c r="H139" s="28" t="s">
        <v>275</v>
      </c>
      <c r="I139" s="59">
        <v>44657</v>
      </c>
      <c r="J139" s="580" t="s">
        <v>271</v>
      </c>
      <c r="K139" s="4" t="str">
        <f t="shared" si="17"/>
        <v>I</v>
      </c>
      <c r="L139" s="7" t="str">
        <f t="shared" si="18"/>
        <v>G8</v>
      </c>
      <c r="M139" s="7" t="str">
        <f t="shared" si="19"/>
        <v>J1</v>
      </c>
      <c r="N139" s="62" t="str">
        <f t="shared" si="20"/>
        <v/>
      </c>
      <c r="O139" s="8">
        <f t="shared" si="21"/>
        <v>45753</v>
      </c>
      <c r="P139" s="9" t="str">
        <f t="shared" ca="1" si="22"/>
        <v>ATRASADO</v>
      </c>
      <c r="Q139" s="12" t="s">
        <v>1190</v>
      </c>
      <c r="R139" s="9"/>
      <c r="S139" s="9" t="str">
        <f t="shared" si="23"/>
        <v/>
      </c>
    </row>
    <row r="140" spans="1:19" x14ac:dyDescent="0.3">
      <c r="A140" s="9">
        <v>136</v>
      </c>
      <c r="B140" s="73" t="s">
        <v>75</v>
      </c>
      <c r="C140" s="75" t="s">
        <v>1195</v>
      </c>
      <c r="D140" s="16" t="s">
        <v>1196</v>
      </c>
      <c r="E140" s="67">
        <v>33796</v>
      </c>
      <c r="F140" s="9">
        <f t="shared" ca="1" si="16"/>
        <v>34</v>
      </c>
      <c r="G140" s="27">
        <v>44270</v>
      </c>
      <c r="H140" s="28" t="s">
        <v>271</v>
      </c>
      <c r="I140" s="59">
        <v>44661</v>
      </c>
      <c r="J140" s="580" t="s">
        <v>271</v>
      </c>
      <c r="K140" s="4" t="str">
        <f t="shared" si="17"/>
        <v>I</v>
      </c>
      <c r="L140" s="7" t="str">
        <f t="shared" si="18"/>
        <v>G8</v>
      </c>
      <c r="M140" s="7" t="str">
        <f t="shared" si="19"/>
        <v>J1</v>
      </c>
      <c r="N140" s="62" t="str">
        <f t="shared" si="20"/>
        <v/>
      </c>
      <c r="O140" s="8">
        <f t="shared" si="21"/>
        <v>45757</v>
      </c>
      <c r="P140" s="9" t="str">
        <f t="shared" ca="1" si="22"/>
        <v>ATRASADO</v>
      </c>
      <c r="Q140" s="12" t="s">
        <v>1190</v>
      </c>
      <c r="R140" s="9"/>
      <c r="S140" s="9" t="str">
        <f t="shared" si="23"/>
        <v/>
      </c>
    </row>
    <row r="141" spans="1:19" x14ac:dyDescent="0.3">
      <c r="A141" s="9">
        <v>137</v>
      </c>
      <c r="B141" s="73" t="s">
        <v>56</v>
      </c>
      <c r="C141" s="75" t="s">
        <v>1197</v>
      </c>
      <c r="D141" s="14" t="s">
        <v>1198</v>
      </c>
      <c r="E141" s="67">
        <v>23719</v>
      </c>
      <c r="F141" s="9">
        <f t="shared" ca="1" si="16"/>
        <v>61</v>
      </c>
      <c r="G141" s="27">
        <v>43066</v>
      </c>
      <c r="H141" s="28" t="s">
        <v>291</v>
      </c>
      <c r="I141" s="59">
        <v>44671</v>
      </c>
      <c r="J141" s="580" t="s">
        <v>275</v>
      </c>
      <c r="K141" s="4" t="str">
        <f t="shared" si="17"/>
        <v>I</v>
      </c>
      <c r="L141" s="7" t="str">
        <f t="shared" si="18"/>
        <v>G8</v>
      </c>
      <c r="M141" s="7" t="str">
        <f t="shared" si="19"/>
        <v/>
      </c>
      <c r="N141" s="62" t="str">
        <f t="shared" si="20"/>
        <v/>
      </c>
      <c r="O141" s="8">
        <f t="shared" si="21"/>
        <v>45767</v>
      </c>
      <c r="P141" s="9" t="str">
        <f t="shared" ca="1" si="22"/>
        <v>ATRASADO</v>
      </c>
      <c r="Q141" s="12" t="s">
        <v>1190</v>
      </c>
      <c r="R141" s="9"/>
      <c r="S141" s="9" t="str">
        <f t="shared" si="23"/>
        <v/>
      </c>
    </row>
    <row r="142" spans="1:19" x14ac:dyDescent="0.3">
      <c r="A142" s="9">
        <v>138</v>
      </c>
      <c r="B142" s="73" t="s">
        <v>75</v>
      </c>
      <c r="C142" s="75" t="s">
        <v>1199</v>
      </c>
      <c r="D142" s="14" t="s">
        <v>1200</v>
      </c>
      <c r="E142" s="67">
        <v>24405</v>
      </c>
      <c r="F142" s="9">
        <f t="shared" ca="1" si="16"/>
        <v>59</v>
      </c>
      <c r="G142" s="27">
        <v>43484</v>
      </c>
      <c r="H142" s="28" t="s">
        <v>271</v>
      </c>
      <c r="I142" s="59">
        <v>44661</v>
      </c>
      <c r="J142" s="580" t="s">
        <v>275</v>
      </c>
      <c r="K142" s="4" t="str">
        <f t="shared" si="17"/>
        <v>I</v>
      </c>
      <c r="L142" s="7" t="str">
        <f t="shared" si="18"/>
        <v>G8</v>
      </c>
      <c r="M142" s="7" t="str">
        <f t="shared" si="19"/>
        <v/>
      </c>
      <c r="N142" s="62" t="str">
        <f t="shared" si="20"/>
        <v/>
      </c>
      <c r="O142" s="8">
        <f t="shared" si="21"/>
        <v>45757</v>
      </c>
      <c r="P142" s="9" t="str">
        <f t="shared" ca="1" si="22"/>
        <v>ATRASADO</v>
      </c>
      <c r="Q142" s="12" t="s">
        <v>1190</v>
      </c>
      <c r="R142" s="9"/>
      <c r="S142" s="9" t="str">
        <f t="shared" si="23"/>
        <v/>
      </c>
    </row>
    <row r="143" spans="1:19" x14ac:dyDescent="0.3">
      <c r="A143" s="9">
        <v>139</v>
      </c>
      <c r="B143" s="73" t="s">
        <v>56</v>
      </c>
      <c r="C143" s="75" t="s">
        <v>1201</v>
      </c>
      <c r="D143" s="14" t="s">
        <v>1202</v>
      </c>
      <c r="E143" s="67">
        <v>36339</v>
      </c>
      <c r="F143" s="9">
        <f t="shared" ca="1" si="16"/>
        <v>27</v>
      </c>
      <c r="G143" s="28" t="s">
        <v>16</v>
      </c>
      <c r="H143" s="28" t="s">
        <v>271</v>
      </c>
      <c r="I143" s="59">
        <v>44672</v>
      </c>
      <c r="J143" s="580" t="s">
        <v>271</v>
      </c>
      <c r="K143" s="4" t="str">
        <f t="shared" si="17"/>
        <v>I</v>
      </c>
      <c r="L143" s="7" t="str">
        <f t="shared" si="18"/>
        <v>G8</v>
      </c>
      <c r="M143" s="7" t="str">
        <f t="shared" si="19"/>
        <v>J1</v>
      </c>
      <c r="N143" s="62" t="str">
        <f t="shared" si="20"/>
        <v/>
      </c>
      <c r="O143" s="8">
        <f t="shared" si="21"/>
        <v>45768</v>
      </c>
      <c r="P143" s="9" t="str">
        <f t="shared" ca="1" si="22"/>
        <v>ATRASADO</v>
      </c>
      <c r="Q143" s="12" t="s">
        <v>1190</v>
      </c>
      <c r="R143" s="9"/>
      <c r="S143" s="9" t="str">
        <f t="shared" si="23"/>
        <v/>
      </c>
    </row>
    <row r="144" spans="1:19" x14ac:dyDescent="0.3">
      <c r="A144" s="9">
        <v>140</v>
      </c>
      <c r="B144" s="73" t="s">
        <v>75</v>
      </c>
      <c r="C144" s="75" t="s">
        <v>1203</v>
      </c>
      <c r="D144" s="16" t="s">
        <v>1204</v>
      </c>
      <c r="E144" s="67">
        <v>24497</v>
      </c>
      <c r="F144" s="9">
        <f t="shared" ca="1" si="16"/>
        <v>59</v>
      </c>
      <c r="G144" s="27">
        <v>43592</v>
      </c>
      <c r="H144" s="28" t="s">
        <v>271</v>
      </c>
      <c r="I144" s="59">
        <v>44672</v>
      </c>
      <c r="J144" s="580" t="s">
        <v>327</v>
      </c>
      <c r="K144" s="4" t="str">
        <f t="shared" si="17"/>
        <v>I</v>
      </c>
      <c r="L144" s="7" t="str">
        <f t="shared" si="18"/>
        <v>G7</v>
      </c>
      <c r="M144" s="7" t="str">
        <f t="shared" si="19"/>
        <v>S</v>
      </c>
      <c r="N144" s="62" t="str">
        <f t="shared" si="20"/>
        <v/>
      </c>
      <c r="O144" s="8">
        <f t="shared" si="21"/>
        <v>45037</v>
      </c>
      <c r="P144" s="9" t="str">
        <f t="shared" ca="1" si="22"/>
        <v>ATRASADO</v>
      </c>
      <c r="Q144" s="12" t="s">
        <v>1190</v>
      </c>
      <c r="R144" s="9"/>
      <c r="S144" s="9" t="str">
        <f t="shared" si="23"/>
        <v/>
      </c>
    </row>
    <row r="145" spans="1:19" x14ac:dyDescent="0.3">
      <c r="A145" s="9">
        <v>141</v>
      </c>
      <c r="B145" s="73" t="s">
        <v>45</v>
      </c>
      <c r="C145" s="75" t="s">
        <v>1205</v>
      </c>
      <c r="D145" s="14" t="s">
        <v>1206</v>
      </c>
      <c r="E145" s="67">
        <v>23324</v>
      </c>
      <c r="F145" s="9">
        <f t="shared" ca="1" si="16"/>
        <v>62</v>
      </c>
      <c r="G145" s="27">
        <v>42996</v>
      </c>
      <c r="H145" s="28" t="s">
        <v>275</v>
      </c>
      <c r="I145" s="59">
        <v>44667</v>
      </c>
      <c r="J145" s="580" t="s">
        <v>271</v>
      </c>
      <c r="K145" s="4" t="str">
        <f t="shared" si="17"/>
        <v>I</v>
      </c>
      <c r="L145" s="7" t="str">
        <f t="shared" si="18"/>
        <v>G8</v>
      </c>
      <c r="M145" s="7" t="str">
        <f t="shared" si="19"/>
        <v>J1</v>
      </c>
      <c r="N145" s="62" t="str">
        <f t="shared" si="20"/>
        <v/>
      </c>
      <c r="O145" s="8">
        <f t="shared" si="21"/>
        <v>45763</v>
      </c>
      <c r="P145" s="9" t="str">
        <f t="shared" ca="1" si="22"/>
        <v>ATRASADO</v>
      </c>
      <c r="Q145" s="12" t="s">
        <v>1190</v>
      </c>
      <c r="R145" s="9"/>
      <c r="S145" s="9" t="str">
        <f t="shared" si="23"/>
        <v/>
      </c>
    </row>
    <row r="146" spans="1:19" x14ac:dyDescent="0.3">
      <c r="A146" s="9">
        <v>142</v>
      </c>
      <c r="B146" s="73" t="s">
        <v>75</v>
      </c>
      <c r="C146" s="75" t="s">
        <v>1207</v>
      </c>
      <c r="D146" s="14" t="s">
        <v>1208</v>
      </c>
      <c r="E146" s="67">
        <v>33228</v>
      </c>
      <c r="F146" s="9">
        <f t="shared" ca="1" si="16"/>
        <v>35</v>
      </c>
      <c r="G146" s="27">
        <v>44142</v>
      </c>
      <c r="H146" s="28" t="s">
        <v>275</v>
      </c>
      <c r="I146" s="59">
        <v>44662</v>
      </c>
      <c r="J146" s="580" t="s">
        <v>1661</v>
      </c>
      <c r="K146" s="4" t="str">
        <f t="shared" si="17"/>
        <v>G5</v>
      </c>
      <c r="L146" s="7" t="str">
        <f t="shared" si="18"/>
        <v>O5</v>
      </c>
      <c r="M146" s="7" t="str">
        <f t="shared" si="19"/>
        <v/>
      </c>
      <c r="N146" s="62" t="str">
        <f t="shared" si="20"/>
        <v/>
      </c>
      <c r="O146" s="8">
        <f t="shared" si="21"/>
        <v>44753</v>
      </c>
      <c r="P146" s="9" t="str">
        <f t="shared" ca="1" si="22"/>
        <v>ATRASADO</v>
      </c>
      <c r="Q146" s="12" t="s">
        <v>1190</v>
      </c>
      <c r="R146" s="9"/>
      <c r="S146" s="9" t="str">
        <f t="shared" si="23"/>
        <v/>
      </c>
    </row>
    <row r="147" spans="1:19" x14ac:dyDescent="0.3">
      <c r="A147" s="9">
        <v>143</v>
      </c>
      <c r="B147" s="73" t="s">
        <v>75</v>
      </c>
      <c r="C147" s="75" t="s">
        <v>1209</v>
      </c>
      <c r="D147" s="14" t="s">
        <v>1210</v>
      </c>
      <c r="E147" s="67">
        <v>27926</v>
      </c>
      <c r="F147" s="9">
        <f t="shared" ca="1" si="16"/>
        <v>50</v>
      </c>
      <c r="G147" s="27">
        <v>42994</v>
      </c>
      <c r="H147" s="28" t="s">
        <v>275</v>
      </c>
      <c r="I147" s="59">
        <v>44675</v>
      </c>
      <c r="J147" s="580" t="s">
        <v>275</v>
      </c>
      <c r="K147" s="4" t="str">
        <f t="shared" si="17"/>
        <v>I</v>
      </c>
      <c r="L147" s="7" t="str">
        <f t="shared" si="18"/>
        <v>G8</v>
      </c>
      <c r="M147" s="7" t="str">
        <f t="shared" si="19"/>
        <v/>
      </c>
      <c r="N147" s="62" t="str">
        <f t="shared" si="20"/>
        <v/>
      </c>
      <c r="O147" s="8">
        <f t="shared" si="21"/>
        <v>45771</v>
      </c>
      <c r="P147" s="9" t="str">
        <f t="shared" ca="1" si="22"/>
        <v>ATRASADO</v>
      </c>
      <c r="Q147" s="12" t="s">
        <v>1190</v>
      </c>
      <c r="R147" s="9"/>
      <c r="S147" s="9" t="str">
        <f t="shared" si="23"/>
        <v/>
      </c>
    </row>
    <row r="148" spans="1:19" x14ac:dyDescent="0.3">
      <c r="A148" s="9">
        <v>144</v>
      </c>
      <c r="B148" s="73" t="s">
        <v>75</v>
      </c>
      <c r="C148" s="75" t="s">
        <v>1211</v>
      </c>
      <c r="D148" s="14" t="s">
        <v>1212</v>
      </c>
      <c r="E148" s="67">
        <v>23051</v>
      </c>
      <c r="F148" s="9">
        <f t="shared" ca="1" si="16"/>
        <v>63</v>
      </c>
      <c r="G148" s="27">
        <v>44038</v>
      </c>
      <c r="H148" s="28" t="s">
        <v>8</v>
      </c>
      <c r="I148" s="59">
        <v>44652</v>
      </c>
      <c r="J148" s="580" t="s">
        <v>594</v>
      </c>
      <c r="K148" s="4" t="str">
        <f t="shared" si="17"/>
        <v>I</v>
      </c>
      <c r="L148" s="7" t="str">
        <f t="shared" si="18"/>
        <v>G8</v>
      </c>
      <c r="M148" s="7" t="str">
        <f t="shared" si="19"/>
        <v>J6</v>
      </c>
      <c r="N148" s="62" t="str">
        <f t="shared" si="20"/>
        <v/>
      </c>
      <c r="O148" s="8">
        <f t="shared" si="21"/>
        <v>45748</v>
      </c>
      <c r="P148" s="9" t="str">
        <f t="shared" ca="1" si="22"/>
        <v>ATRASADO</v>
      </c>
      <c r="Q148" s="12" t="s">
        <v>1190</v>
      </c>
      <c r="R148" s="9"/>
      <c r="S148" s="9" t="str">
        <f t="shared" si="23"/>
        <v>ACTINOMYCES</v>
      </c>
    </row>
    <row r="149" spans="1:19" x14ac:dyDescent="0.3">
      <c r="A149" s="9">
        <v>145</v>
      </c>
      <c r="B149" s="73" t="s">
        <v>75</v>
      </c>
      <c r="C149" s="75" t="s">
        <v>1213</v>
      </c>
      <c r="D149" s="16" t="s">
        <v>1214</v>
      </c>
      <c r="E149" s="67">
        <v>26488</v>
      </c>
      <c r="F149" s="9">
        <f t="shared" ca="1" si="16"/>
        <v>54</v>
      </c>
      <c r="G149" s="27">
        <v>43450</v>
      </c>
      <c r="H149" s="28" t="s">
        <v>275</v>
      </c>
      <c r="I149" s="59">
        <v>44669</v>
      </c>
      <c r="J149" s="580" t="s">
        <v>275</v>
      </c>
      <c r="K149" s="4" t="str">
        <f t="shared" si="17"/>
        <v>I</v>
      </c>
      <c r="L149" s="7" t="str">
        <f t="shared" si="18"/>
        <v>G8</v>
      </c>
      <c r="M149" s="7" t="str">
        <f t="shared" si="19"/>
        <v/>
      </c>
      <c r="N149" s="62" t="str">
        <f t="shared" si="20"/>
        <v/>
      </c>
      <c r="O149" s="8">
        <f t="shared" si="21"/>
        <v>45765</v>
      </c>
      <c r="P149" s="9" t="str">
        <f t="shared" ca="1" si="22"/>
        <v>ATRASADO</v>
      </c>
      <c r="Q149" s="12" t="s">
        <v>1190</v>
      </c>
      <c r="R149" s="9"/>
      <c r="S149" s="9" t="str">
        <f t="shared" si="23"/>
        <v/>
      </c>
    </row>
    <row r="150" spans="1:19" x14ac:dyDescent="0.3">
      <c r="A150" s="9">
        <v>146</v>
      </c>
      <c r="B150" s="73" t="s">
        <v>111</v>
      </c>
      <c r="C150" s="75" t="s">
        <v>1215</v>
      </c>
      <c r="D150" s="14" t="s">
        <v>1216</v>
      </c>
      <c r="E150" s="67">
        <v>33470</v>
      </c>
      <c r="F150" s="9">
        <f t="shared" ca="1" si="16"/>
        <v>35</v>
      </c>
      <c r="G150" s="27">
        <v>43837</v>
      </c>
      <c r="H150" s="28" t="s">
        <v>275</v>
      </c>
      <c r="I150" s="59">
        <v>44674</v>
      </c>
      <c r="J150" s="580" t="s">
        <v>275</v>
      </c>
      <c r="K150" s="4" t="str">
        <f t="shared" si="17"/>
        <v>I</v>
      </c>
      <c r="L150" s="7" t="str">
        <f t="shared" si="18"/>
        <v>G8</v>
      </c>
      <c r="M150" s="7" t="str">
        <f t="shared" si="19"/>
        <v/>
      </c>
      <c r="N150" s="62" t="str">
        <f t="shared" si="20"/>
        <v/>
      </c>
      <c r="O150" s="8">
        <f t="shared" si="21"/>
        <v>45770</v>
      </c>
      <c r="P150" s="9" t="str">
        <f t="shared" ca="1" si="22"/>
        <v>ATRASADO</v>
      </c>
      <c r="Q150" s="12" t="s">
        <v>919</v>
      </c>
      <c r="R150" s="9"/>
      <c r="S150" s="9" t="str">
        <f t="shared" si="23"/>
        <v/>
      </c>
    </row>
    <row r="151" spans="1:19" x14ac:dyDescent="0.3">
      <c r="A151" s="9">
        <v>147</v>
      </c>
      <c r="B151" s="73" t="s">
        <v>111</v>
      </c>
      <c r="C151" s="75" t="s">
        <v>1217</v>
      </c>
      <c r="D151" s="14" t="s">
        <v>1218</v>
      </c>
      <c r="E151" s="67">
        <v>26519</v>
      </c>
      <c r="F151" s="9">
        <f t="shared" ca="1" si="16"/>
        <v>54</v>
      </c>
      <c r="G151" s="27">
        <v>43932</v>
      </c>
      <c r="H151" s="28" t="s">
        <v>340</v>
      </c>
      <c r="I151" s="59">
        <v>44655</v>
      </c>
      <c r="J151" s="580" t="s">
        <v>275</v>
      </c>
      <c r="K151" s="4" t="str">
        <f t="shared" si="17"/>
        <v>I</v>
      </c>
      <c r="L151" s="7" t="str">
        <f t="shared" si="18"/>
        <v>G8</v>
      </c>
      <c r="M151" s="7" t="str">
        <f t="shared" si="19"/>
        <v/>
      </c>
      <c r="N151" s="62" t="str">
        <f t="shared" si="20"/>
        <v/>
      </c>
      <c r="O151" s="8">
        <f t="shared" si="21"/>
        <v>45751</v>
      </c>
      <c r="P151" s="9" t="str">
        <f t="shared" ca="1" si="22"/>
        <v>ATRASADO</v>
      </c>
      <c r="Q151" s="12" t="s">
        <v>919</v>
      </c>
      <c r="R151" s="9"/>
      <c r="S151" s="9" t="str">
        <f t="shared" si="23"/>
        <v/>
      </c>
    </row>
    <row r="152" spans="1:19" x14ac:dyDescent="0.3">
      <c r="A152" s="9">
        <v>148</v>
      </c>
      <c r="B152" s="73" t="s">
        <v>346</v>
      </c>
      <c r="C152" s="75" t="s">
        <v>1219</v>
      </c>
      <c r="D152" s="14" t="s">
        <v>1220</v>
      </c>
      <c r="E152" s="67">
        <v>21461</v>
      </c>
      <c r="F152" s="9">
        <f t="shared" ca="1" si="16"/>
        <v>67</v>
      </c>
      <c r="G152" s="27">
        <v>43311</v>
      </c>
      <c r="H152" s="28" t="s">
        <v>271</v>
      </c>
      <c r="I152" s="59">
        <v>44680</v>
      </c>
      <c r="J152" s="580" t="s">
        <v>271</v>
      </c>
      <c r="K152" s="4" t="str">
        <f t="shared" si="17"/>
        <v>I</v>
      </c>
      <c r="L152" s="7" t="str">
        <f t="shared" si="18"/>
        <v>G8</v>
      </c>
      <c r="M152" s="7" t="str">
        <f t="shared" si="19"/>
        <v>J1</v>
      </c>
      <c r="N152" s="62" t="str">
        <f t="shared" si="20"/>
        <v/>
      </c>
      <c r="O152" s="8">
        <f t="shared" si="21"/>
        <v>45776</v>
      </c>
      <c r="P152" s="9" t="str">
        <f t="shared" ca="1" si="22"/>
        <v>ATRASADO</v>
      </c>
      <c r="Q152" s="12" t="s">
        <v>919</v>
      </c>
      <c r="R152" s="9"/>
      <c r="S152" s="9" t="str">
        <f t="shared" si="23"/>
        <v/>
      </c>
    </row>
    <row r="153" spans="1:19" x14ac:dyDescent="0.3">
      <c r="A153" s="9">
        <v>149</v>
      </c>
      <c r="B153" s="73" t="s">
        <v>111</v>
      </c>
      <c r="C153" s="75" t="s">
        <v>1221</v>
      </c>
      <c r="D153" s="14" t="s">
        <v>1222</v>
      </c>
      <c r="E153" s="67">
        <v>25910</v>
      </c>
      <c r="F153" s="9">
        <f t="shared" ca="1" si="16"/>
        <v>55</v>
      </c>
      <c r="G153" s="27">
        <v>44279</v>
      </c>
      <c r="H153" s="28" t="s">
        <v>340</v>
      </c>
      <c r="I153" s="59">
        <v>44672</v>
      </c>
      <c r="J153" s="580" t="s">
        <v>954</v>
      </c>
      <c r="K153" s="4" t="str">
        <f t="shared" si="17"/>
        <v>A1</v>
      </c>
      <c r="L153" s="7" t="str">
        <f t="shared" si="18"/>
        <v>S</v>
      </c>
      <c r="M153" s="7" t="str">
        <f t="shared" si="19"/>
        <v/>
      </c>
      <c r="N153" s="62" t="str">
        <f t="shared" si="20"/>
        <v/>
      </c>
      <c r="O153" s="8">
        <f t="shared" si="21"/>
        <v>45037</v>
      </c>
      <c r="P153" s="9" t="str">
        <f t="shared" ca="1" si="22"/>
        <v>ATRASADO</v>
      </c>
      <c r="Q153" s="12" t="s">
        <v>919</v>
      </c>
      <c r="R153" s="9"/>
      <c r="S153" s="9" t="str">
        <f t="shared" si="23"/>
        <v>VPH</v>
      </c>
    </row>
    <row r="154" spans="1:19" x14ac:dyDescent="0.3">
      <c r="A154" s="9">
        <v>150</v>
      </c>
      <c r="B154" s="73" t="s">
        <v>111</v>
      </c>
      <c r="C154" s="75" t="s">
        <v>1223</v>
      </c>
      <c r="D154" s="14" t="s">
        <v>1224</v>
      </c>
      <c r="E154" s="67">
        <v>27639</v>
      </c>
      <c r="F154" s="9">
        <f t="shared" ca="1" si="16"/>
        <v>51</v>
      </c>
      <c r="G154" s="27">
        <v>44183</v>
      </c>
      <c r="H154" s="28" t="s">
        <v>275</v>
      </c>
      <c r="I154" s="59">
        <v>44679</v>
      </c>
      <c r="J154" s="580" t="s">
        <v>275</v>
      </c>
      <c r="K154" s="4" t="str">
        <f t="shared" si="17"/>
        <v>I</v>
      </c>
      <c r="L154" s="7" t="str">
        <f t="shared" si="18"/>
        <v>G8</v>
      </c>
      <c r="M154" s="7" t="str">
        <f t="shared" si="19"/>
        <v/>
      </c>
      <c r="N154" s="62" t="str">
        <f t="shared" si="20"/>
        <v/>
      </c>
      <c r="O154" s="8">
        <f t="shared" si="21"/>
        <v>45775</v>
      </c>
      <c r="P154" s="9" t="str">
        <f t="shared" ca="1" si="22"/>
        <v>ATRASADO</v>
      </c>
      <c r="Q154" s="12" t="s">
        <v>919</v>
      </c>
      <c r="R154" s="9"/>
      <c r="S154" s="9" t="str">
        <f t="shared" si="23"/>
        <v/>
      </c>
    </row>
    <row r="155" spans="1:19" x14ac:dyDescent="0.3">
      <c r="A155" s="9">
        <v>151</v>
      </c>
      <c r="B155" s="73" t="s">
        <v>111</v>
      </c>
      <c r="C155" s="75" t="s">
        <v>1225</v>
      </c>
      <c r="D155" s="14" t="s">
        <v>1226</v>
      </c>
      <c r="E155" s="67">
        <v>24024</v>
      </c>
      <c r="F155" s="9">
        <f t="shared" ca="1" si="16"/>
        <v>60</v>
      </c>
      <c r="G155" s="27">
        <v>43010</v>
      </c>
      <c r="H155" s="28" t="s">
        <v>275</v>
      </c>
      <c r="I155" s="59">
        <v>44667</v>
      </c>
      <c r="J155" s="580" t="s">
        <v>271</v>
      </c>
      <c r="K155" s="4" t="str">
        <f t="shared" si="17"/>
        <v>I</v>
      </c>
      <c r="L155" s="7" t="str">
        <f t="shared" si="18"/>
        <v>G8</v>
      </c>
      <c r="M155" s="7" t="str">
        <f t="shared" si="19"/>
        <v>J1</v>
      </c>
      <c r="N155" s="62" t="str">
        <f t="shared" si="20"/>
        <v/>
      </c>
      <c r="O155" s="8">
        <f t="shared" si="21"/>
        <v>45763</v>
      </c>
      <c r="P155" s="9" t="str">
        <f t="shared" ca="1" si="22"/>
        <v>ATRASADO</v>
      </c>
      <c r="Q155" s="12" t="s">
        <v>919</v>
      </c>
      <c r="R155" s="9"/>
      <c r="S155" s="9" t="str">
        <f t="shared" si="23"/>
        <v/>
      </c>
    </row>
    <row r="156" spans="1:19" x14ac:dyDescent="0.3">
      <c r="A156" s="9">
        <v>152</v>
      </c>
      <c r="B156" s="73" t="s">
        <v>346</v>
      </c>
      <c r="C156" s="75" t="s">
        <v>1228</v>
      </c>
      <c r="D156" s="14" t="s">
        <v>1229</v>
      </c>
      <c r="E156" s="67">
        <v>28146</v>
      </c>
      <c r="F156" s="9">
        <f t="shared" ca="1" si="16"/>
        <v>49</v>
      </c>
      <c r="G156" s="27">
        <v>43250</v>
      </c>
      <c r="H156" s="28" t="s">
        <v>271</v>
      </c>
      <c r="I156" s="59">
        <v>44676</v>
      </c>
      <c r="J156" s="580" t="s">
        <v>340</v>
      </c>
      <c r="K156" s="4" t="str">
        <f t="shared" si="17"/>
        <v>I</v>
      </c>
      <c r="L156" s="7" t="str">
        <f t="shared" si="18"/>
        <v>G8</v>
      </c>
      <c r="M156" s="7" t="str">
        <f t="shared" si="19"/>
        <v>S</v>
      </c>
      <c r="N156" s="62" t="str">
        <f t="shared" si="20"/>
        <v/>
      </c>
      <c r="O156" s="8">
        <f t="shared" si="21"/>
        <v>45041</v>
      </c>
      <c r="P156" s="9" t="str">
        <f t="shared" ca="1" si="22"/>
        <v>ATRASADO</v>
      </c>
      <c r="Q156" s="12" t="s">
        <v>919</v>
      </c>
      <c r="R156" s="9"/>
      <c r="S156" s="9" t="str">
        <f t="shared" si="23"/>
        <v/>
      </c>
    </row>
    <row r="157" spans="1:19" x14ac:dyDescent="0.3">
      <c r="A157" s="9">
        <v>153</v>
      </c>
      <c r="B157" s="73" t="s">
        <v>111</v>
      </c>
      <c r="C157" s="75" t="s">
        <v>1230</v>
      </c>
      <c r="D157" s="16" t="s">
        <v>1231</v>
      </c>
      <c r="E157" s="67">
        <v>21429</v>
      </c>
      <c r="F157" s="9">
        <f t="shared" ca="1" si="16"/>
        <v>68</v>
      </c>
      <c r="G157" s="27">
        <v>43521</v>
      </c>
      <c r="H157" s="28" t="s">
        <v>271</v>
      </c>
      <c r="I157" s="59">
        <v>44668</v>
      </c>
      <c r="J157" s="580" t="s">
        <v>271</v>
      </c>
      <c r="K157" s="4" t="str">
        <f t="shared" si="17"/>
        <v>I</v>
      </c>
      <c r="L157" s="7" t="str">
        <f t="shared" si="18"/>
        <v>G8</v>
      </c>
      <c r="M157" s="7" t="str">
        <f t="shared" si="19"/>
        <v>J1</v>
      </c>
      <c r="N157" s="62" t="str">
        <f t="shared" si="20"/>
        <v/>
      </c>
      <c r="O157" s="8">
        <f t="shared" si="21"/>
        <v>45764</v>
      </c>
      <c r="P157" s="9" t="str">
        <f t="shared" ca="1" si="22"/>
        <v>ATRASADO</v>
      </c>
      <c r="Q157" s="12" t="s">
        <v>919</v>
      </c>
      <c r="R157" s="9"/>
      <c r="S157" s="9" t="str">
        <f t="shared" si="23"/>
        <v/>
      </c>
    </row>
    <row r="158" spans="1:19" x14ac:dyDescent="0.3">
      <c r="A158" s="9">
        <v>154</v>
      </c>
      <c r="B158" s="73" t="s">
        <v>346</v>
      </c>
      <c r="C158" s="75" t="s">
        <v>1232</v>
      </c>
      <c r="D158" s="17" t="s">
        <v>1233</v>
      </c>
      <c r="E158" s="26">
        <v>33164</v>
      </c>
      <c r="F158" s="9">
        <f t="shared" ca="1" si="16"/>
        <v>35</v>
      </c>
      <c r="G158" s="27">
        <v>44137</v>
      </c>
      <c r="H158" s="28" t="s">
        <v>8</v>
      </c>
      <c r="I158" s="59">
        <v>44642</v>
      </c>
      <c r="J158" s="580" t="s">
        <v>8</v>
      </c>
      <c r="K158" s="4" t="str">
        <f t="shared" si="17"/>
        <v>SI</v>
      </c>
      <c r="L158" s="7" t="str">
        <f t="shared" si="18"/>
        <v xml:space="preserve">N </v>
      </c>
      <c r="M158" s="7" t="str">
        <f t="shared" si="19"/>
        <v>RE</v>
      </c>
      <c r="N158" s="62" t="str">
        <f t="shared" si="20"/>
        <v>GI</v>
      </c>
      <c r="O158" s="8">
        <f t="shared" si="21"/>
        <v>45738</v>
      </c>
      <c r="P158" s="9" t="str">
        <f t="shared" ca="1" si="22"/>
        <v>ATRASADO</v>
      </c>
      <c r="Q158" s="12" t="s">
        <v>919</v>
      </c>
      <c r="R158" s="9"/>
      <c r="S158" s="9" t="str">
        <f t="shared" si="23"/>
        <v/>
      </c>
    </row>
    <row r="159" spans="1:19" x14ac:dyDescent="0.3">
      <c r="A159" s="9">
        <v>155</v>
      </c>
      <c r="B159" s="73" t="s">
        <v>270</v>
      </c>
      <c r="C159" s="75" t="s">
        <v>1234</v>
      </c>
      <c r="D159" s="17" t="s">
        <v>1235</v>
      </c>
      <c r="E159" s="26">
        <v>27800</v>
      </c>
      <c r="F159" s="9">
        <f t="shared" ca="1" si="16"/>
        <v>50</v>
      </c>
      <c r="G159" s="27">
        <v>42936</v>
      </c>
      <c r="H159" s="28" t="s">
        <v>854</v>
      </c>
      <c r="I159" s="59">
        <v>44628</v>
      </c>
      <c r="J159" s="580" t="s">
        <v>271</v>
      </c>
      <c r="K159" s="4" t="str">
        <f t="shared" si="17"/>
        <v>I</v>
      </c>
      <c r="L159" s="7" t="str">
        <f t="shared" si="18"/>
        <v>G8</v>
      </c>
      <c r="M159" s="7" t="str">
        <f t="shared" si="19"/>
        <v>J1</v>
      </c>
      <c r="N159" s="62" t="str">
        <f t="shared" si="20"/>
        <v/>
      </c>
      <c r="O159" s="8">
        <f t="shared" si="21"/>
        <v>45724</v>
      </c>
      <c r="P159" s="9" t="str">
        <f t="shared" ca="1" si="22"/>
        <v>ATRASADO</v>
      </c>
      <c r="Q159" s="12" t="s">
        <v>919</v>
      </c>
      <c r="R159" s="9"/>
      <c r="S159" s="9" t="str">
        <f t="shared" si="23"/>
        <v/>
      </c>
    </row>
    <row r="160" spans="1:19" x14ac:dyDescent="0.3">
      <c r="A160" s="9">
        <v>156</v>
      </c>
      <c r="B160" s="73" t="s">
        <v>111</v>
      </c>
      <c r="C160" s="75" t="s">
        <v>1236</v>
      </c>
      <c r="D160" s="17" t="s">
        <v>1237</v>
      </c>
      <c r="E160" s="26">
        <v>27366</v>
      </c>
      <c r="F160" s="9">
        <f t="shared" ca="1" si="16"/>
        <v>51</v>
      </c>
      <c r="G160" s="27">
        <v>43233</v>
      </c>
      <c r="H160" s="28" t="s">
        <v>271</v>
      </c>
      <c r="I160" s="59">
        <v>44646</v>
      </c>
      <c r="J160" s="580" t="s">
        <v>271</v>
      </c>
      <c r="K160" s="4" t="str">
        <f t="shared" si="17"/>
        <v>I</v>
      </c>
      <c r="L160" s="7" t="str">
        <f t="shared" si="18"/>
        <v>G8</v>
      </c>
      <c r="M160" s="7" t="str">
        <f t="shared" si="19"/>
        <v>J1</v>
      </c>
      <c r="N160" s="62" t="str">
        <f t="shared" si="20"/>
        <v/>
      </c>
      <c r="O160" s="8">
        <f t="shared" si="21"/>
        <v>45742</v>
      </c>
      <c r="P160" s="9" t="str">
        <f t="shared" ca="1" si="22"/>
        <v>ATRASADO</v>
      </c>
      <c r="Q160" s="12" t="s">
        <v>919</v>
      </c>
      <c r="R160" s="9"/>
      <c r="S160" s="9" t="str">
        <f t="shared" si="23"/>
        <v/>
      </c>
    </row>
    <row r="161" spans="1:19" x14ac:dyDescent="0.3">
      <c r="A161" s="9">
        <v>157</v>
      </c>
      <c r="B161" s="73" t="s">
        <v>346</v>
      </c>
      <c r="C161" s="75" t="s">
        <v>1238</v>
      </c>
      <c r="D161" s="17" t="s">
        <v>1239</v>
      </c>
      <c r="E161" s="26">
        <v>25795</v>
      </c>
      <c r="F161" s="9">
        <f t="shared" ca="1" si="16"/>
        <v>56</v>
      </c>
      <c r="G161" s="27">
        <v>43089</v>
      </c>
      <c r="H161" s="28" t="s">
        <v>275</v>
      </c>
      <c r="I161" s="59">
        <v>44630</v>
      </c>
      <c r="J161" s="580" t="s">
        <v>594</v>
      </c>
      <c r="K161" s="4" t="str">
        <f t="shared" si="17"/>
        <v>I</v>
      </c>
      <c r="L161" s="7" t="str">
        <f t="shared" si="18"/>
        <v>G8</v>
      </c>
      <c r="M161" s="7" t="str">
        <f t="shared" si="19"/>
        <v>J6</v>
      </c>
      <c r="N161" s="62" t="str">
        <f t="shared" si="20"/>
        <v/>
      </c>
      <c r="O161" s="8">
        <f t="shared" si="21"/>
        <v>45726</v>
      </c>
      <c r="P161" s="9" t="str">
        <f t="shared" ca="1" si="22"/>
        <v>ATRASADO</v>
      </c>
      <c r="Q161" s="12" t="s">
        <v>919</v>
      </c>
      <c r="R161" s="9"/>
      <c r="S161" s="9" t="str">
        <f t="shared" si="23"/>
        <v>ACTINOMYCES</v>
      </c>
    </row>
    <row r="162" spans="1:19" x14ac:dyDescent="0.3">
      <c r="A162" s="9">
        <v>158</v>
      </c>
      <c r="B162" s="73" t="s">
        <v>111</v>
      </c>
      <c r="C162" s="75" t="s">
        <v>1240</v>
      </c>
      <c r="D162" s="17" t="s">
        <v>1241</v>
      </c>
      <c r="E162" s="26">
        <v>31880</v>
      </c>
      <c r="F162" s="9">
        <f t="shared" ca="1" si="16"/>
        <v>39</v>
      </c>
      <c r="G162" s="27">
        <v>44047</v>
      </c>
      <c r="H162" s="28" t="s">
        <v>340</v>
      </c>
      <c r="I162" s="59">
        <v>44650</v>
      </c>
      <c r="J162" s="580" t="s">
        <v>8</v>
      </c>
      <c r="K162" s="4" t="str">
        <f t="shared" si="17"/>
        <v>SI</v>
      </c>
      <c r="L162" s="7" t="str">
        <f t="shared" si="18"/>
        <v xml:space="preserve">N </v>
      </c>
      <c r="M162" s="7" t="str">
        <f t="shared" si="19"/>
        <v>RE</v>
      </c>
      <c r="N162" s="62" t="str">
        <f t="shared" si="20"/>
        <v>GI</v>
      </c>
      <c r="O162" s="8">
        <f t="shared" si="21"/>
        <v>45746</v>
      </c>
      <c r="P162" s="9" t="str">
        <f t="shared" ca="1" si="22"/>
        <v>ATRASADO</v>
      </c>
      <c r="Q162" s="12" t="s">
        <v>919</v>
      </c>
      <c r="R162" s="9"/>
      <c r="S162" s="9" t="str">
        <f t="shared" si="23"/>
        <v/>
      </c>
    </row>
    <row r="163" spans="1:19" x14ac:dyDescent="0.3">
      <c r="A163" s="9">
        <v>159</v>
      </c>
      <c r="B163" s="73" t="s">
        <v>111</v>
      </c>
      <c r="C163" s="75" t="s">
        <v>1242</v>
      </c>
      <c r="D163" s="17" t="s">
        <v>1243</v>
      </c>
      <c r="E163" s="26">
        <v>29001</v>
      </c>
      <c r="F163" s="9">
        <f t="shared" ca="1" si="16"/>
        <v>47</v>
      </c>
      <c r="G163" s="27">
        <v>43054</v>
      </c>
      <c r="H163" s="28" t="s">
        <v>275</v>
      </c>
      <c r="I163" s="59">
        <v>44635</v>
      </c>
      <c r="J163" s="580" t="s">
        <v>8</v>
      </c>
      <c r="K163" s="4" t="str">
        <f t="shared" si="17"/>
        <v>SI</v>
      </c>
      <c r="L163" s="7" t="str">
        <f t="shared" si="18"/>
        <v xml:space="preserve">N </v>
      </c>
      <c r="M163" s="7" t="str">
        <f t="shared" si="19"/>
        <v>RE</v>
      </c>
      <c r="N163" s="62" t="str">
        <f t="shared" si="20"/>
        <v>GI</v>
      </c>
      <c r="O163" s="8">
        <f t="shared" si="21"/>
        <v>45731</v>
      </c>
      <c r="P163" s="9" t="str">
        <f t="shared" ca="1" si="22"/>
        <v>ATRASADO</v>
      </c>
      <c r="Q163" s="12" t="s">
        <v>919</v>
      </c>
      <c r="R163" s="9"/>
      <c r="S163" s="9" t="str">
        <f t="shared" si="23"/>
        <v/>
      </c>
    </row>
    <row r="164" spans="1:19" x14ac:dyDescent="0.3">
      <c r="A164" s="9">
        <v>160</v>
      </c>
      <c r="B164" s="73" t="s">
        <v>346</v>
      </c>
      <c r="C164" s="75" t="s">
        <v>1244</v>
      </c>
      <c r="D164" s="17" t="s">
        <v>1245</v>
      </c>
      <c r="E164" s="26">
        <v>33216</v>
      </c>
      <c r="F164" s="9">
        <f t="shared" ca="1" si="16"/>
        <v>35</v>
      </c>
      <c r="G164" s="27">
        <v>43385</v>
      </c>
      <c r="H164" s="28" t="s">
        <v>275</v>
      </c>
      <c r="I164" s="59">
        <v>44628</v>
      </c>
      <c r="J164" s="580" t="s">
        <v>271</v>
      </c>
      <c r="K164" s="4" t="str">
        <f t="shared" si="17"/>
        <v>I</v>
      </c>
      <c r="L164" s="7" t="str">
        <f t="shared" si="18"/>
        <v>G8</v>
      </c>
      <c r="M164" s="7" t="str">
        <f t="shared" si="19"/>
        <v>J1</v>
      </c>
      <c r="N164" s="62" t="str">
        <f t="shared" si="20"/>
        <v/>
      </c>
      <c r="O164" s="8">
        <f t="shared" si="21"/>
        <v>45724</v>
      </c>
      <c r="P164" s="9" t="str">
        <f t="shared" ca="1" si="22"/>
        <v>ATRASADO</v>
      </c>
      <c r="Q164" s="12" t="s">
        <v>919</v>
      </c>
      <c r="R164" s="9"/>
      <c r="S164" s="9" t="str">
        <f t="shared" si="23"/>
        <v/>
      </c>
    </row>
    <row r="165" spans="1:19" x14ac:dyDescent="0.3">
      <c r="A165" s="9">
        <v>161</v>
      </c>
      <c r="B165" s="73" t="s">
        <v>45</v>
      </c>
      <c r="C165" s="75" t="s">
        <v>1246</v>
      </c>
      <c r="D165" s="14" t="s">
        <v>1247</v>
      </c>
      <c r="E165" s="67">
        <v>30341</v>
      </c>
      <c r="F165" s="9">
        <f t="shared" ca="1" si="16"/>
        <v>43</v>
      </c>
      <c r="G165" s="28" t="s">
        <v>8</v>
      </c>
      <c r="H165" s="28" t="s">
        <v>327</v>
      </c>
      <c r="I165" s="59">
        <v>44651</v>
      </c>
      <c r="J165" s="580" t="s">
        <v>327</v>
      </c>
      <c r="K165" s="4" t="str">
        <f t="shared" si="17"/>
        <v>I</v>
      </c>
      <c r="L165" s="7" t="str">
        <f t="shared" si="18"/>
        <v>G7</v>
      </c>
      <c r="M165" s="7" t="str">
        <f t="shared" si="19"/>
        <v>S</v>
      </c>
      <c r="N165" s="62" t="str">
        <f t="shared" si="20"/>
        <v/>
      </c>
      <c r="O165" s="8">
        <f t="shared" si="21"/>
        <v>45016</v>
      </c>
      <c r="P165" s="9" t="str">
        <f t="shared" ca="1" si="22"/>
        <v>ATRASADO</v>
      </c>
      <c r="Q165" s="12" t="s">
        <v>919</v>
      </c>
      <c r="R165" s="9"/>
      <c r="S165" s="9" t="str">
        <f t="shared" si="23"/>
        <v/>
      </c>
    </row>
    <row r="166" spans="1:19" x14ac:dyDescent="0.3">
      <c r="A166" s="9">
        <v>162</v>
      </c>
      <c r="B166" s="73" t="s">
        <v>312</v>
      </c>
      <c r="C166" s="75" t="s">
        <v>1248</v>
      </c>
      <c r="D166" s="17" t="s">
        <v>1249</v>
      </c>
      <c r="E166" s="26">
        <v>33515</v>
      </c>
      <c r="F166" s="9">
        <f t="shared" ca="1" si="16"/>
        <v>34</v>
      </c>
      <c r="G166" s="27">
        <v>44246</v>
      </c>
      <c r="H166" s="28" t="s">
        <v>327</v>
      </c>
      <c r="I166" s="59">
        <v>44639</v>
      </c>
      <c r="J166" s="580" t="s">
        <v>275</v>
      </c>
      <c r="K166" s="4" t="str">
        <f t="shared" si="17"/>
        <v>I</v>
      </c>
      <c r="L166" s="7" t="str">
        <f t="shared" si="18"/>
        <v>G8</v>
      </c>
      <c r="M166" s="7" t="str">
        <f t="shared" si="19"/>
        <v/>
      </c>
      <c r="N166" s="62" t="str">
        <f t="shared" si="20"/>
        <v/>
      </c>
      <c r="O166" s="8">
        <f t="shared" si="21"/>
        <v>45735</v>
      </c>
      <c r="P166" s="9" t="str">
        <f t="shared" ca="1" si="22"/>
        <v>ATRASADO</v>
      </c>
      <c r="Q166" s="12" t="s">
        <v>919</v>
      </c>
      <c r="R166" s="9"/>
      <c r="S166" s="9" t="str">
        <f t="shared" si="23"/>
        <v/>
      </c>
    </row>
    <row r="167" spans="1:19" x14ac:dyDescent="0.3">
      <c r="A167" s="9">
        <v>163</v>
      </c>
      <c r="B167" s="73" t="s">
        <v>270</v>
      </c>
      <c r="C167" s="75" t="s">
        <v>1250</v>
      </c>
      <c r="D167" s="17" t="s">
        <v>1251</v>
      </c>
      <c r="E167" s="26">
        <v>26826</v>
      </c>
      <c r="F167" s="9">
        <f t="shared" ca="1" si="16"/>
        <v>53</v>
      </c>
      <c r="G167" s="27">
        <v>43053</v>
      </c>
      <c r="H167" s="28" t="s">
        <v>271</v>
      </c>
      <c r="I167" s="59">
        <v>44621</v>
      </c>
      <c r="J167" s="580" t="s">
        <v>275</v>
      </c>
      <c r="K167" s="4" t="str">
        <f t="shared" si="17"/>
        <v>I</v>
      </c>
      <c r="L167" s="7" t="str">
        <f t="shared" si="18"/>
        <v>G8</v>
      </c>
      <c r="M167" s="7" t="str">
        <f t="shared" si="19"/>
        <v/>
      </c>
      <c r="N167" s="62" t="str">
        <f t="shared" si="20"/>
        <v/>
      </c>
      <c r="O167" s="8">
        <f t="shared" si="21"/>
        <v>45717</v>
      </c>
      <c r="P167" s="9" t="str">
        <f t="shared" ca="1" si="22"/>
        <v>ATRASADO</v>
      </c>
      <c r="Q167" s="12" t="s">
        <v>919</v>
      </c>
      <c r="R167" s="9"/>
      <c r="S167" s="9" t="str">
        <f t="shared" si="23"/>
        <v/>
      </c>
    </row>
    <row r="168" spans="1:19" x14ac:dyDescent="0.3">
      <c r="A168" s="9">
        <v>164</v>
      </c>
      <c r="B168" s="73" t="s">
        <v>111</v>
      </c>
      <c r="C168" s="75" t="s">
        <v>1252</v>
      </c>
      <c r="D168" s="17" t="s">
        <v>1253</v>
      </c>
      <c r="E168" s="26">
        <v>33917</v>
      </c>
      <c r="F168" s="9">
        <f t="shared" ca="1" si="16"/>
        <v>33</v>
      </c>
      <c r="G168" s="27">
        <v>43602</v>
      </c>
      <c r="H168" s="28" t="s">
        <v>8</v>
      </c>
      <c r="I168" s="59">
        <v>44637</v>
      </c>
      <c r="J168" s="580" t="s">
        <v>271</v>
      </c>
      <c r="K168" s="4" t="str">
        <f t="shared" si="17"/>
        <v>I</v>
      </c>
      <c r="L168" s="7" t="str">
        <f t="shared" si="18"/>
        <v>G8</v>
      </c>
      <c r="M168" s="7" t="str">
        <f t="shared" si="19"/>
        <v>J1</v>
      </c>
      <c r="N168" s="62" t="str">
        <f t="shared" si="20"/>
        <v/>
      </c>
      <c r="O168" s="8">
        <f t="shared" si="21"/>
        <v>45733</v>
      </c>
      <c r="P168" s="9" t="str">
        <f t="shared" ca="1" si="22"/>
        <v>ATRASADO</v>
      </c>
      <c r="Q168" s="12" t="s">
        <v>919</v>
      </c>
      <c r="R168" s="9"/>
      <c r="S168" s="9" t="str">
        <f t="shared" si="23"/>
        <v/>
      </c>
    </row>
    <row r="169" spans="1:19" x14ac:dyDescent="0.3">
      <c r="A169" s="9">
        <v>165</v>
      </c>
      <c r="B169" s="73" t="s">
        <v>75</v>
      </c>
      <c r="C169" s="75" t="s">
        <v>1254</v>
      </c>
      <c r="D169" s="17" t="s">
        <v>1255</v>
      </c>
      <c r="E169" s="26">
        <v>24305</v>
      </c>
      <c r="F169" s="9">
        <f t="shared" ca="1" si="16"/>
        <v>60</v>
      </c>
      <c r="G169" s="27">
        <v>43701</v>
      </c>
      <c r="H169" s="28" t="s">
        <v>8</v>
      </c>
      <c r="I169" s="59">
        <v>44621</v>
      </c>
      <c r="J169" s="580" t="s">
        <v>275</v>
      </c>
      <c r="K169" s="4" t="str">
        <f t="shared" si="17"/>
        <v>I</v>
      </c>
      <c r="L169" s="7" t="str">
        <f t="shared" si="18"/>
        <v>G8</v>
      </c>
      <c r="M169" s="7" t="str">
        <f t="shared" si="19"/>
        <v/>
      </c>
      <c r="N169" s="62" t="str">
        <f t="shared" si="20"/>
        <v/>
      </c>
      <c r="O169" s="8">
        <f t="shared" si="21"/>
        <v>45717</v>
      </c>
      <c r="P169" s="9" t="str">
        <f t="shared" ca="1" si="22"/>
        <v>ATRASADO</v>
      </c>
      <c r="Q169" s="12" t="s">
        <v>919</v>
      </c>
      <c r="R169" s="9"/>
      <c r="S169" s="9" t="str">
        <f t="shared" si="23"/>
        <v/>
      </c>
    </row>
    <row r="170" spans="1:19" x14ac:dyDescent="0.3">
      <c r="A170" s="9">
        <v>166</v>
      </c>
      <c r="B170" s="73" t="s">
        <v>579</v>
      </c>
      <c r="C170" s="75" t="s">
        <v>1256</v>
      </c>
      <c r="D170" s="17" t="s">
        <v>1257</v>
      </c>
      <c r="E170" s="26">
        <v>32190</v>
      </c>
      <c r="F170" s="9">
        <f t="shared" ca="1" si="16"/>
        <v>38</v>
      </c>
      <c r="G170" s="27">
        <v>43599</v>
      </c>
      <c r="H170" s="28" t="s">
        <v>271</v>
      </c>
      <c r="I170" s="59">
        <v>44674</v>
      </c>
      <c r="J170" s="580" t="s">
        <v>8</v>
      </c>
      <c r="K170" s="4" t="str">
        <f t="shared" si="17"/>
        <v>SI</v>
      </c>
      <c r="L170" s="7" t="str">
        <f t="shared" si="18"/>
        <v xml:space="preserve">N </v>
      </c>
      <c r="M170" s="7" t="str">
        <f t="shared" si="19"/>
        <v>RE</v>
      </c>
      <c r="N170" s="62" t="str">
        <f t="shared" si="20"/>
        <v>GI</v>
      </c>
      <c r="O170" s="8">
        <f t="shared" si="21"/>
        <v>45770</v>
      </c>
      <c r="P170" s="9" t="str">
        <f t="shared" ca="1" si="22"/>
        <v>ATRASADO</v>
      </c>
      <c r="Q170" s="12" t="s">
        <v>919</v>
      </c>
      <c r="R170" s="9"/>
      <c r="S170" s="9" t="str">
        <f t="shared" si="23"/>
        <v/>
      </c>
    </row>
    <row r="171" spans="1:19" x14ac:dyDescent="0.3">
      <c r="A171" s="9">
        <v>167</v>
      </c>
      <c r="B171" s="73" t="s">
        <v>78</v>
      </c>
      <c r="C171" s="75" t="s">
        <v>1258</v>
      </c>
      <c r="D171" s="14" t="s">
        <v>1259</v>
      </c>
      <c r="E171" s="67">
        <v>36337</v>
      </c>
      <c r="F171" s="9">
        <f t="shared" ca="1" si="16"/>
        <v>27</v>
      </c>
      <c r="G171" s="27">
        <v>43824</v>
      </c>
      <c r="H171" s="28" t="s">
        <v>271</v>
      </c>
      <c r="I171" s="59">
        <v>44673</v>
      </c>
      <c r="J171" s="580" t="s">
        <v>275</v>
      </c>
      <c r="K171" s="4" t="str">
        <f t="shared" si="17"/>
        <v>I</v>
      </c>
      <c r="L171" s="7" t="str">
        <f t="shared" si="18"/>
        <v>G8</v>
      </c>
      <c r="M171" s="7" t="str">
        <f t="shared" si="19"/>
        <v/>
      </c>
      <c r="N171" s="62" t="str">
        <f t="shared" si="20"/>
        <v/>
      </c>
      <c r="O171" s="8">
        <f t="shared" si="21"/>
        <v>45769</v>
      </c>
      <c r="P171" s="9" t="str">
        <f t="shared" ca="1" si="22"/>
        <v>ATRASADO</v>
      </c>
      <c r="Q171" s="12" t="s">
        <v>919</v>
      </c>
      <c r="R171" s="9"/>
      <c r="S171" s="9" t="str">
        <f t="shared" si="23"/>
        <v/>
      </c>
    </row>
    <row r="172" spans="1:19" x14ac:dyDescent="0.3">
      <c r="A172" s="9">
        <v>168</v>
      </c>
      <c r="B172" s="73" t="s">
        <v>78</v>
      </c>
      <c r="C172" s="75" t="s">
        <v>1260</v>
      </c>
      <c r="D172" s="17" t="s">
        <v>1261</v>
      </c>
      <c r="E172" s="26">
        <v>32797</v>
      </c>
      <c r="F172" s="9">
        <f t="shared" ca="1" si="16"/>
        <v>36</v>
      </c>
      <c r="G172" s="27">
        <v>43289</v>
      </c>
      <c r="H172" s="28" t="s">
        <v>275</v>
      </c>
      <c r="I172" s="59">
        <v>44668</v>
      </c>
      <c r="J172" s="580" t="s">
        <v>275</v>
      </c>
      <c r="K172" s="4" t="str">
        <f t="shared" si="17"/>
        <v>I</v>
      </c>
      <c r="L172" s="7" t="str">
        <f t="shared" si="18"/>
        <v>G8</v>
      </c>
      <c r="M172" s="7" t="str">
        <f t="shared" si="19"/>
        <v/>
      </c>
      <c r="N172" s="62" t="str">
        <f t="shared" si="20"/>
        <v/>
      </c>
      <c r="O172" s="8">
        <f t="shared" si="21"/>
        <v>45764</v>
      </c>
      <c r="P172" s="9" t="str">
        <f t="shared" ca="1" si="22"/>
        <v>ATRASADO</v>
      </c>
      <c r="Q172" s="12" t="s">
        <v>919</v>
      </c>
      <c r="R172" s="9"/>
      <c r="S172" s="9" t="str">
        <f t="shared" si="23"/>
        <v/>
      </c>
    </row>
    <row r="173" spans="1:19" x14ac:dyDescent="0.3">
      <c r="A173" s="9">
        <v>169</v>
      </c>
      <c r="B173" s="73" t="s">
        <v>78</v>
      </c>
      <c r="C173" s="75" t="s">
        <v>1262</v>
      </c>
      <c r="D173" s="17" t="s">
        <v>1263</v>
      </c>
      <c r="E173" s="26">
        <v>29909</v>
      </c>
      <c r="F173" s="9">
        <f t="shared" ca="1" si="16"/>
        <v>44</v>
      </c>
      <c r="G173" s="28" t="s">
        <v>8</v>
      </c>
      <c r="H173" s="28" t="s">
        <v>271</v>
      </c>
      <c r="I173" s="59">
        <v>44677</v>
      </c>
      <c r="J173" s="580" t="s">
        <v>8</v>
      </c>
      <c r="K173" s="4" t="str">
        <f t="shared" si="17"/>
        <v>SI</v>
      </c>
      <c r="L173" s="7" t="str">
        <f t="shared" si="18"/>
        <v xml:space="preserve">N </v>
      </c>
      <c r="M173" s="7" t="str">
        <f t="shared" si="19"/>
        <v>RE</v>
      </c>
      <c r="N173" s="62" t="str">
        <f t="shared" si="20"/>
        <v>GI</v>
      </c>
      <c r="O173" s="8">
        <f t="shared" si="21"/>
        <v>45773</v>
      </c>
      <c r="P173" s="9" t="str">
        <f t="shared" ca="1" si="22"/>
        <v>ATRASADO</v>
      </c>
      <c r="Q173" s="12" t="s">
        <v>919</v>
      </c>
      <c r="R173" s="9"/>
      <c r="S173" s="9" t="str">
        <f t="shared" si="23"/>
        <v/>
      </c>
    </row>
    <row r="174" spans="1:19" x14ac:dyDescent="0.3">
      <c r="A174" s="9">
        <v>170</v>
      </c>
      <c r="B174" s="73" t="s">
        <v>78</v>
      </c>
      <c r="C174" s="75" t="s">
        <v>1264</v>
      </c>
      <c r="D174" s="17" t="s">
        <v>1265</v>
      </c>
      <c r="E174" s="26">
        <v>35273</v>
      </c>
      <c r="F174" s="9">
        <f t="shared" ca="1" si="16"/>
        <v>30</v>
      </c>
      <c r="G174" s="27">
        <v>43624</v>
      </c>
      <c r="H174" s="28" t="s">
        <v>275</v>
      </c>
      <c r="I174" s="59">
        <v>44662</v>
      </c>
      <c r="J174" s="580" t="s">
        <v>8</v>
      </c>
      <c r="K174" s="4" t="str">
        <f t="shared" si="17"/>
        <v>SI</v>
      </c>
      <c r="L174" s="7" t="str">
        <f t="shared" si="18"/>
        <v xml:space="preserve">N </v>
      </c>
      <c r="M174" s="7" t="str">
        <f t="shared" si="19"/>
        <v>RE</v>
      </c>
      <c r="N174" s="62" t="str">
        <f t="shared" si="20"/>
        <v>GI</v>
      </c>
      <c r="O174" s="8">
        <f t="shared" si="21"/>
        <v>45758</v>
      </c>
      <c r="P174" s="9" t="str">
        <f t="shared" ca="1" si="22"/>
        <v>ATRASADO</v>
      </c>
      <c r="Q174" s="12" t="s">
        <v>919</v>
      </c>
      <c r="R174" s="9"/>
      <c r="S174" s="9" t="str">
        <f t="shared" si="23"/>
        <v/>
      </c>
    </row>
    <row r="175" spans="1:19" x14ac:dyDescent="0.3">
      <c r="A175" s="9">
        <v>171</v>
      </c>
      <c r="B175" s="73" t="s">
        <v>78</v>
      </c>
      <c r="C175" s="75" t="s">
        <v>1266</v>
      </c>
      <c r="D175" s="17" t="s">
        <v>1267</v>
      </c>
      <c r="E175" s="26">
        <v>29984</v>
      </c>
      <c r="F175" s="9">
        <f t="shared" ca="1" si="16"/>
        <v>44</v>
      </c>
      <c r="G175" s="27">
        <v>44018</v>
      </c>
      <c r="H175" s="28" t="s">
        <v>275</v>
      </c>
      <c r="I175" s="59">
        <v>44677</v>
      </c>
      <c r="J175" s="580" t="s">
        <v>275</v>
      </c>
      <c r="K175" s="4" t="str">
        <f t="shared" si="17"/>
        <v>I</v>
      </c>
      <c r="L175" s="7" t="str">
        <f t="shared" si="18"/>
        <v>G8</v>
      </c>
      <c r="M175" s="7" t="str">
        <f t="shared" si="19"/>
        <v/>
      </c>
      <c r="N175" s="62" t="str">
        <f t="shared" si="20"/>
        <v/>
      </c>
      <c r="O175" s="8">
        <f t="shared" si="21"/>
        <v>45773</v>
      </c>
      <c r="P175" s="9" t="str">
        <f t="shared" ca="1" si="22"/>
        <v>ATRASADO</v>
      </c>
      <c r="Q175" s="12" t="s">
        <v>919</v>
      </c>
      <c r="R175" s="9"/>
      <c r="S175" s="9" t="str">
        <f t="shared" si="23"/>
        <v/>
      </c>
    </row>
    <row r="176" spans="1:19" x14ac:dyDescent="0.3">
      <c r="A176" s="9">
        <v>172</v>
      </c>
      <c r="B176" s="73" t="s">
        <v>78</v>
      </c>
      <c r="C176" s="75" t="s">
        <v>1268</v>
      </c>
      <c r="D176" s="17" t="s">
        <v>1269</v>
      </c>
      <c r="E176" s="26">
        <v>32844</v>
      </c>
      <c r="F176" s="9">
        <f t="shared" ca="1" si="16"/>
        <v>36</v>
      </c>
      <c r="G176" s="27">
        <v>44131</v>
      </c>
      <c r="H176" s="28" t="s">
        <v>8</v>
      </c>
      <c r="I176" s="59">
        <v>44671</v>
      </c>
      <c r="J176" s="580" t="s">
        <v>320</v>
      </c>
      <c r="K176" s="4" t="str">
        <f t="shared" si="17"/>
        <v>I</v>
      </c>
      <c r="L176" s="7" t="str">
        <f t="shared" si="18"/>
        <v>G8</v>
      </c>
      <c r="M176" s="7" t="str">
        <f t="shared" si="19"/>
        <v>J1</v>
      </c>
      <c r="N176" s="62" t="str">
        <f t="shared" si="20"/>
        <v>S</v>
      </c>
      <c r="O176" s="8">
        <f t="shared" si="21"/>
        <v>45036</v>
      </c>
      <c r="P176" s="9" t="str">
        <f t="shared" ca="1" si="22"/>
        <v>ATRASADO</v>
      </c>
      <c r="Q176" s="12" t="s">
        <v>919</v>
      </c>
      <c r="R176" s="9"/>
      <c r="S176" s="9" t="str">
        <f t="shared" si="23"/>
        <v/>
      </c>
    </row>
    <row r="177" spans="1:19" x14ac:dyDescent="0.3">
      <c r="A177" s="9">
        <v>173</v>
      </c>
      <c r="B177" s="73" t="s">
        <v>78</v>
      </c>
      <c r="C177" s="75" t="s">
        <v>1270</v>
      </c>
      <c r="D177" s="17" t="s">
        <v>1271</v>
      </c>
      <c r="E177" s="26">
        <v>30155</v>
      </c>
      <c r="F177" s="9">
        <f t="shared" ca="1" si="16"/>
        <v>44</v>
      </c>
      <c r="G177" s="27">
        <v>43009</v>
      </c>
      <c r="H177" s="28" t="s">
        <v>271</v>
      </c>
      <c r="I177" s="59">
        <v>44677</v>
      </c>
      <c r="J177" s="580" t="s">
        <v>275</v>
      </c>
      <c r="K177" s="4" t="str">
        <f t="shared" si="17"/>
        <v>I</v>
      </c>
      <c r="L177" s="7" t="str">
        <f t="shared" si="18"/>
        <v>G8</v>
      </c>
      <c r="M177" s="7" t="str">
        <f t="shared" si="19"/>
        <v/>
      </c>
      <c r="N177" s="62" t="str">
        <f t="shared" si="20"/>
        <v/>
      </c>
      <c r="O177" s="8">
        <f t="shared" si="21"/>
        <v>45773</v>
      </c>
      <c r="P177" s="9" t="str">
        <f t="shared" ca="1" si="22"/>
        <v>ATRASADO</v>
      </c>
      <c r="Q177" s="12" t="s">
        <v>919</v>
      </c>
      <c r="R177" s="9"/>
      <c r="S177" s="9" t="str">
        <f t="shared" si="23"/>
        <v/>
      </c>
    </row>
    <row r="178" spans="1:19" x14ac:dyDescent="0.3">
      <c r="A178" s="9">
        <v>174</v>
      </c>
      <c r="B178" s="73" t="s">
        <v>78</v>
      </c>
      <c r="C178" s="75" t="s">
        <v>1272</v>
      </c>
      <c r="D178" s="17" t="s">
        <v>1273</v>
      </c>
      <c r="E178" s="26">
        <v>34456</v>
      </c>
      <c r="F178" s="9">
        <f t="shared" ca="1" si="16"/>
        <v>32</v>
      </c>
      <c r="G178" s="27">
        <v>43549</v>
      </c>
      <c r="H178" s="28" t="s">
        <v>275</v>
      </c>
      <c r="I178" s="59">
        <v>44678</v>
      </c>
      <c r="J178" s="580" t="s">
        <v>275</v>
      </c>
      <c r="K178" s="4" t="str">
        <f t="shared" si="17"/>
        <v>I</v>
      </c>
      <c r="L178" s="7" t="str">
        <f t="shared" si="18"/>
        <v>G8</v>
      </c>
      <c r="M178" s="7" t="str">
        <f t="shared" si="19"/>
        <v/>
      </c>
      <c r="N178" s="62" t="str">
        <f t="shared" si="20"/>
        <v/>
      </c>
      <c r="O178" s="8">
        <f t="shared" si="21"/>
        <v>45774</v>
      </c>
      <c r="P178" s="9" t="str">
        <f t="shared" ca="1" si="22"/>
        <v>ATRASADO</v>
      </c>
      <c r="Q178" s="12" t="s">
        <v>919</v>
      </c>
      <c r="R178" s="9"/>
      <c r="S178" s="9" t="str">
        <f t="shared" si="23"/>
        <v/>
      </c>
    </row>
    <row r="179" spans="1:19" x14ac:dyDescent="0.3">
      <c r="A179" s="9">
        <v>175</v>
      </c>
      <c r="B179" s="73" t="s">
        <v>78</v>
      </c>
      <c r="C179" s="75" t="s">
        <v>1275</v>
      </c>
      <c r="D179" s="17" t="s">
        <v>1276</v>
      </c>
      <c r="E179" s="26">
        <v>26775</v>
      </c>
      <c r="F179" s="9">
        <f t="shared" ca="1" si="16"/>
        <v>53</v>
      </c>
      <c r="G179" s="27">
        <v>42993</v>
      </c>
      <c r="H179" s="28" t="s">
        <v>275</v>
      </c>
      <c r="I179" s="59">
        <v>44654</v>
      </c>
      <c r="J179" s="580" t="s">
        <v>271</v>
      </c>
      <c r="K179" s="4" t="str">
        <f t="shared" si="17"/>
        <v>I</v>
      </c>
      <c r="L179" s="7" t="str">
        <f t="shared" si="18"/>
        <v>G8</v>
      </c>
      <c r="M179" s="7" t="str">
        <f t="shared" si="19"/>
        <v>J1</v>
      </c>
      <c r="N179" s="62" t="str">
        <f t="shared" si="20"/>
        <v/>
      </c>
      <c r="O179" s="8">
        <f t="shared" si="21"/>
        <v>45750</v>
      </c>
      <c r="P179" s="9" t="str">
        <f t="shared" ca="1" si="22"/>
        <v>ATRASADO</v>
      </c>
      <c r="Q179" s="12" t="s">
        <v>919</v>
      </c>
      <c r="R179" s="9"/>
      <c r="S179" s="9" t="str">
        <f t="shared" si="23"/>
        <v/>
      </c>
    </row>
    <row r="180" spans="1:19" x14ac:dyDescent="0.3">
      <c r="A180" s="9">
        <v>176</v>
      </c>
      <c r="B180" s="73" t="s">
        <v>78</v>
      </c>
      <c r="C180" s="75" t="s">
        <v>1277</v>
      </c>
      <c r="D180" s="17" t="s">
        <v>1278</v>
      </c>
      <c r="E180" s="26">
        <v>28477</v>
      </c>
      <c r="F180" s="9">
        <f t="shared" ca="1" si="16"/>
        <v>48</v>
      </c>
      <c r="G180" s="27">
        <v>43874</v>
      </c>
      <c r="H180" s="28" t="s">
        <v>271</v>
      </c>
      <c r="I180" s="59">
        <v>44662</v>
      </c>
      <c r="J180" s="580" t="s">
        <v>271</v>
      </c>
      <c r="K180" s="4" t="str">
        <f t="shared" si="17"/>
        <v>I</v>
      </c>
      <c r="L180" s="7" t="str">
        <f t="shared" si="18"/>
        <v>G8</v>
      </c>
      <c r="M180" s="7" t="str">
        <f t="shared" si="19"/>
        <v>J1</v>
      </c>
      <c r="N180" s="62" t="str">
        <f t="shared" si="20"/>
        <v/>
      </c>
      <c r="O180" s="8">
        <f t="shared" si="21"/>
        <v>45758</v>
      </c>
      <c r="P180" s="9" t="str">
        <f t="shared" ca="1" si="22"/>
        <v>ATRASADO</v>
      </c>
      <c r="Q180" s="12" t="s">
        <v>919</v>
      </c>
      <c r="R180" s="9"/>
      <c r="S180" s="9" t="str">
        <f t="shared" si="23"/>
        <v/>
      </c>
    </row>
    <row r="181" spans="1:19" x14ac:dyDescent="0.3">
      <c r="A181" s="9">
        <v>177</v>
      </c>
      <c r="B181" s="73" t="s">
        <v>78</v>
      </c>
      <c r="C181" s="75" t="s">
        <v>1279</v>
      </c>
      <c r="D181" s="17" t="s">
        <v>1280</v>
      </c>
      <c r="E181" s="26">
        <v>22395</v>
      </c>
      <c r="F181" s="9">
        <f t="shared" ca="1" si="16"/>
        <v>65</v>
      </c>
      <c r="G181" s="28" t="s">
        <v>8</v>
      </c>
      <c r="H181" s="28" t="s">
        <v>271</v>
      </c>
      <c r="I181" s="59">
        <v>44661</v>
      </c>
      <c r="J181" s="580" t="s">
        <v>275</v>
      </c>
      <c r="K181" s="4" t="str">
        <f t="shared" si="17"/>
        <v>I</v>
      </c>
      <c r="L181" s="7" t="str">
        <f t="shared" si="18"/>
        <v>G8</v>
      </c>
      <c r="M181" s="7" t="str">
        <f t="shared" si="19"/>
        <v/>
      </c>
      <c r="N181" s="62" t="str">
        <f t="shared" si="20"/>
        <v/>
      </c>
      <c r="O181" s="8">
        <f t="shared" si="21"/>
        <v>45757</v>
      </c>
      <c r="P181" s="9" t="str">
        <f t="shared" ca="1" si="22"/>
        <v>ATRASADO</v>
      </c>
      <c r="Q181" s="12" t="s">
        <v>919</v>
      </c>
      <c r="R181" s="9"/>
      <c r="S181" s="9" t="str">
        <f t="shared" si="23"/>
        <v/>
      </c>
    </row>
    <row r="182" spans="1:19" x14ac:dyDescent="0.3">
      <c r="A182" s="9">
        <v>178</v>
      </c>
      <c r="B182" s="73" t="s">
        <v>78</v>
      </c>
      <c r="C182" s="75" t="s">
        <v>1281</v>
      </c>
      <c r="D182" s="17" t="s">
        <v>1282</v>
      </c>
      <c r="E182" s="26">
        <v>29145</v>
      </c>
      <c r="F182" s="9">
        <f t="shared" ca="1" si="16"/>
        <v>46</v>
      </c>
      <c r="G182" s="28" t="s">
        <v>8</v>
      </c>
      <c r="H182" s="28" t="s">
        <v>275</v>
      </c>
      <c r="I182" s="59">
        <v>44669</v>
      </c>
      <c r="J182" s="580" t="s">
        <v>275</v>
      </c>
      <c r="K182" s="4" t="str">
        <f t="shared" si="17"/>
        <v>I</v>
      </c>
      <c r="L182" s="7" t="str">
        <f t="shared" si="18"/>
        <v>G8</v>
      </c>
      <c r="M182" s="7" t="str">
        <f t="shared" si="19"/>
        <v/>
      </c>
      <c r="N182" s="62" t="str">
        <f t="shared" si="20"/>
        <v/>
      </c>
      <c r="O182" s="8">
        <f t="shared" si="21"/>
        <v>45765</v>
      </c>
      <c r="P182" s="9" t="str">
        <f t="shared" ca="1" si="22"/>
        <v>ATRASADO</v>
      </c>
      <c r="Q182" s="12" t="s">
        <v>919</v>
      </c>
      <c r="R182" s="9"/>
      <c r="S182" s="9" t="str">
        <f t="shared" si="23"/>
        <v/>
      </c>
    </row>
    <row r="183" spans="1:19" x14ac:dyDescent="0.3">
      <c r="A183" s="9">
        <v>179</v>
      </c>
      <c r="B183" s="73" t="s">
        <v>78</v>
      </c>
      <c r="C183" s="75" t="s">
        <v>1283</v>
      </c>
      <c r="D183" s="17" t="s">
        <v>1284</v>
      </c>
      <c r="E183" s="26">
        <v>30584</v>
      </c>
      <c r="F183" s="9">
        <f t="shared" ca="1" si="16"/>
        <v>43</v>
      </c>
      <c r="G183" s="28" t="s">
        <v>8</v>
      </c>
      <c r="H183" s="9" t="s">
        <v>275</v>
      </c>
      <c r="I183" s="59">
        <v>44659</v>
      </c>
      <c r="J183" s="580" t="s">
        <v>275</v>
      </c>
      <c r="K183" s="4" t="str">
        <f t="shared" si="17"/>
        <v>I</v>
      </c>
      <c r="L183" s="7" t="str">
        <f t="shared" si="18"/>
        <v>G8</v>
      </c>
      <c r="M183" s="7" t="str">
        <f t="shared" si="19"/>
        <v/>
      </c>
      <c r="N183" s="62" t="str">
        <f t="shared" si="20"/>
        <v/>
      </c>
      <c r="O183" s="8">
        <f t="shared" si="21"/>
        <v>45755</v>
      </c>
      <c r="P183" s="9" t="str">
        <f t="shared" ca="1" si="22"/>
        <v>ATRASADO</v>
      </c>
      <c r="Q183" s="12" t="s">
        <v>919</v>
      </c>
      <c r="R183" s="9"/>
      <c r="S183" s="9" t="str">
        <f t="shared" si="23"/>
        <v/>
      </c>
    </row>
    <row r="184" spans="1:19" x14ac:dyDescent="0.3">
      <c r="A184" s="9">
        <v>180</v>
      </c>
      <c r="B184" s="73" t="s">
        <v>78</v>
      </c>
      <c r="C184" s="75" t="s">
        <v>1285</v>
      </c>
      <c r="D184" s="17" t="s">
        <v>1286</v>
      </c>
      <c r="E184" s="26">
        <v>35224</v>
      </c>
      <c r="F184" s="9">
        <f t="shared" ca="1" si="16"/>
        <v>30</v>
      </c>
      <c r="G184" s="8">
        <v>44234</v>
      </c>
      <c r="H184" s="9" t="s">
        <v>275</v>
      </c>
      <c r="I184" s="59">
        <v>44672</v>
      </c>
      <c r="J184" s="580" t="s">
        <v>275</v>
      </c>
      <c r="K184" s="4" t="str">
        <f t="shared" si="17"/>
        <v>I</v>
      </c>
      <c r="L184" s="7" t="str">
        <f t="shared" si="18"/>
        <v>G8</v>
      </c>
      <c r="M184" s="7" t="str">
        <f t="shared" si="19"/>
        <v/>
      </c>
      <c r="N184" s="62" t="str">
        <f t="shared" si="20"/>
        <v/>
      </c>
      <c r="O184" s="8">
        <f t="shared" si="21"/>
        <v>45768</v>
      </c>
      <c r="P184" s="9" t="str">
        <f t="shared" ca="1" si="22"/>
        <v>ATRASADO</v>
      </c>
      <c r="Q184" s="12" t="s">
        <v>919</v>
      </c>
      <c r="R184" s="9"/>
      <c r="S184" s="9" t="str">
        <f t="shared" si="23"/>
        <v/>
      </c>
    </row>
    <row r="185" spans="1:19" x14ac:dyDescent="0.3">
      <c r="A185" s="9">
        <v>181</v>
      </c>
      <c r="B185" s="73" t="s">
        <v>78</v>
      </c>
      <c r="C185" s="75" t="s">
        <v>1287</v>
      </c>
      <c r="D185" s="17" t="s">
        <v>1288</v>
      </c>
      <c r="E185" s="26">
        <v>26718</v>
      </c>
      <c r="F185" s="9">
        <f t="shared" ca="1" si="16"/>
        <v>53</v>
      </c>
      <c r="G185" s="8">
        <v>43955</v>
      </c>
      <c r="H185" s="9" t="s">
        <v>271</v>
      </c>
      <c r="I185" s="59">
        <v>44680</v>
      </c>
      <c r="J185" s="580" t="s">
        <v>275</v>
      </c>
      <c r="K185" s="4" t="str">
        <f t="shared" si="17"/>
        <v>I</v>
      </c>
      <c r="L185" s="7" t="str">
        <f t="shared" si="18"/>
        <v>G8</v>
      </c>
      <c r="M185" s="7" t="str">
        <f t="shared" si="19"/>
        <v/>
      </c>
      <c r="N185" s="62" t="str">
        <f t="shared" si="20"/>
        <v/>
      </c>
      <c r="O185" s="8">
        <f t="shared" si="21"/>
        <v>45776</v>
      </c>
      <c r="P185" s="9" t="str">
        <f t="shared" ca="1" si="22"/>
        <v>ATRASADO</v>
      </c>
      <c r="Q185" s="12" t="s">
        <v>919</v>
      </c>
      <c r="R185" s="9"/>
      <c r="S185" s="9" t="str">
        <f t="shared" si="23"/>
        <v/>
      </c>
    </row>
    <row r="186" spans="1:19" x14ac:dyDescent="0.3">
      <c r="A186" s="9">
        <v>182</v>
      </c>
      <c r="B186" s="73" t="s">
        <v>78</v>
      </c>
      <c r="C186" s="75" t="s">
        <v>1289</v>
      </c>
      <c r="D186" s="17" t="s">
        <v>1290</v>
      </c>
      <c r="E186" s="26">
        <v>27691</v>
      </c>
      <c r="F186" s="9">
        <f t="shared" ca="1" si="16"/>
        <v>50</v>
      </c>
      <c r="G186" s="8">
        <v>43990</v>
      </c>
      <c r="H186" s="9" t="s">
        <v>275</v>
      </c>
      <c r="I186" s="59">
        <v>44679</v>
      </c>
      <c r="J186" s="580" t="s">
        <v>8</v>
      </c>
      <c r="K186" s="4" t="str">
        <f t="shared" si="17"/>
        <v>SI</v>
      </c>
      <c r="L186" s="7" t="str">
        <f t="shared" si="18"/>
        <v xml:space="preserve">N </v>
      </c>
      <c r="M186" s="7" t="str">
        <f t="shared" si="19"/>
        <v>RE</v>
      </c>
      <c r="N186" s="62" t="str">
        <f t="shared" si="20"/>
        <v>GI</v>
      </c>
      <c r="O186" s="8">
        <f t="shared" si="21"/>
        <v>45775</v>
      </c>
      <c r="P186" s="9" t="str">
        <f t="shared" ca="1" si="22"/>
        <v>ATRASADO</v>
      </c>
      <c r="Q186" s="12" t="s">
        <v>919</v>
      </c>
      <c r="R186" s="9"/>
      <c r="S186" s="9" t="str">
        <f t="shared" si="23"/>
        <v/>
      </c>
    </row>
    <row r="187" spans="1:19" x14ac:dyDescent="0.3">
      <c r="A187" s="9">
        <v>183</v>
      </c>
      <c r="B187" s="73" t="s">
        <v>78</v>
      </c>
      <c r="C187" s="75" t="s">
        <v>1291</v>
      </c>
      <c r="D187" s="17" t="s">
        <v>1292</v>
      </c>
      <c r="E187" s="26">
        <v>24303</v>
      </c>
      <c r="F187" s="9">
        <f t="shared" ca="1" si="16"/>
        <v>60</v>
      </c>
      <c r="G187" s="8">
        <v>44133</v>
      </c>
      <c r="H187" s="9" t="s">
        <v>275</v>
      </c>
      <c r="I187" s="59">
        <v>44661</v>
      </c>
      <c r="J187" s="580" t="s">
        <v>275</v>
      </c>
      <c r="K187" s="4" t="str">
        <f t="shared" si="17"/>
        <v>I</v>
      </c>
      <c r="L187" s="7" t="str">
        <f t="shared" si="18"/>
        <v>G8</v>
      </c>
      <c r="M187" s="7" t="str">
        <f t="shared" si="19"/>
        <v/>
      </c>
      <c r="N187" s="62" t="str">
        <f t="shared" si="20"/>
        <v/>
      </c>
      <c r="O187" s="8">
        <f t="shared" si="21"/>
        <v>45757</v>
      </c>
      <c r="P187" s="9" t="str">
        <f t="shared" ca="1" si="22"/>
        <v>ATRASADO</v>
      </c>
      <c r="Q187" s="12" t="s">
        <v>919</v>
      </c>
      <c r="R187" s="9"/>
      <c r="S187" s="9" t="str">
        <f t="shared" si="23"/>
        <v/>
      </c>
    </row>
    <row r="188" spans="1:19" x14ac:dyDescent="0.3">
      <c r="A188" s="9">
        <v>184</v>
      </c>
      <c r="B188" s="73" t="s">
        <v>78</v>
      </c>
      <c r="C188" s="75" t="s">
        <v>1293</v>
      </c>
      <c r="D188" s="17" t="s">
        <v>1294</v>
      </c>
      <c r="E188" s="26">
        <v>26751</v>
      </c>
      <c r="F188" s="9">
        <f t="shared" ca="1" si="16"/>
        <v>53</v>
      </c>
      <c r="G188" s="9" t="s">
        <v>8</v>
      </c>
      <c r="H188" s="9" t="s">
        <v>275</v>
      </c>
      <c r="I188" s="59">
        <v>44661</v>
      </c>
      <c r="J188" s="580" t="s">
        <v>275</v>
      </c>
      <c r="K188" s="4" t="str">
        <f t="shared" si="17"/>
        <v>I</v>
      </c>
      <c r="L188" s="7" t="str">
        <f t="shared" si="18"/>
        <v>G8</v>
      </c>
      <c r="M188" s="7" t="str">
        <f t="shared" si="19"/>
        <v/>
      </c>
      <c r="N188" s="62" t="str">
        <f t="shared" si="20"/>
        <v/>
      </c>
      <c r="O188" s="8">
        <f t="shared" si="21"/>
        <v>45757</v>
      </c>
      <c r="P188" s="9" t="str">
        <f t="shared" ca="1" si="22"/>
        <v>ATRASADO</v>
      </c>
      <c r="Q188" s="12" t="s">
        <v>919</v>
      </c>
      <c r="R188" s="9"/>
      <c r="S188" s="9" t="str">
        <f t="shared" si="23"/>
        <v/>
      </c>
    </row>
    <row r="189" spans="1:19" x14ac:dyDescent="0.3">
      <c r="A189" s="9">
        <v>185</v>
      </c>
      <c r="B189" s="73" t="s">
        <v>78</v>
      </c>
      <c r="C189" s="75" t="s">
        <v>1295</v>
      </c>
      <c r="D189" s="17" t="s">
        <v>1296</v>
      </c>
      <c r="E189" s="26">
        <v>27477</v>
      </c>
      <c r="F189" s="9">
        <f t="shared" ca="1" si="16"/>
        <v>51</v>
      </c>
      <c r="G189" s="8">
        <v>43460</v>
      </c>
      <c r="H189" s="9" t="s">
        <v>275</v>
      </c>
      <c r="I189" s="59">
        <v>44654</v>
      </c>
      <c r="J189" s="580" t="s">
        <v>275</v>
      </c>
      <c r="K189" s="4" t="str">
        <f t="shared" si="17"/>
        <v>I</v>
      </c>
      <c r="L189" s="7" t="str">
        <f t="shared" si="18"/>
        <v>G8</v>
      </c>
      <c r="M189" s="7" t="str">
        <f t="shared" si="19"/>
        <v/>
      </c>
      <c r="N189" s="62" t="str">
        <f t="shared" si="20"/>
        <v/>
      </c>
      <c r="O189" s="8">
        <f t="shared" si="21"/>
        <v>45750</v>
      </c>
      <c r="P189" s="9" t="str">
        <f t="shared" ca="1" si="22"/>
        <v>ATRASADO</v>
      </c>
      <c r="Q189" s="12" t="s">
        <v>919</v>
      </c>
      <c r="R189" s="9"/>
      <c r="S189" s="9" t="str">
        <f t="shared" si="23"/>
        <v/>
      </c>
    </row>
    <row r="190" spans="1:19" x14ac:dyDescent="0.3">
      <c r="A190" s="9">
        <v>186</v>
      </c>
      <c r="B190" s="73" t="s">
        <v>78</v>
      </c>
      <c r="C190" s="75" t="s">
        <v>1297</v>
      </c>
      <c r="D190" s="17" t="s">
        <v>1298</v>
      </c>
      <c r="E190" s="26">
        <v>21290</v>
      </c>
      <c r="F190" s="9">
        <f t="shared" ca="1" si="16"/>
        <v>68</v>
      </c>
      <c r="G190" s="8">
        <v>43337</v>
      </c>
      <c r="H190" s="9" t="s">
        <v>271</v>
      </c>
      <c r="I190" s="59">
        <v>44668</v>
      </c>
      <c r="J190" s="580" t="s">
        <v>275</v>
      </c>
      <c r="K190" s="4" t="str">
        <f t="shared" si="17"/>
        <v>I</v>
      </c>
      <c r="L190" s="7" t="str">
        <f t="shared" si="18"/>
        <v>G8</v>
      </c>
      <c r="M190" s="7" t="str">
        <f t="shared" si="19"/>
        <v/>
      </c>
      <c r="N190" s="62" t="str">
        <f t="shared" si="20"/>
        <v/>
      </c>
      <c r="O190" s="8">
        <f t="shared" si="21"/>
        <v>45764</v>
      </c>
      <c r="P190" s="9" t="str">
        <f t="shared" ca="1" si="22"/>
        <v>ATRASADO</v>
      </c>
      <c r="Q190" s="12" t="s">
        <v>919</v>
      </c>
      <c r="R190" s="9"/>
      <c r="S190" s="9" t="str">
        <f t="shared" si="23"/>
        <v/>
      </c>
    </row>
    <row r="191" spans="1:19" x14ac:dyDescent="0.3">
      <c r="A191" s="9">
        <v>187</v>
      </c>
      <c r="B191" s="73" t="s">
        <v>78</v>
      </c>
      <c r="C191" s="75" t="s">
        <v>1299</v>
      </c>
      <c r="D191" s="17" t="s">
        <v>1300</v>
      </c>
      <c r="E191" s="26">
        <v>28991</v>
      </c>
      <c r="F191" s="9">
        <f t="shared" ca="1" si="16"/>
        <v>47</v>
      </c>
      <c r="G191" s="8">
        <v>43540</v>
      </c>
      <c r="H191" s="9" t="s">
        <v>8</v>
      </c>
      <c r="I191" s="59">
        <v>44672</v>
      </c>
      <c r="J191" s="580" t="s">
        <v>8</v>
      </c>
      <c r="K191" s="4" t="str">
        <f t="shared" si="17"/>
        <v>SI</v>
      </c>
      <c r="L191" s="7" t="str">
        <f t="shared" si="18"/>
        <v xml:space="preserve">N </v>
      </c>
      <c r="M191" s="7" t="str">
        <f t="shared" si="19"/>
        <v>RE</v>
      </c>
      <c r="N191" s="62" t="str">
        <f t="shared" si="20"/>
        <v>GI</v>
      </c>
      <c r="O191" s="8">
        <f t="shared" si="21"/>
        <v>45768</v>
      </c>
      <c r="P191" s="9" t="str">
        <f t="shared" ca="1" si="22"/>
        <v>ATRASADO</v>
      </c>
      <c r="Q191" s="12" t="s">
        <v>919</v>
      </c>
      <c r="R191" s="9"/>
      <c r="S191" s="9" t="str">
        <f t="shared" si="23"/>
        <v/>
      </c>
    </row>
    <row r="192" spans="1:19" x14ac:dyDescent="0.3">
      <c r="A192" s="9">
        <v>188</v>
      </c>
      <c r="B192" s="73" t="s">
        <v>45</v>
      </c>
      <c r="C192" s="76" t="s">
        <v>1301</v>
      </c>
      <c r="D192" s="17" t="s">
        <v>1302</v>
      </c>
      <c r="E192" s="26">
        <v>30727</v>
      </c>
      <c r="F192" s="9">
        <f t="shared" ca="1" si="16"/>
        <v>42</v>
      </c>
      <c r="G192" s="8">
        <v>43649</v>
      </c>
      <c r="H192" s="9" t="s">
        <v>271</v>
      </c>
      <c r="I192" s="59">
        <v>44670</v>
      </c>
      <c r="J192" s="580" t="s">
        <v>8</v>
      </c>
      <c r="K192" s="4" t="str">
        <f t="shared" si="17"/>
        <v>SI</v>
      </c>
      <c r="L192" s="7" t="str">
        <f t="shared" si="18"/>
        <v xml:space="preserve">N </v>
      </c>
      <c r="M192" s="7" t="str">
        <f t="shared" si="19"/>
        <v>RE</v>
      </c>
      <c r="N192" s="62" t="str">
        <f t="shared" si="20"/>
        <v>GI</v>
      </c>
      <c r="O192" s="8">
        <f t="shared" si="21"/>
        <v>45766</v>
      </c>
      <c r="P192" s="9" t="str">
        <f t="shared" ca="1" si="22"/>
        <v>ATRASADO</v>
      </c>
      <c r="Q192" s="12" t="s">
        <v>919</v>
      </c>
      <c r="R192" s="9"/>
      <c r="S192" s="9" t="str">
        <f t="shared" si="23"/>
        <v/>
      </c>
    </row>
    <row r="193" spans="1:19" x14ac:dyDescent="0.3">
      <c r="A193" s="9">
        <v>189</v>
      </c>
      <c r="B193" s="2" t="s">
        <v>270</v>
      </c>
      <c r="C193" s="76" t="s">
        <v>1303</v>
      </c>
      <c r="D193" s="17" t="s">
        <v>1304</v>
      </c>
      <c r="E193" s="26">
        <v>24430</v>
      </c>
      <c r="F193" s="9">
        <f t="shared" ca="1" si="16"/>
        <v>59</v>
      </c>
      <c r="G193" s="8">
        <v>44113</v>
      </c>
      <c r="H193" s="9" t="s">
        <v>327</v>
      </c>
      <c r="I193" s="60">
        <v>44680</v>
      </c>
      <c r="J193" s="580" t="s">
        <v>275</v>
      </c>
      <c r="K193" s="4" t="str">
        <f t="shared" si="17"/>
        <v>I</v>
      </c>
      <c r="L193" s="7" t="str">
        <f t="shared" si="18"/>
        <v>G8</v>
      </c>
      <c r="M193" s="7" t="str">
        <f t="shared" si="19"/>
        <v/>
      </c>
      <c r="N193" s="62" t="str">
        <f t="shared" si="20"/>
        <v/>
      </c>
      <c r="O193" s="8">
        <f t="shared" si="21"/>
        <v>45776</v>
      </c>
      <c r="P193" s="9" t="str">
        <f t="shared" ca="1" si="22"/>
        <v>ATRASADO</v>
      </c>
      <c r="Q193" s="12" t="s">
        <v>919</v>
      </c>
      <c r="R193" s="9"/>
      <c r="S193" s="9" t="str">
        <f t="shared" si="23"/>
        <v/>
      </c>
    </row>
    <row r="194" spans="1:19" x14ac:dyDescent="0.3">
      <c r="A194" s="9">
        <v>190</v>
      </c>
      <c r="B194" s="2" t="s">
        <v>56</v>
      </c>
      <c r="C194" s="76" t="s">
        <v>1305</v>
      </c>
      <c r="D194" s="17" t="s">
        <v>1306</v>
      </c>
      <c r="E194" s="26">
        <v>31264</v>
      </c>
      <c r="F194" s="9">
        <f t="shared" ca="1" si="16"/>
        <v>41</v>
      </c>
      <c r="G194" s="9" t="s">
        <v>8</v>
      </c>
      <c r="H194" s="9" t="s">
        <v>275</v>
      </c>
      <c r="I194" s="60">
        <v>44663</v>
      </c>
      <c r="J194" s="580" t="s">
        <v>271</v>
      </c>
      <c r="K194" s="4" t="str">
        <f t="shared" si="17"/>
        <v>I</v>
      </c>
      <c r="L194" s="7" t="str">
        <f t="shared" si="18"/>
        <v>G8</v>
      </c>
      <c r="M194" s="7" t="str">
        <f t="shared" si="19"/>
        <v>J1</v>
      </c>
      <c r="N194" s="62" t="str">
        <f t="shared" si="20"/>
        <v/>
      </c>
      <c r="O194" s="8">
        <f t="shared" si="21"/>
        <v>45759</v>
      </c>
      <c r="P194" s="9" t="str">
        <f t="shared" ca="1" si="22"/>
        <v>ATRASADO</v>
      </c>
      <c r="Q194" s="12" t="s">
        <v>919</v>
      </c>
      <c r="R194" s="9"/>
      <c r="S194" s="9" t="str">
        <f t="shared" si="23"/>
        <v/>
      </c>
    </row>
    <row r="195" spans="1:19" x14ac:dyDescent="0.3">
      <c r="A195" s="9">
        <v>191</v>
      </c>
      <c r="B195" s="2" t="s">
        <v>270</v>
      </c>
      <c r="C195" s="76" t="s">
        <v>1307</v>
      </c>
      <c r="D195" s="14" t="s">
        <v>1308</v>
      </c>
      <c r="E195" s="67">
        <v>30956</v>
      </c>
      <c r="F195" s="9">
        <f t="shared" ca="1" si="16"/>
        <v>42</v>
      </c>
      <c r="G195" s="8">
        <v>43906</v>
      </c>
      <c r="H195" s="9" t="s">
        <v>275</v>
      </c>
      <c r="I195" s="60">
        <v>44680</v>
      </c>
      <c r="J195" s="580" t="s">
        <v>327</v>
      </c>
      <c r="K195" s="4" t="str">
        <f t="shared" si="17"/>
        <v>I</v>
      </c>
      <c r="L195" s="7" t="str">
        <f t="shared" si="18"/>
        <v>G7</v>
      </c>
      <c r="M195" s="7" t="str">
        <f t="shared" si="19"/>
        <v>S</v>
      </c>
      <c r="N195" s="62" t="str">
        <f t="shared" si="20"/>
        <v/>
      </c>
      <c r="O195" s="8">
        <f t="shared" si="21"/>
        <v>45045</v>
      </c>
      <c r="P195" s="9" t="str">
        <f t="shared" ca="1" si="22"/>
        <v>ATRASADO</v>
      </c>
      <c r="Q195" s="12" t="s">
        <v>919</v>
      </c>
      <c r="R195" s="9"/>
      <c r="S195" s="9" t="str">
        <f t="shared" si="23"/>
        <v/>
      </c>
    </row>
    <row r="196" spans="1:19" x14ac:dyDescent="0.3">
      <c r="A196" s="9">
        <v>192</v>
      </c>
      <c r="B196" s="2" t="s">
        <v>270</v>
      </c>
      <c r="C196" s="76" t="s">
        <v>1309</v>
      </c>
      <c r="D196" s="17" t="s">
        <v>1310</v>
      </c>
      <c r="E196" s="26">
        <v>36795</v>
      </c>
      <c r="F196" s="9">
        <f t="shared" ca="1" si="16"/>
        <v>26</v>
      </c>
      <c r="G196" s="8">
        <v>43889</v>
      </c>
      <c r="H196" s="9" t="s">
        <v>271</v>
      </c>
      <c r="I196" s="60">
        <v>44655</v>
      </c>
      <c r="J196" s="580" t="s">
        <v>8</v>
      </c>
      <c r="K196" s="4" t="str">
        <f t="shared" si="17"/>
        <v>SI</v>
      </c>
      <c r="L196" s="7" t="str">
        <f t="shared" si="18"/>
        <v xml:space="preserve">N </v>
      </c>
      <c r="M196" s="7" t="str">
        <f t="shared" si="19"/>
        <v>RE</v>
      </c>
      <c r="N196" s="62" t="str">
        <f t="shared" si="20"/>
        <v>GI</v>
      </c>
      <c r="O196" s="8">
        <f t="shared" si="21"/>
        <v>45751</v>
      </c>
      <c r="P196" s="9" t="str">
        <f t="shared" ca="1" si="22"/>
        <v>ATRASADO</v>
      </c>
      <c r="Q196" s="12" t="s">
        <v>919</v>
      </c>
      <c r="R196" s="9"/>
      <c r="S196" s="9" t="str">
        <f t="shared" si="23"/>
        <v/>
      </c>
    </row>
    <row r="197" spans="1:19" x14ac:dyDescent="0.3">
      <c r="A197" s="9">
        <v>193</v>
      </c>
      <c r="B197" s="2" t="s">
        <v>270</v>
      </c>
      <c r="C197" s="76" t="s">
        <v>1311</v>
      </c>
      <c r="D197" s="17" t="s">
        <v>1312</v>
      </c>
      <c r="E197" s="26">
        <v>34520</v>
      </c>
      <c r="F197" s="9">
        <f t="shared" ref="F197:F260" ca="1" si="24">IF(E197="","",DATEDIF(E197,TODAY(),"Y"))</f>
        <v>32</v>
      </c>
      <c r="G197" s="8">
        <v>43389</v>
      </c>
      <c r="H197" s="9" t="s">
        <v>275</v>
      </c>
      <c r="I197" s="60">
        <v>44679</v>
      </c>
      <c r="J197" s="580" t="s">
        <v>363</v>
      </c>
      <c r="K197" s="4" t="str">
        <f t="shared" ref="K197:K260" si="25">IF(OR(LEFT(J197,2)="T1",LEFT(J197,2)="T2",LEFT(J197,2)="A1",LEFT(J197,2)="D0",LEFT(J197,2)="D1",LEFT(J197,2)="D2",LEFT(J197,2)="D3",LEFT(J197,2)="E1",LEFT(J197,2)="E2"),LEFT(J197,2),IF(OR(LEFT(J197,1)="A",LEFT(J197,1)="B",LEFT(J197,1)="C",LEFT(J197,1)="D",LEFT(J197,1)="I",LEFT(J197,1)="E",LEFT(J197,1)="K",LEFT(J197,1)="T"),LEFT(J197,1),LEFT(J197,2)))</f>
        <v>I</v>
      </c>
      <c r="L197" s="7" t="str">
        <f t="shared" ref="L197:L260" si="26">IF(AND(OR(LEFT(J197,2)="A1",LEFT(J197,2)="D0",LEFT(J197,2)="D1",LEFT(J197,2)="D2",LEFT(J197,2)="D3",LEFT(J197,2)="E1",LEFT(J197,2)="E2",LEFT(J197,2)="T1",LEFT(J197,2)="T2"),OR(MID(J197,3,1)="A",MID(J197,3,1)="B",MID(J197,3,1)="C",MID(J197,3,1)="D",MID(J197,3,1)="E",MID(J197,3,1)="I",MID(J197,3,1)="K",MID(J197,3,1)="T",MID(J197,3,1)="N",)),MID(J197,3,1),IF(OR(LEFT(J197,2)="A1",LEFT(J197,2)="D0",LEFT(J197,2)="D1",LEFT(J197,2)="D2",LEFT(J197,2)="D3",LEFT(J197,2)="E1",LEFT(J197,2)="E2",LEFT(J197,2)="T1",LEFT(J197,2)="T2"),MID(J197,3,2),IF(AND(OR(LEFT(J197,1)="A",LEFT(J197,1)="B",LEFT(J197,1)="C",LEFT(J197,1)="D",LEFT(J197,1)="E",LEFT(J197,1)="I",LEFT(J197,1)="K",LEFT(J197,1)="T",LEFT(J197,1)="N"),OR(MID(J197,2,1)="A",MID(J197,2,1)="B",MID(J197,2,1)="C",MID(J197,2,1)="D",MID(J197,2,1)="E",MID(J197,2,1)="I",MID(J197,2,1)="K",MID(J197,2,1)="T",MID(J197,2,1)="N")),MID(J197,2,2),IF(OR(LEFT(J197,1)="A",LEFT(J197,1)="B",LEFT(J197,1)="C",LEFT(J197,1)="D",LEFT(J197,1)="E",LEFT(J197,1)="I",LEFT(J197,1)="K",LEFT(J197,1)="T",LEFT(J197,1)="N"),MID(J197,2,2),MID(J197,3,2)))))</f>
        <v>G8</v>
      </c>
      <c r="M197" s="7" t="str">
        <f t="shared" ref="M197:M260" si="27">IF(AND(OR(LEFT(J197,2)="A1",LEFT(J197,2)="D0",LEFT(J197,2)="D1",LEFT(J197,2)="D2",LEFT(J197,2)="D3",LEFT(J197,2)="E1",LEFT(J197,2)="E2",LEFT(J197,2)="T1",LEFT(J197,2)="T2"),OR(MID(J197,3,1)="A",MID(J197,3,1)="B",MID(J197,3,1)="C",MID(J197,3,1)="D",MID(J197,3,1)="E",MID(J197,3,1)="I",MID(J197,3,1)="K",MID(J197,3,1)="T",MID(J197,3,1)="N",)),MID(J197,4,2),IF(OR(LEFT(J197,2)="A1",LEFT(J197,2)="D0",LEFT(J197,2)="D1",LEFT(J197,2)="D2",LEFT(J197,2)="D3",LEFT(J197,2)="E1",LEFT(J197,2)="E2",LEFT(J197,2)="T1",LEFT(J197,2)="T2"),MID(J197,5,2),IF(AND(OR(LEFT(J197,1)="A",LEFT(J197,1)="B",LEFT(J197,1)="C",LEFT(J197,1)="D",LEFT(J197,1)="E",LEFT(J197,1)="I",LEFT(J197,1)="K",LEFT(J197,1)="T",LEFT(J197,1)="N"),OR(MID(J197,2,1)="A",MID(J197,2,1)="B",MID(J197,2,1)="C",MID(J197,2,1)="D",MID(J197,2,1)="E",MID(J197,2,1)="I",MID(J197,2,1)="K",MID(J197,2,1)="T",MID(J197,2,1)="N")),MID(J197,3,2),IF(OR(LEFT(J197,1)="A",LEFT(J197,1)="B",LEFT(J197,1)="C",LEFT(J197,1)="D",LEFT(J197,1)="E",LEFT(J197,1)="I",LEFT(J197,1)="K",LEFT(J197,1)="T",LEFT(J197,1)="N"),MID(J197,4,2),MID(J197,5,2)))))</f>
        <v>J2</v>
      </c>
      <c r="N197" s="62" t="str">
        <f t="shared" ref="N197:N260" si="28">IF(AND(OR(LEFT(J197,1)="I",LEFT(J197,1)="T",LEFT(J197,1)="A",LEFT(J197,1)="B",LEFT(J197,1)="C",LEFT(J197,1)="D",LEFT(J197,1)="E"),OR(MID(J197,2,1)="I",MID(J197,2,1)="T",MID(J197,2,1)="A",MID(J197,2,1)="B",MID(J197,2,1)="C",MID(J197,2,1)="D",MID(J197,2,1)="E")),MID(J197,5,2),IF(OR(LEFT(J197,1)="I",LEFT(J197,1)="T",LEFT(J197,1)="A",LEFT(J197,1)="B",LEFT(J197,1)="C",LEFT(J197,1)="D",LEFT(J197,1)="E"),MID(J197,6,2),MID(J197,7,2)))</f>
        <v/>
      </c>
      <c r="O197" s="8">
        <f t="shared" ref="O197:O260" si="29">IF(I197="","",IF(OR(K197="S",L197="S",M197="S",N197="S",K197="G7",L197="G7",M197="G7",N197="G7",),DATE(YEAR(I197)+1,MONTH(I197),DAY(I197)),IF(OR(K197="O3",L197="O3",M197="O3",N197="O3",K197="ASCUS",L197="ASCUS",M197="ASCUS",N197="ASCUS"),DATE(YEAR(I197),MONTH(I197)+6,DAY(I197)),IF(OR(K197="O5",L197="O5",M197="O5",N197="O5"),DATE(YEAR(I197),MONTH(I197)+3,DAY(I197)),IF(OR(K197="T",L197="T",M197="T",N197="T"),DATE(YEAR(I197),MONTH(I197)+1,DAY(I197)+10),DATE(YEAR(I197)+3,MONTH(I197),DAY(I197)))))))</f>
        <v>45775</v>
      </c>
      <c r="P197" s="9" t="str">
        <f t="shared" ref="P197:P260" ca="1" si="30">IF(O197="","",IF(YEAR(O197)&gt;YEAR(TODAY()),"VIGENTE",IF(AND(YEAR(O197)&gt;=YEAR(TODAY()),MONTH(O197)&gt;=MONTH(TODAY())),"VIGENTE","ATRASADO")))</f>
        <v>ATRASADO</v>
      </c>
      <c r="Q197" s="12" t="s">
        <v>919</v>
      </c>
      <c r="R197" s="9"/>
      <c r="S197" s="9" t="str">
        <f t="shared" si="23"/>
        <v>TRICOMONAS</v>
      </c>
    </row>
    <row r="198" spans="1:19" x14ac:dyDescent="0.3">
      <c r="A198" s="9">
        <v>194</v>
      </c>
      <c r="B198" s="2" t="s">
        <v>56</v>
      </c>
      <c r="C198" s="76" t="s">
        <v>1313</v>
      </c>
      <c r="D198" s="14" t="s">
        <v>1314</v>
      </c>
      <c r="E198" s="67">
        <v>33915</v>
      </c>
      <c r="F198" s="9">
        <f t="shared" ca="1" si="24"/>
        <v>33</v>
      </c>
      <c r="G198" s="8">
        <v>43138</v>
      </c>
      <c r="H198" s="9" t="s">
        <v>324</v>
      </c>
      <c r="I198" s="60">
        <v>44675</v>
      </c>
      <c r="J198" s="580" t="s">
        <v>271</v>
      </c>
      <c r="K198" s="4" t="str">
        <f t="shared" si="25"/>
        <v>I</v>
      </c>
      <c r="L198" s="7" t="str">
        <f t="shared" si="26"/>
        <v>G8</v>
      </c>
      <c r="M198" s="7" t="str">
        <f t="shared" si="27"/>
        <v>J1</v>
      </c>
      <c r="N198" s="62" t="str">
        <f t="shared" si="28"/>
        <v/>
      </c>
      <c r="O198" s="8">
        <f t="shared" si="29"/>
        <v>45771</v>
      </c>
      <c r="P198" s="9" t="str">
        <f t="shared" ca="1" si="30"/>
        <v>ATRASADO</v>
      </c>
      <c r="Q198" s="12" t="s">
        <v>919</v>
      </c>
      <c r="R198" s="9"/>
      <c r="S198" s="9" t="str">
        <f t="shared" ref="S198:S261" si="31">IF(OR(K198="T1",L198="T1",M198="T1",N198="T1",),"LESION SOSPECHOSA A UPC",IF(OR(K198="T2",L198="T2",M198="T2",N198="T2",),"DERIVAR A UPC POR SEGUNDO ATIPICO",IF(OR(K198="J2",L198="J2",M198="J2",N198="J2",),"TRICOMONAS",IF(OR(K198="J3",L198="J3",M198="J3",N198="J3",),"HERPES SIMPLEX",IF(OR(K198="J5",L198="J5",M198="J5",N198="J5",),"CANDIDA",IF(OR(K198="J6",L198="J6",M198="J6",N198="J6",),"ACTINOMYCES",IF(OR(K198="A1",L198="A1",M198="A1",N198="A1",),"VPH",IF(OR(K198="ASC-H",L198="ASC-H",M198="ASC-H",K198="H2",K198="H3",K198="H4",N198="ASC-H",K198="AGUS",L198="AGUS",L198="H2",L198="H3",L198="H4",M198="AGUS",M198="H2",M198="H3",M198="H4",N198="AGUS",N198="H2",N198="H3",N198="H4"),"MANDAR A UPC / COLPOSCOPIA",IF(OR(K198="A",K198="B",K198="C",K198="D",K198="D0",K198="D1",K198="D2",K198="D3",K198="E",K198="E1",K198="E2",K198="K",K198="T",L198="A",L198="B",L198="C",L198="D",L198="D0",L198="D1",L198="D2",L198="D3",L198="E",L198="E1",L198="E2",L198="K",L198="T",M198="A",M198="B",M198="C",M198="D",M198="D0",M198="D1",M198="D2",M198="D3",M198="E",M198="E1",M198="E2",M198="K",M198="T",N198="A",N198="B",N198="C",N198="D",N198="D0",N198="D1",K198="D2",N198="D2",N198="D3",N198="E",N198="E1",N198="E2",N198="K",N198="T",),"CITAR A UPC","")))))))))</f>
        <v/>
      </c>
    </row>
    <row r="199" spans="1:19" x14ac:dyDescent="0.3">
      <c r="A199" s="9">
        <v>195</v>
      </c>
      <c r="B199" s="2" t="s">
        <v>270</v>
      </c>
      <c r="C199" s="76" t="s">
        <v>1315</v>
      </c>
      <c r="D199" s="17" t="s">
        <v>1316</v>
      </c>
      <c r="E199" s="26">
        <v>29483</v>
      </c>
      <c r="F199" s="9">
        <f t="shared" ca="1" si="24"/>
        <v>46</v>
      </c>
      <c r="G199" s="8">
        <v>44095</v>
      </c>
      <c r="H199" s="9" t="s">
        <v>275</v>
      </c>
      <c r="I199" s="60">
        <v>44665</v>
      </c>
      <c r="J199" s="580" t="s">
        <v>271</v>
      </c>
      <c r="K199" s="4" t="str">
        <f t="shared" si="25"/>
        <v>I</v>
      </c>
      <c r="L199" s="7" t="str">
        <f t="shared" si="26"/>
        <v>G8</v>
      </c>
      <c r="M199" s="7" t="str">
        <f t="shared" si="27"/>
        <v>J1</v>
      </c>
      <c r="N199" s="62" t="str">
        <f t="shared" si="28"/>
        <v/>
      </c>
      <c r="O199" s="8">
        <f t="shared" si="29"/>
        <v>45761</v>
      </c>
      <c r="P199" s="9" t="str">
        <f t="shared" ca="1" si="30"/>
        <v>ATRASADO</v>
      </c>
      <c r="Q199" s="12" t="s">
        <v>919</v>
      </c>
      <c r="R199" s="9"/>
      <c r="S199" s="9" t="str">
        <f t="shared" si="31"/>
        <v/>
      </c>
    </row>
    <row r="200" spans="1:19" x14ac:dyDescent="0.3">
      <c r="A200" s="9">
        <v>196</v>
      </c>
      <c r="B200" s="2" t="s">
        <v>56</v>
      </c>
      <c r="C200" s="76" t="s">
        <v>1317</v>
      </c>
      <c r="D200" s="17" t="s">
        <v>1318</v>
      </c>
      <c r="E200" s="26">
        <v>26033</v>
      </c>
      <c r="F200" s="9">
        <f t="shared" ca="1" si="24"/>
        <v>55</v>
      </c>
      <c r="G200" s="8">
        <v>43509</v>
      </c>
      <c r="H200" s="9" t="s">
        <v>327</v>
      </c>
      <c r="I200" s="60">
        <v>44671</v>
      </c>
      <c r="J200" s="580" t="s">
        <v>275</v>
      </c>
      <c r="K200" s="4" t="str">
        <f t="shared" si="25"/>
        <v>I</v>
      </c>
      <c r="L200" s="7" t="str">
        <f t="shared" si="26"/>
        <v>G8</v>
      </c>
      <c r="M200" s="7" t="str">
        <f t="shared" si="27"/>
        <v/>
      </c>
      <c r="N200" s="62" t="str">
        <f t="shared" si="28"/>
        <v/>
      </c>
      <c r="O200" s="8">
        <f t="shared" si="29"/>
        <v>45767</v>
      </c>
      <c r="P200" s="9" t="str">
        <f t="shared" ca="1" si="30"/>
        <v>ATRASADO</v>
      </c>
      <c r="Q200" s="12" t="s">
        <v>919</v>
      </c>
      <c r="R200" s="9"/>
      <c r="S200" s="9" t="str">
        <f t="shared" si="31"/>
        <v/>
      </c>
    </row>
    <row r="201" spans="1:19" x14ac:dyDescent="0.3">
      <c r="A201" s="9">
        <v>197</v>
      </c>
      <c r="B201" s="2" t="s">
        <v>56</v>
      </c>
      <c r="C201" s="76" t="s">
        <v>1319</v>
      </c>
      <c r="D201" s="17" t="s">
        <v>1320</v>
      </c>
      <c r="E201" s="26">
        <v>22347</v>
      </c>
      <c r="F201" s="9">
        <f t="shared" ca="1" si="24"/>
        <v>65</v>
      </c>
      <c r="G201" s="8">
        <v>43018</v>
      </c>
      <c r="H201" s="9" t="s">
        <v>271</v>
      </c>
      <c r="I201" s="60">
        <v>44657</v>
      </c>
      <c r="J201" s="580" t="s">
        <v>8</v>
      </c>
      <c r="K201" s="4" t="str">
        <f t="shared" si="25"/>
        <v>SI</v>
      </c>
      <c r="L201" s="7" t="str">
        <f t="shared" si="26"/>
        <v xml:space="preserve">N </v>
      </c>
      <c r="M201" s="7" t="str">
        <f t="shared" si="27"/>
        <v>RE</v>
      </c>
      <c r="N201" s="62" t="str">
        <f t="shared" si="28"/>
        <v>GI</v>
      </c>
      <c r="O201" s="8">
        <f t="shared" si="29"/>
        <v>45753</v>
      </c>
      <c r="P201" s="9" t="str">
        <f t="shared" ca="1" si="30"/>
        <v>ATRASADO</v>
      </c>
      <c r="Q201" s="12" t="s">
        <v>919</v>
      </c>
      <c r="R201" s="9"/>
      <c r="S201" s="9" t="str">
        <f t="shared" si="31"/>
        <v/>
      </c>
    </row>
    <row r="202" spans="1:19" x14ac:dyDescent="0.3">
      <c r="A202" s="9">
        <v>198</v>
      </c>
      <c r="B202" s="2" t="s">
        <v>270</v>
      </c>
      <c r="C202" s="76" t="s">
        <v>1321</v>
      </c>
      <c r="D202" s="17" t="s">
        <v>1322</v>
      </c>
      <c r="E202" s="26">
        <v>27554</v>
      </c>
      <c r="F202" s="9">
        <f t="shared" ca="1" si="24"/>
        <v>51</v>
      </c>
      <c r="G202" s="8">
        <v>43987</v>
      </c>
      <c r="H202" s="9" t="s">
        <v>275</v>
      </c>
      <c r="I202" s="60">
        <v>44668</v>
      </c>
      <c r="J202" s="580" t="s">
        <v>8</v>
      </c>
      <c r="K202" s="4" t="str">
        <f t="shared" si="25"/>
        <v>SI</v>
      </c>
      <c r="L202" s="7" t="str">
        <f t="shared" si="26"/>
        <v xml:space="preserve">N </v>
      </c>
      <c r="M202" s="7" t="str">
        <f t="shared" si="27"/>
        <v>RE</v>
      </c>
      <c r="N202" s="62" t="str">
        <f t="shared" si="28"/>
        <v>GI</v>
      </c>
      <c r="O202" s="8">
        <f t="shared" si="29"/>
        <v>45764</v>
      </c>
      <c r="P202" s="9" t="str">
        <f t="shared" ca="1" si="30"/>
        <v>ATRASADO</v>
      </c>
      <c r="Q202" s="9" t="s">
        <v>919</v>
      </c>
      <c r="R202" s="9"/>
      <c r="S202" s="9" t="str">
        <f t="shared" si="31"/>
        <v/>
      </c>
    </row>
    <row r="203" spans="1:19" x14ac:dyDescent="0.3">
      <c r="A203" s="9">
        <v>199</v>
      </c>
      <c r="B203" s="2" t="s">
        <v>56</v>
      </c>
      <c r="C203" s="76" t="s">
        <v>1323</v>
      </c>
      <c r="D203" s="17" t="s">
        <v>1324</v>
      </c>
      <c r="E203" s="26">
        <v>26043</v>
      </c>
      <c r="F203" s="9">
        <f t="shared" ca="1" si="24"/>
        <v>55</v>
      </c>
      <c r="G203" s="9" t="s">
        <v>8</v>
      </c>
      <c r="H203" s="9" t="s">
        <v>275</v>
      </c>
      <c r="I203" s="60">
        <v>44664</v>
      </c>
      <c r="J203" s="580" t="s">
        <v>271</v>
      </c>
      <c r="K203" s="4" t="str">
        <f t="shared" si="25"/>
        <v>I</v>
      </c>
      <c r="L203" s="7" t="str">
        <f t="shared" si="26"/>
        <v>G8</v>
      </c>
      <c r="M203" s="7" t="str">
        <f t="shared" si="27"/>
        <v>J1</v>
      </c>
      <c r="N203" s="62" t="str">
        <f t="shared" si="28"/>
        <v/>
      </c>
      <c r="O203" s="8">
        <f t="shared" si="29"/>
        <v>45760</v>
      </c>
      <c r="P203" s="9" t="str">
        <f t="shared" ca="1" si="30"/>
        <v>ATRASADO</v>
      </c>
      <c r="Q203" s="9" t="s">
        <v>919</v>
      </c>
      <c r="R203" s="9"/>
      <c r="S203" s="9" t="str">
        <f t="shared" si="31"/>
        <v/>
      </c>
    </row>
    <row r="204" spans="1:19" x14ac:dyDescent="0.3">
      <c r="A204" s="9">
        <v>200</v>
      </c>
      <c r="B204" s="2" t="s">
        <v>56</v>
      </c>
      <c r="C204" s="76" t="s">
        <v>1325</v>
      </c>
      <c r="D204" s="17" t="s">
        <v>1326</v>
      </c>
      <c r="E204" s="26">
        <v>24274</v>
      </c>
      <c r="F204" s="9">
        <f t="shared" ca="1" si="24"/>
        <v>60</v>
      </c>
      <c r="G204" s="9" t="s">
        <v>8</v>
      </c>
      <c r="H204" s="9" t="s">
        <v>291</v>
      </c>
      <c r="I204" s="60">
        <v>44669</v>
      </c>
      <c r="J204" s="580" t="s">
        <v>735</v>
      </c>
      <c r="K204" s="4" t="str">
        <f t="shared" si="25"/>
        <v>G3</v>
      </c>
      <c r="L204" s="7" t="str">
        <f t="shared" si="26"/>
        <v>O5</v>
      </c>
      <c r="M204" s="7" t="str">
        <f t="shared" si="27"/>
        <v/>
      </c>
      <c r="N204" s="62" t="str">
        <f t="shared" si="28"/>
        <v/>
      </c>
      <c r="O204" s="8">
        <f t="shared" si="29"/>
        <v>44760</v>
      </c>
      <c r="P204" s="9" t="str">
        <f t="shared" ca="1" si="30"/>
        <v>ATRASADO</v>
      </c>
      <c r="Q204" s="9" t="s">
        <v>919</v>
      </c>
      <c r="R204" s="9"/>
      <c r="S204" s="9" t="str">
        <f t="shared" si="31"/>
        <v/>
      </c>
    </row>
    <row r="205" spans="1:19" x14ac:dyDescent="0.3">
      <c r="A205" s="9">
        <v>201</v>
      </c>
      <c r="B205" s="2" t="s">
        <v>56</v>
      </c>
      <c r="C205" s="76" t="s">
        <v>1327</v>
      </c>
      <c r="D205" s="17" t="s">
        <v>1328</v>
      </c>
      <c r="E205" s="26">
        <v>23699</v>
      </c>
      <c r="F205" s="9">
        <f t="shared" ca="1" si="24"/>
        <v>61</v>
      </c>
      <c r="G205" s="9" t="s">
        <v>8</v>
      </c>
      <c r="H205" s="9" t="s">
        <v>291</v>
      </c>
      <c r="I205" s="60">
        <v>44673</v>
      </c>
      <c r="J205" s="580" t="s">
        <v>271</v>
      </c>
      <c r="K205" s="4" t="str">
        <f t="shared" si="25"/>
        <v>I</v>
      </c>
      <c r="L205" s="7" t="str">
        <f t="shared" si="26"/>
        <v>G8</v>
      </c>
      <c r="M205" s="7" t="str">
        <f t="shared" si="27"/>
        <v>J1</v>
      </c>
      <c r="N205" s="62" t="str">
        <f t="shared" si="28"/>
        <v/>
      </c>
      <c r="O205" s="8">
        <f t="shared" si="29"/>
        <v>45769</v>
      </c>
      <c r="P205" s="9" t="str">
        <f t="shared" ca="1" si="30"/>
        <v>ATRASADO</v>
      </c>
      <c r="Q205" s="9" t="s">
        <v>919</v>
      </c>
      <c r="R205" s="9"/>
      <c r="S205" s="9" t="str">
        <f t="shared" si="31"/>
        <v/>
      </c>
    </row>
    <row r="206" spans="1:19" x14ac:dyDescent="0.3">
      <c r="A206" s="9">
        <v>202</v>
      </c>
      <c r="B206" s="2" t="s">
        <v>579</v>
      </c>
      <c r="C206" s="76" t="s">
        <v>1329</v>
      </c>
      <c r="D206" s="17" t="s">
        <v>1330</v>
      </c>
      <c r="E206" s="26">
        <v>29268</v>
      </c>
      <c r="F206" s="9">
        <f t="shared" ca="1" si="24"/>
        <v>46</v>
      </c>
      <c r="G206" s="8">
        <v>43325</v>
      </c>
      <c r="H206" s="9" t="s">
        <v>271</v>
      </c>
      <c r="I206" s="60">
        <v>44678</v>
      </c>
      <c r="J206" s="580" t="s">
        <v>271</v>
      </c>
      <c r="K206" s="4" t="str">
        <f t="shared" si="25"/>
        <v>I</v>
      </c>
      <c r="L206" s="7" t="str">
        <f t="shared" si="26"/>
        <v>G8</v>
      </c>
      <c r="M206" s="7" t="str">
        <f t="shared" si="27"/>
        <v>J1</v>
      </c>
      <c r="N206" s="62" t="str">
        <f t="shared" si="28"/>
        <v/>
      </c>
      <c r="O206" s="8">
        <f t="shared" si="29"/>
        <v>45774</v>
      </c>
      <c r="P206" s="9" t="str">
        <f t="shared" ca="1" si="30"/>
        <v>ATRASADO</v>
      </c>
      <c r="Q206" s="9" t="s">
        <v>919</v>
      </c>
      <c r="R206" s="9"/>
      <c r="S206" s="9" t="str">
        <f t="shared" si="31"/>
        <v/>
      </c>
    </row>
    <row r="207" spans="1:19" x14ac:dyDescent="0.3">
      <c r="A207" s="9">
        <v>203</v>
      </c>
      <c r="B207" s="2" t="s">
        <v>312</v>
      </c>
      <c r="C207" s="76" t="s">
        <v>1331</v>
      </c>
      <c r="D207" s="17" t="s">
        <v>1332</v>
      </c>
      <c r="E207" s="26">
        <v>24764</v>
      </c>
      <c r="F207" s="9">
        <f t="shared" ca="1" si="24"/>
        <v>58</v>
      </c>
      <c r="G207" s="9" t="s">
        <v>8</v>
      </c>
      <c r="H207" s="9" t="s">
        <v>271</v>
      </c>
      <c r="I207" s="60">
        <v>44664</v>
      </c>
      <c r="J207" s="580" t="s">
        <v>320</v>
      </c>
      <c r="K207" s="4" t="str">
        <f t="shared" si="25"/>
        <v>I</v>
      </c>
      <c r="L207" s="7" t="str">
        <f t="shared" si="26"/>
        <v>G8</v>
      </c>
      <c r="M207" s="7" t="str">
        <f t="shared" si="27"/>
        <v>J1</v>
      </c>
      <c r="N207" s="62" t="str">
        <f t="shared" si="28"/>
        <v>S</v>
      </c>
      <c r="O207" s="8">
        <f t="shared" si="29"/>
        <v>45029</v>
      </c>
      <c r="P207" s="9" t="str">
        <f t="shared" ca="1" si="30"/>
        <v>ATRASADO</v>
      </c>
      <c r="Q207" s="9" t="s">
        <v>919</v>
      </c>
      <c r="R207" s="9"/>
      <c r="S207" s="9" t="str">
        <f t="shared" si="31"/>
        <v/>
      </c>
    </row>
    <row r="208" spans="1:19" x14ac:dyDescent="0.3">
      <c r="A208" s="9">
        <v>204</v>
      </c>
      <c r="B208" s="2" t="s">
        <v>270</v>
      </c>
      <c r="C208" s="76" t="s">
        <v>1333</v>
      </c>
      <c r="D208" s="17" t="s">
        <v>1334</v>
      </c>
      <c r="E208" s="26">
        <v>21160</v>
      </c>
      <c r="F208" s="9">
        <f t="shared" ca="1" si="24"/>
        <v>68</v>
      </c>
      <c r="G208" s="8">
        <v>43359</v>
      </c>
      <c r="H208" s="9" t="s">
        <v>8</v>
      </c>
      <c r="I208" s="60">
        <v>44665</v>
      </c>
      <c r="J208" s="580" t="s">
        <v>275</v>
      </c>
      <c r="K208" s="4" t="str">
        <f t="shared" si="25"/>
        <v>I</v>
      </c>
      <c r="L208" s="7" t="str">
        <f t="shared" si="26"/>
        <v>G8</v>
      </c>
      <c r="M208" s="7" t="str">
        <f t="shared" si="27"/>
        <v/>
      </c>
      <c r="N208" s="62" t="str">
        <f t="shared" si="28"/>
        <v/>
      </c>
      <c r="O208" s="8">
        <f t="shared" si="29"/>
        <v>45761</v>
      </c>
      <c r="P208" s="9" t="str">
        <f t="shared" ca="1" si="30"/>
        <v>ATRASADO</v>
      </c>
      <c r="Q208" s="9" t="s">
        <v>919</v>
      </c>
      <c r="R208" s="9"/>
      <c r="S208" s="9" t="str">
        <f t="shared" si="31"/>
        <v/>
      </c>
    </row>
    <row r="209" spans="1:19" x14ac:dyDescent="0.3">
      <c r="A209" s="9">
        <v>205</v>
      </c>
      <c r="B209" s="2" t="s">
        <v>312</v>
      </c>
      <c r="C209" s="76" t="s">
        <v>1335</v>
      </c>
      <c r="D209" s="17" t="s">
        <v>1336</v>
      </c>
      <c r="E209" s="26">
        <v>24874</v>
      </c>
      <c r="F209" s="9">
        <f t="shared" ca="1" si="24"/>
        <v>58</v>
      </c>
      <c r="G209" s="8">
        <v>44124</v>
      </c>
      <c r="H209" s="9" t="s">
        <v>275</v>
      </c>
      <c r="I209" s="60">
        <v>44669</v>
      </c>
      <c r="J209" s="580" t="s">
        <v>275</v>
      </c>
      <c r="K209" s="4" t="str">
        <f t="shared" si="25"/>
        <v>I</v>
      </c>
      <c r="L209" s="7" t="str">
        <f t="shared" si="26"/>
        <v>G8</v>
      </c>
      <c r="M209" s="7" t="str">
        <f t="shared" si="27"/>
        <v/>
      </c>
      <c r="N209" s="62" t="str">
        <f t="shared" si="28"/>
        <v/>
      </c>
      <c r="O209" s="8">
        <f t="shared" si="29"/>
        <v>45765</v>
      </c>
      <c r="P209" s="9" t="str">
        <f t="shared" ca="1" si="30"/>
        <v>ATRASADO</v>
      </c>
      <c r="Q209" s="9" t="s">
        <v>919</v>
      </c>
      <c r="R209" s="9"/>
      <c r="S209" s="9" t="str">
        <f t="shared" si="31"/>
        <v/>
      </c>
    </row>
    <row r="210" spans="1:19" x14ac:dyDescent="0.3">
      <c r="A210" s="9">
        <v>206</v>
      </c>
      <c r="B210" s="2" t="s">
        <v>111</v>
      </c>
      <c r="C210" s="76" t="s">
        <v>1337</v>
      </c>
      <c r="D210" s="17" t="s">
        <v>1338</v>
      </c>
      <c r="E210" s="26">
        <v>23347</v>
      </c>
      <c r="F210" s="9">
        <f t="shared" ca="1" si="24"/>
        <v>62</v>
      </c>
      <c r="G210" s="8">
        <v>44227</v>
      </c>
      <c r="H210" s="9" t="s">
        <v>275</v>
      </c>
      <c r="I210" s="60">
        <v>44663</v>
      </c>
      <c r="J210" s="580" t="s">
        <v>275</v>
      </c>
      <c r="K210" s="4" t="str">
        <f t="shared" si="25"/>
        <v>I</v>
      </c>
      <c r="L210" s="7" t="str">
        <f t="shared" si="26"/>
        <v>G8</v>
      </c>
      <c r="M210" s="7" t="str">
        <f t="shared" si="27"/>
        <v/>
      </c>
      <c r="N210" s="62" t="str">
        <f t="shared" si="28"/>
        <v/>
      </c>
      <c r="O210" s="8">
        <f t="shared" si="29"/>
        <v>45759</v>
      </c>
      <c r="P210" s="9" t="str">
        <f t="shared" ca="1" si="30"/>
        <v>ATRASADO</v>
      </c>
      <c r="Q210" s="9" t="s">
        <v>919</v>
      </c>
      <c r="R210" s="9"/>
      <c r="S210" s="9" t="str">
        <f t="shared" si="31"/>
        <v/>
      </c>
    </row>
    <row r="211" spans="1:19" x14ac:dyDescent="0.3">
      <c r="A211" s="9">
        <v>207</v>
      </c>
      <c r="B211" s="2" t="s">
        <v>111</v>
      </c>
      <c r="C211" s="76" t="s">
        <v>1339</v>
      </c>
      <c r="D211" s="17" t="s">
        <v>1340</v>
      </c>
      <c r="E211" s="26">
        <v>21834</v>
      </c>
      <c r="F211" s="9">
        <f t="shared" ca="1" si="24"/>
        <v>66</v>
      </c>
      <c r="G211" s="8">
        <v>42985</v>
      </c>
      <c r="H211" s="9" t="s">
        <v>275</v>
      </c>
      <c r="I211" s="60">
        <v>44672</v>
      </c>
      <c r="J211" s="580" t="s">
        <v>275</v>
      </c>
      <c r="K211" s="4" t="str">
        <f t="shared" si="25"/>
        <v>I</v>
      </c>
      <c r="L211" s="7" t="str">
        <f t="shared" si="26"/>
        <v>G8</v>
      </c>
      <c r="M211" s="7" t="str">
        <f t="shared" si="27"/>
        <v/>
      </c>
      <c r="N211" s="62" t="str">
        <f t="shared" si="28"/>
        <v/>
      </c>
      <c r="O211" s="8">
        <f t="shared" si="29"/>
        <v>45768</v>
      </c>
      <c r="P211" s="9" t="str">
        <f t="shared" ca="1" si="30"/>
        <v>ATRASADO</v>
      </c>
      <c r="Q211" s="9" t="s">
        <v>919</v>
      </c>
      <c r="R211" s="9"/>
      <c r="S211" s="9" t="str">
        <f t="shared" si="31"/>
        <v/>
      </c>
    </row>
    <row r="212" spans="1:19" x14ac:dyDescent="0.3">
      <c r="A212" s="9">
        <v>208</v>
      </c>
      <c r="B212" s="2" t="s">
        <v>111</v>
      </c>
      <c r="C212" s="76" t="s">
        <v>1341</v>
      </c>
      <c r="D212" s="17" t="s">
        <v>1342</v>
      </c>
      <c r="E212" s="26">
        <v>24603</v>
      </c>
      <c r="F212" s="9">
        <f t="shared" ca="1" si="24"/>
        <v>59</v>
      </c>
      <c r="G212" s="8">
        <v>43616</v>
      </c>
      <c r="H212" s="9" t="s">
        <v>275</v>
      </c>
      <c r="I212" s="60">
        <v>44680</v>
      </c>
      <c r="J212" s="580" t="s">
        <v>271</v>
      </c>
      <c r="K212" s="4" t="str">
        <f t="shared" si="25"/>
        <v>I</v>
      </c>
      <c r="L212" s="7" t="str">
        <f t="shared" si="26"/>
        <v>G8</v>
      </c>
      <c r="M212" s="7" t="str">
        <f t="shared" si="27"/>
        <v>J1</v>
      </c>
      <c r="N212" s="62" t="str">
        <f t="shared" si="28"/>
        <v/>
      </c>
      <c r="O212" s="8">
        <f t="shared" si="29"/>
        <v>45776</v>
      </c>
      <c r="P212" s="9" t="str">
        <f t="shared" ca="1" si="30"/>
        <v>ATRASADO</v>
      </c>
      <c r="Q212" s="9" t="s">
        <v>919</v>
      </c>
      <c r="R212" s="9"/>
      <c r="S212" s="9" t="str">
        <f t="shared" si="31"/>
        <v/>
      </c>
    </row>
    <row r="213" spans="1:19" x14ac:dyDescent="0.3">
      <c r="A213" s="9">
        <v>209</v>
      </c>
      <c r="B213" s="2" t="s">
        <v>111</v>
      </c>
      <c r="C213" s="76" t="s">
        <v>1343</v>
      </c>
      <c r="D213" s="17" t="s">
        <v>1344</v>
      </c>
      <c r="E213" s="26">
        <v>32444</v>
      </c>
      <c r="F213" s="9">
        <f t="shared" ca="1" si="24"/>
        <v>37</v>
      </c>
      <c r="G213" s="9" t="s">
        <v>8</v>
      </c>
      <c r="H213" s="9" t="s">
        <v>275</v>
      </c>
      <c r="I213" s="60">
        <v>44668</v>
      </c>
      <c r="J213" s="580" t="s">
        <v>363</v>
      </c>
      <c r="K213" s="4" t="str">
        <f t="shared" si="25"/>
        <v>I</v>
      </c>
      <c r="L213" s="7" t="str">
        <f t="shared" si="26"/>
        <v>G8</v>
      </c>
      <c r="M213" s="7" t="str">
        <f t="shared" si="27"/>
        <v>J2</v>
      </c>
      <c r="N213" s="62" t="str">
        <f t="shared" si="28"/>
        <v/>
      </c>
      <c r="O213" s="8">
        <f t="shared" si="29"/>
        <v>45764</v>
      </c>
      <c r="P213" s="9" t="str">
        <f t="shared" ca="1" si="30"/>
        <v>ATRASADO</v>
      </c>
      <c r="Q213" s="9" t="s">
        <v>919</v>
      </c>
      <c r="R213" s="9"/>
      <c r="S213" s="9" t="str">
        <f t="shared" si="31"/>
        <v>TRICOMONAS</v>
      </c>
    </row>
    <row r="214" spans="1:19" x14ac:dyDescent="0.3">
      <c r="A214" s="9">
        <v>210</v>
      </c>
      <c r="B214" s="2" t="s">
        <v>111</v>
      </c>
      <c r="C214" s="76" t="s">
        <v>1345</v>
      </c>
      <c r="D214" s="17" t="s">
        <v>1346</v>
      </c>
      <c r="E214" s="26">
        <v>22398</v>
      </c>
      <c r="F214" s="9">
        <f t="shared" ca="1" si="24"/>
        <v>65</v>
      </c>
      <c r="G214" s="8">
        <v>43591</v>
      </c>
      <c r="H214" s="9" t="s">
        <v>317</v>
      </c>
      <c r="I214" s="60">
        <v>44656</v>
      </c>
      <c r="J214" s="580" t="s">
        <v>271</v>
      </c>
      <c r="K214" s="4" t="str">
        <f t="shared" si="25"/>
        <v>I</v>
      </c>
      <c r="L214" s="7" t="str">
        <f t="shared" si="26"/>
        <v>G8</v>
      </c>
      <c r="M214" s="7" t="str">
        <f t="shared" si="27"/>
        <v>J1</v>
      </c>
      <c r="N214" s="62" t="str">
        <f t="shared" si="28"/>
        <v/>
      </c>
      <c r="O214" s="8">
        <f t="shared" si="29"/>
        <v>45752</v>
      </c>
      <c r="P214" s="9" t="str">
        <f t="shared" ca="1" si="30"/>
        <v>ATRASADO</v>
      </c>
      <c r="Q214" s="9" t="s">
        <v>919</v>
      </c>
      <c r="R214" s="9"/>
      <c r="S214" s="9" t="str">
        <f t="shared" si="31"/>
        <v/>
      </c>
    </row>
    <row r="215" spans="1:19" x14ac:dyDescent="0.3">
      <c r="A215" s="9">
        <v>211</v>
      </c>
      <c r="B215" s="2" t="s">
        <v>111</v>
      </c>
      <c r="C215" s="76" t="s">
        <v>1347</v>
      </c>
      <c r="D215" s="17" t="s">
        <v>1348</v>
      </c>
      <c r="E215" s="26">
        <v>23970</v>
      </c>
      <c r="F215" s="9">
        <f t="shared" ca="1" si="24"/>
        <v>61</v>
      </c>
      <c r="G215" s="8">
        <v>43039</v>
      </c>
      <c r="H215" s="9" t="s">
        <v>275</v>
      </c>
      <c r="I215" s="60">
        <v>44677</v>
      </c>
      <c r="J215" s="580" t="s">
        <v>271</v>
      </c>
      <c r="K215" s="4" t="str">
        <f t="shared" si="25"/>
        <v>I</v>
      </c>
      <c r="L215" s="7" t="str">
        <f t="shared" si="26"/>
        <v>G8</v>
      </c>
      <c r="M215" s="7" t="str">
        <f t="shared" si="27"/>
        <v>J1</v>
      </c>
      <c r="N215" s="62" t="str">
        <f t="shared" si="28"/>
        <v/>
      </c>
      <c r="O215" s="8">
        <f t="shared" si="29"/>
        <v>45773</v>
      </c>
      <c r="P215" s="9" t="str">
        <f t="shared" ca="1" si="30"/>
        <v>ATRASADO</v>
      </c>
      <c r="Q215" s="9" t="s">
        <v>919</v>
      </c>
      <c r="R215" s="9"/>
      <c r="S215" s="9" t="str">
        <f t="shared" si="31"/>
        <v/>
      </c>
    </row>
    <row r="216" spans="1:19" x14ac:dyDescent="0.3">
      <c r="A216" s="9">
        <v>212</v>
      </c>
      <c r="B216" s="2" t="s">
        <v>111</v>
      </c>
      <c r="C216" s="76" t="s">
        <v>1349</v>
      </c>
      <c r="D216" s="17" t="s">
        <v>1350</v>
      </c>
      <c r="E216" s="26">
        <v>24540</v>
      </c>
      <c r="F216" s="9">
        <f t="shared" ca="1" si="24"/>
        <v>59</v>
      </c>
      <c r="G216" s="8">
        <v>43186</v>
      </c>
      <c r="H216" s="9" t="s">
        <v>954</v>
      </c>
      <c r="I216" s="60">
        <v>44666</v>
      </c>
      <c r="J216" s="580" t="s">
        <v>275</v>
      </c>
      <c r="K216" s="4" t="str">
        <f t="shared" si="25"/>
        <v>I</v>
      </c>
      <c r="L216" s="7" t="str">
        <f t="shared" si="26"/>
        <v>G8</v>
      </c>
      <c r="M216" s="7" t="str">
        <f t="shared" si="27"/>
        <v/>
      </c>
      <c r="N216" s="62" t="str">
        <f t="shared" si="28"/>
        <v/>
      </c>
      <c r="O216" s="8">
        <f t="shared" si="29"/>
        <v>45762</v>
      </c>
      <c r="P216" s="9" t="str">
        <f t="shared" ca="1" si="30"/>
        <v>ATRASADO</v>
      </c>
      <c r="Q216" s="9" t="s">
        <v>919</v>
      </c>
      <c r="R216" s="9"/>
      <c r="S216" s="9" t="str">
        <f t="shared" si="31"/>
        <v/>
      </c>
    </row>
    <row r="217" spans="1:19" x14ac:dyDescent="0.3">
      <c r="A217" s="9">
        <v>213</v>
      </c>
      <c r="B217" s="2" t="s">
        <v>111</v>
      </c>
      <c r="C217" s="76" t="s">
        <v>1351</v>
      </c>
      <c r="D217" s="17" t="s">
        <v>1352</v>
      </c>
      <c r="E217" s="26">
        <v>25762</v>
      </c>
      <c r="F217" s="9">
        <f t="shared" ca="1" si="24"/>
        <v>56</v>
      </c>
      <c r="G217" s="8">
        <v>43205</v>
      </c>
      <c r="H217" s="9" t="s">
        <v>320</v>
      </c>
      <c r="I217" s="60">
        <v>44674</v>
      </c>
      <c r="J217" s="580" t="s">
        <v>275</v>
      </c>
      <c r="K217" s="4" t="str">
        <f t="shared" si="25"/>
        <v>I</v>
      </c>
      <c r="L217" s="7" t="str">
        <f t="shared" si="26"/>
        <v>G8</v>
      </c>
      <c r="M217" s="7" t="str">
        <f t="shared" si="27"/>
        <v/>
      </c>
      <c r="N217" s="62" t="str">
        <f t="shared" si="28"/>
        <v/>
      </c>
      <c r="O217" s="8">
        <f t="shared" si="29"/>
        <v>45770</v>
      </c>
      <c r="P217" s="9" t="str">
        <f t="shared" ca="1" si="30"/>
        <v>ATRASADO</v>
      </c>
      <c r="Q217" s="9" t="s">
        <v>919</v>
      </c>
      <c r="R217" s="9"/>
      <c r="S217" s="9" t="str">
        <f t="shared" si="31"/>
        <v/>
      </c>
    </row>
    <row r="218" spans="1:19" x14ac:dyDescent="0.3">
      <c r="A218" s="9">
        <v>214</v>
      </c>
      <c r="B218" s="2" t="s">
        <v>45</v>
      </c>
      <c r="C218" s="76" t="s">
        <v>1353</v>
      </c>
      <c r="D218" s="17" t="s">
        <v>1354</v>
      </c>
      <c r="E218" s="26">
        <v>25432</v>
      </c>
      <c r="F218" s="9">
        <f t="shared" ca="1" si="24"/>
        <v>57</v>
      </c>
      <c r="G218" s="8">
        <v>43462</v>
      </c>
      <c r="H218" s="9" t="s">
        <v>275</v>
      </c>
      <c r="I218" s="60">
        <v>44656</v>
      </c>
      <c r="J218" s="580" t="s">
        <v>275</v>
      </c>
      <c r="K218" s="4" t="str">
        <f t="shared" si="25"/>
        <v>I</v>
      </c>
      <c r="L218" s="7" t="str">
        <f t="shared" si="26"/>
        <v>G8</v>
      </c>
      <c r="M218" s="7" t="str">
        <f t="shared" si="27"/>
        <v/>
      </c>
      <c r="N218" s="62" t="str">
        <f t="shared" si="28"/>
        <v/>
      </c>
      <c r="O218" s="8">
        <f t="shared" si="29"/>
        <v>45752</v>
      </c>
      <c r="P218" s="9" t="str">
        <f t="shared" ca="1" si="30"/>
        <v>ATRASADO</v>
      </c>
      <c r="Q218" s="9" t="s">
        <v>919</v>
      </c>
      <c r="R218" s="9"/>
      <c r="S218" s="9" t="str">
        <f t="shared" si="31"/>
        <v/>
      </c>
    </row>
    <row r="219" spans="1:19" x14ac:dyDescent="0.3">
      <c r="A219" s="9">
        <v>215</v>
      </c>
      <c r="B219" s="2" t="s">
        <v>111</v>
      </c>
      <c r="C219" s="76" t="s">
        <v>1355</v>
      </c>
      <c r="D219" s="17" t="s">
        <v>1356</v>
      </c>
      <c r="E219" s="26">
        <v>35776</v>
      </c>
      <c r="F219" s="9">
        <f t="shared" ca="1" si="24"/>
        <v>28</v>
      </c>
      <c r="G219" s="8">
        <v>44057</v>
      </c>
      <c r="H219" s="9" t="s">
        <v>271</v>
      </c>
      <c r="I219" s="60">
        <v>44679</v>
      </c>
      <c r="J219" s="580" t="s">
        <v>8</v>
      </c>
      <c r="K219" s="4" t="str">
        <f t="shared" si="25"/>
        <v>SI</v>
      </c>
      <c r="L219" s="7" t="str">
        <f t="shared" si="26"/>
        <v xml:space="preserve">N </v>
      </c>
      <c r="M219" s="7" t="str">
        <f t="shared" si="27"/>
        <v>RE</v>
      </c>
      <c r="N219" s="62" t="str">
        <f t="shared" si="28"/>
        <v>GI</v>
      </c>
      <c r="O219" s="8">
        <f t="shared" si="29"/>
        <v>45775</v>
      </c>
      <c r="P219" s="9" t="str">
        <f t="shared" ca="1" si="30"/>
        <v>ATRASADO</v>
      </c>
      <c r="Q219" s="9" t="s">
        <v>919</v>
      </c>
      <c r="R219" s="9"/>
      <c r="S219" s="9" t="str">
        <f t="shared" si="31"/>
        <v/>
      </c>
    </row>
    <row r="220" spans="1:19" x14ac:dyDescent="0.3">
      <c r="A220" s="9">
        <v>216</v>
      </c>
      <c r="B220" s="2" t="s">
        <v>111</v>
      </c>
      <c r="C220" s="76" t="s">
        <v>1357</v>
      </c>
      <c r="D220" s="17" t="s">
        <v>1358</v>
      </c>
      <c r="E220" s="26">
        <v>31935</v>
      </c>
      <c r="F220" s="9">
        <f t="shared" ca="1" si="24"/>
        <v>39</v>
      </c>
      <c r="G220" s="8">
        <v>44051</v>
      </c>
      <c r="H220" s="9" t="s">
        <v>275</v>
      </c>
      <c r="I220" s="60">
        <v>44669</v>
      </c>
      <c r="J220" s="580" t="s">
        <v>271</v>
      </c>
      <c r="K220" s="4" t="str">
        <f t="shared" si="25"/>
        <v>I</v>
      </c>
      <c r="L220" s="7" t="str">
        <f t="shared" si="26"/>
        <v>G8</v>
      </c>
      <c r="M220" s="7" t="str">
        <f t="shared" si="27"/>
        <v>J1</v>
      </c>
      <c r="N220" s="62" t="str">
        <f t="shared" si="28"/>
        <v/>
      </c>
      <c r="O220" s="8">
        <f t="shared" si="29"/>
        <v>45765</v>
      </c>
      <c r="P220" s="9" t="str">
        <f t="shared" ca="1" si="30"/>
        <v>ATRASADO</v>
      </c>
      <c r="Q220" s="9" t="s">
        <v>919</v>
      </c>
      <c r="R220" s="9"/>
      <c r="S220" s="9" t="str">
        <f t="shared" si="31"/>
        <v/>
      </c>
    </row>
    <row r="221" spans="1:19" x14ac:dyDescent="0.3">
      <c r="A221" s="9">
        <v>217</v>
      </c>
      <c r="B221" s="2" t="s">
        <v>111</v>
      </c>
      <c r="C221" s="76" t="s">
        <v>1359</v>
      </c>
      <c r="D221" s="17" t="s">
        <v>1360</v>
      </c>
      <c r="E221" s="26">
        <v>23778</v>
      </c>
      <c r="F221" s="9">
        <f t="shared" ca="1" si="24"/>
        <v>61</v>
      </c>
      <c r="G221" s="9" t="s">
        <v>8</v>
      </c>
      <c r="H221" s="9" t="s">
        <v>275</v>
      </c>
      <c r="I221" s="60">
        <v>44664</v>
      </c>
      <c r="J221" s="580" t="s">
        <v>275</v>
      </c>
      <c r="K221" s="4" t="str">
        <f t="shared" si="25"/>
        <v>I</v>
      </c>
      <c r="L221" s="7" t="str">
        <f t="shared" si="26"/>
        <v>G8</v>
      </c>
      <c r="M221" s="7" t="str">
        <f t="shared" si="27"/>
        <v/>
      </c>
      <c r="N221" s="62" t="str">
        <f t="shared" si="28"/>
        <v/>
      </c>
      <c r="O221" s="8">
        <f t="shared" si="29"/>
        <v>45760</v>
      </c>
      <c r="P221" s="9" t="str">
        <f t="shared" ca="1" si="30"/>
        <v>ATRASADO</v>
      </c>
      <c r="Q221" s="9" t="s">
        <v>919</v>
      </c>
      <c r="R221" s="9"/>
      <c r="S221" s="9" t="str">
        <f t="shared" si="31"/>
        <v/>
      </c>
    </row>
    <row r="222" spans="1:19" x14ac:dyDescent="0.3">
      <c r="A222" s="9">
        <v>218</v>
      </c>
      <c r="B222" s="2" t="s">
        <v>111</v>
      </c>
      <c r="C222" s="76" t="s">
        <v>1361</v>
      </c>
      <c r="D222" s="17" t="s">
        <v>1362</v>
      </c>
      <c r="E222" s="26">
        <v>25995</v>
      </c>
      <c r="F222" s="9">
        <f t="shared" ca="1" si="24"/>
        <v>55</v>
      </c>
      <c r="G222" s="8">
        <v>43960</v>
      </c>
      <c r="H222" s="9" t="s">
        <v>275</v>
      </c>
      <c r="I222" s="60">
        <v>44680</v>
      </c>
      <c r="J222" s="580" t="s">
        <v>271</v>
      </c>
      <c r="K222" s="4" t="str">
        <f t="shared" si="25"/>
        <v>I</v>
      </c>
      <c r="L222" s="7" t="str">
        <f t="shared" si="26"/>
        <v>G8</v>
      </c>
      <c r="M222" s="7" t="str">
        <f t="shared" si="27"/>
        <v>J1</v>
      </c>
      <c r="N222" s="62" t="str">
        <f t="shared" si="28"/>
        <v/>
      </c>
      <c r="O222" s="8">
        <f t="shared" si="29"/>
        <v>45776</v>
      </c>
      <c r="P222" s="9" t="str">
        <f t="shared" ca="1" si="30"/>
        <v>ATRASADO</v>
      </c>
      <c r="Q222" s="9" t="s">
        <v>919</v>
      </c>
      <c r="R222" s="9"/>
      <c r="S222" s="9" t="str">
        <f t="shared" si="31"/>
        <v/>
      </c>
    </row>
    <row r="223" spans="1:19" x14ac:dyDescent="0.3">
      <c r="A223" s="9">
        <v>219</v>
      </c>
      <c r="B223" s="2" t="s">
        <v>111</v>
      </c>
      <c r="C223" s="76" t="s">
        <v>1363</v>
      </c>
      <c r="D223" s="17" t="s">
        <v>1364</v>
      </c>
      <c r="E223" s="26">
        <v>29652</v>
      </c>
      <c r="F223" s="9">
        <f t="shared" ca="1" si="24"/>
        <v>45</v>
      </c>
      <c r="G223" s="8">
        <v>43215</v>
      </c>
      <c r="H223" s="9" t="s">
        <v>275</v>
      </c>
      <c r="I223" s="60">
        <v>44675</v>
      </c>
      <c r="J223" s="580" t="s">
        <v>8</v>
      </c>
      <c r="K223" s="4" t="str">
        <f t="shared" si="25"/>
        <v>SI</v>
      </c>
      <c r="L223" s="7" t="str">
        <f t="shared" si="26"/>
        <v xml:space="preserve">N </v>
      </c>
      <c r="M223" s="7" t="str">
        <f t="shared" si="27"/>
        <v>RE</v>
      </c>
      <c r="N223" s="62" t="str">
        <f t="shared" si="28"/>
        <v>GI</v>
      </c>
      <c r="O223" s="8">
        <f t="shared" si="29"/>
        <v>45771</v>
      </c>
      <c r="P223" s="9" t="str">
        <f t="shared" ca="1" si="30"/>
        <v>ATRASADO</v>
      </c>
      <c r="Q223" s="9" t="s">
        <v>919</v>
      </c>
      <c r="R223" s="9"/>
      <c r="S223" s="9" t="str">
        <f t="shared" si="31"/>
        <v/>
      </c>
    </row>
    <row r="224" spans="1:19" x14ac:dyDescent="0.3">
      <c r="A224" s="9">
        <v>220</v>
      </c>
      <c r="B224" s="2" t="s">
        <v>346</v>
      </c>
      <c r="C224" s="76" t="s">
        <v>1365</v>
      </c>
      <c r="D224" s="17" t="s">
        <v>1366</v>
      </c>
      <c r="E224" s="26">
        <v>27560</v>
      </c>
      <c r="F224" s="9">
        <f t="shared" ca="1" si="24"/>
        <v>51</v>
      </c>
      <c r="G224" s="8">
        <v>43057</v>
      </c>
      <c r="H224" s="9" t="s">
        <v>327</v>
      </c>
      <c r="I224" s="60">
        <v>44652</v>
      </c>
      <c r="J224" s="580" t="s">
        <v>271</v>
      </c>
      <c r="K224" s="4" t="str">
        <f t="shared" si="25"/>
        <v>I</v>
      </c>
      <c r="L224" s="7" t="str">
        <f t="shared" si="26"/>
        <v>G8</v>
      </c>
      <c r="M224" s="7" t="str">
        <f t="shared" si="27"/>
        <v>J1</v>
      </c>
      <c r="N224" s="62" t="str">
        <f t="shared" si="28"/>
        <v/>
      </c>
      <c r="O224" s="8">
        <f t="shared" si="29"/>
        <v>45748</v>
      </c>
      <c r="P224" s="9" t="str">
        <f t="shared" ca="1" si="30"/>
        <v>ATRASADO</v>
      </c>
      <c r="Q224" s="9" t="s">
        <v>919</v>
      </c>
      <c r="R224" s="9"/>
      <c r="S224" s="9" t="str">
        <f t="shared" si="31"/>
        <v/>
      </c>
    </row>
    <row r="225" spans="1:19" x14ac:dyDescent="0.3">
      <c r="A225" s="9">
        <v>221</v>
      </c>
      <c r="B225" s="2" t="s">
        <v>111</v>
      </c>
      <c r="C225" s="76" t="s">
        <v>1367</v>
      </c>
      <c r="D225" s="17" t="s">
        <v>1368</v>
      </c>
      <c r="E225" s="26">
        <v>23912</v>
      </c>
      <c r="F225" s="9">
        <f t="shared" ca="1" si="24"/>
        <v>61</v>
      </c>
      <c r="G225" s="8">
        <v>43119</v>
      </c>
      <c r="H225" s="9" t="s">
        <v>324</v>
      </c>
      <c r="I225" s="60">
        <v>44655</v>
      </c>
      <c r="J225" s="580" t="s">
        <v>8</v>
      </c>
      <c r="K225" s="4" t="str">
        <f t="shared" si="25"/>
        <v>SI</v>
      </c>
      <c r="L225" s="7" t="str">
        <f t="shared" si="26"/>
        <v xml:space="preserve">N </v>
      </c>
      <c r="M225" s="7" t="str">
        <f t="shared" si="27"/>
        <v>RE</v>
      </c>
      <c r="N225" s="62" t="str">
        <f t="shared" si="28"/>
        <v>GI</v>
      </c>
      <c r="O225" s="8">
        <f t="shared" si="29"/>
        <v>45751</v>
      </c>
      <c r="P225" s="9" t="str">
        <f t="shared" ca="1" si="30"/>
        <v>ATRASADO</v>
      </c>
      <c r="Q225" s="9" t="s">
        <v>919</v>
      </c>
      <c r="R225" s="9"/>
      <c r="S225" s="9" t="str">
        <f t="shared" si="31"/>
        <v/>
      </c>
    </row>
    <row r="226" spans="1:19" x14ac:dyDescent="0.3">
      <c r="A226" s="9">
        <v>222</v>
      </c>
      <c r="B226" s="2" t="s">
        <v>111</v>
      </c>
      <c r="C226" s="76" t="s">
        <v>1369</v>
      </c>
      <c r="D226" s="17" t="s">
        <v>1370</v>
      </c>
      <c r="E226" s="26">
        <v>26919</v>
      </c>
      <c r="F226" s="9">
        <f t="shared" ca="1" si="24"/>
        <v>53</v>
      </c>
      <c r="G226" s="8">
        <v>43103</v>
      </c>
      <c r="H226" s="9" t="s">
        <v>271</v>
      </c>
      <c r="I226" s="60">
        <v>44659</v>
      </c>
      <c r="J226" s="580" t="s">
        <v>275</v>
      </c>
      <c r="K226" s="4" t="str">
        <f t="shared" si="25"/>
        <v>I</v>
      </c>
      <c r="L226" s="7" t="str">
        <f t="shared" si="26"/>
        <v>G8</v>
      </c>
      <c r="M226" s="7" t="str">
        <f t="shared" si="27"/>
        <v/>
      </c>
      <c r="N226" s="62" t="str">
        <f t="shared" si="28"/>
        <v/>
      </c>
      <c r="O226" s="8">
        <f t="shared" si="29"/>
        <v>45755</v>
      </c>
      <c r="P226" s="9" t="str">
        <f t="shared" ca="1" si="30"/>
        <v>ATRASADO</v>
      </c>
      <c r="Q226" s="9" t="s">
        <v>919</v>
      </c>
      <c r="R226" s="9"/>
      <c r="S226" s="9" t="str">
        <f t="shared" si="31"/>
        <v/>
      </c>
    </row>
    <row r="227" spans="1:19" x14ac:dyDescent="0.3">
      <c r="A227" s="9">
        <v>223</v>
      </c>
      <c r="B227" s="2" t="s">
        <v>111</v>
      </c>
      <c r="C227" s="76" t="s">
        <v>1371</v>
      </c>
      <c r="D227" s="17" t="s">
        <v>1372</v>
      </c>
      <c r="E227" s="26">
        <v>24852</v>
      </c>
      <c r="F227" s="9">
        <f t="shared" ca="1" si="24"/>
        <v>58</v>
      </c>
      <c r="G227" s="9" t="s">
        <v>8</v>
      </c>
      <c r="H227" s="9" t="s">
        <v>8</v>
      </c>
      <c r="I227" s="60">
        <v>44657</v>
      </c>
      <c r="J227" s="580" t="s">
        <v>8</v>
      </c>
      <c r="K227" s="4" t="str">
        <f t="shared" si="25"/>
        <v>SI</v>
      </c>
      <c r="L227" s="7" t="str">
        <f t="shared" si="26"/>
        <v xml:space="preserve">N </v>
      </c>
      <c r="M227" s="7" t="str">
        <f t="shared" si="27"/>
        <v>RE</v>
      </c>
      <c r="N227" s="62" t="str">
        <f t="shared" si="28"/>
        <v>GI</v>
      </c>
      <c r="O227" s="8">
        <f t="shared" si="29"/>
        <v>45753</v>
      </c>
      <c r="P227" s="9" t="str">
        <f t="shared" ca="1" si="30"/>
        <v>ATRASADO</v>
      </c>
      <c r="Q227" s="9" t="s">
        <v>919</v>
      </c>
      <c r="R227" s="9"/>
      <c r="S227" s="9" t="str">
        <f t="shared" si="31"/>
        <v/>
      </c>
    </row>
    <row r="228" spans="1:19" x14ac:dyDescent="0.3">
      <c r="A228" s="9">
        <v>224</v>
      </c>
      <c r="B228" s="2" t="s">
        <v>111</v>
      </c>
      <c r="C228" s="76" t="s">
        <v>1373</v>
      </c>
      <c r="D228" s="17" t="s">
        <v>1374</v>
      </c>
      <c r="E228" s="26">
        <v>33143</v>
      </c>
      <c r="F228" s="9">
        <f t="shared" ca="1" si="24"/>
        <v>36</v>
      </c>
      <c r="G228" s="8">
        <v>43016</v>
      </c>
      <c r="H228" s="9" t="s">
        <v>8</v>
      </c>
      <c r="I228" s="60">
        <v>44679</v>
      </c>
      <c r="J228" s="580" t="s">
        <v>271</v>
      </c>
      <c r="K228" s="4" t="str">
        <f t="shared" si="25"/>
        <v>I</v>
      </c>
      <c r="L228" s="7" t="str">
        <f t="shared" si="26"/>
        <v>G8</v>
      </c>
      <c r="M228" s="7" t="str">
        <f t="shared" si="27"/>
        <v>J1</v>
      </c>
      <c r="N228" s="62" t="str">
        <f t="shared" si="28"/>
        <v/>
      </c>
      <c r="O228" s="8">
        <f t="shared" si="29"/>
        <v>45775</v>
      </c>
      <c r="P228" s="9" t="str">
        <f t="shared" ca="1" si="30"/>
        <v>ATRASADO</v>
      </c>
      <c r="Q228" s="9" t="s">
        <v>919</v>
      </c>
      <c r="R228" s="9"/>
      <c r="S228" s="9" t="str">
        <f t="shared" si="31"/>
        <v/>
      </c>
    </row>
    <row r="229" spans="1:19" x14ac:dyDescent="0.3">
      <c r="A229" s="9">
        <v>225</v>
      </c>
      <c r="B229" s="2" t="s">
        <v>111</v>
      </c>
      <c r="C229" s="76" t="s">
        <v>1375</v>
      </c>
      <c r="D229" s="17" t="s">
        <v>1376</v>
      </c>
      <c r="E229" s="26">
        <v>26484</v>
      </c>
      <c r="F229" s="9">
        <f t="shared" ca="1" si="24"/>
        <v>54</v>
      </c>
      <c r="G229" s="8">
        <v>44206</v>
      </c>
      <c r="H229" s="9" t="s">
        <v>275</v>
      </c>
      <c r="I229" s="60">
        <v>44664</v>
      </c>
      <c r="J229" s="580" t="s">
        <v>271</v>
      </c>
      <c r="K229" s="4" t="str">
        <f t="shared" si="25"/>
        <v>I</v>
      </c>
      <c r="L229" s="7" t="str">
        <f t="shared" si="26"/>
        <v>G8</v>
      </c>
      <c r="M229" s="7" t="str">
        <f t="shared" si="27"/>
        <v>J1</v>
      </c>
      <c r="N229" s="62" t="str">
        <f t="shared" si="28"/>
        <v/>
      </c>
      <c r="O229" s="8">
        <f t="shared" si="29"/>
        <v>45760</v>
      </c>
      <c r="P229" s="9" t="str">
        <f t="shared" ca="1" si="30"/>
        <v>ATRASADO</v>
      </c>
      <c r="Q229" s="9" t="s">
        <v>919</v>
      </c>
      <c r="R229" s="9"/>
      <c r="S229" s="9" t="str">
        <f t="shared" si="31"/>
        <v/>
      </c>
    </row>
    <row r="230" spans="1:19" x14ac:dyDescent="0.3">
      <c r="A230" s="9">
        <v>226</v>
      </c>
      <c r="B230" s="2" t="s">
        <v>111</v>
      </c>
      <c r="C230" s="76" t="s">
        <v>1377</v>
      </c>
      <c r="D230" s="17" t="s">
        <v>1378</v>
      </c>
      <c r="E230" s="26">
        <v>32513</v>
      </c>
      <c r="F230" s="9">
        <f t="shared" ca="1" si="24"/>
        <v>37</v>
      </c>
      <c r="G230" s="8">
        <v>44137</v>
      </c>
      <c r="H230" s="9" t="s">
        <v>275</v>
      </c>
      <c r="I230" s="60">
        <v>44676</v>
      </c>
      <c r="J230" s="580" t="s">
        <v>8</v>
      </c>
      <c r="K230" s="4" t="str">
        <f t="shared" si="25"/>
        <v>SI</v>
      </c>
      <c r="L230" s="7" t="str">
        <f t="shared" si="26"/>
        <v xml:space="preserve">N </v>
      </c>
      <c r="M230" s="7" t="str">
        <f t="shared" si="27"/>
        <v>RE</v>
      </c>
      <c r="N230" s="62" t="str">
        <f t="shared" si="28"/>
        <v>GI</v>
      </c>
      <c r="O230" s="8">
        <f t="shared" si="29"/>
        <v>45772</v>
      </c>
      <c r="P230" s="9" t="str">
        <f t="shared" ca="1" si="30"/>
        <v>ATRASADO</v>
      </c>
      <c r="Q230" s="9" t="s">
        <v>919</v>
      </c>
      <c r="R230" s="9"/>
      <c r="S230" s="9" t="str">
        <f t="shared" si="31"/>
        <v/>
      </c>
    </row>
    <row r="231" spans="1:19" x14ac:dyDescent="0.3">
      <c r="A231" s="9">
        <v>227</v>
      </c>
      <c r="B231" s="2" t="s">
        <v>111</v>
      </c>
      <c r="C231" s="76" t="s">
        <v>1379</v>
      </c>
      <c r="D231" s="17" t="s">
        <v>1380</v>
      </c>
      <c r="E231" s="26">
        <v>22560</v>
      </c>
      <c r="F231" s="9">
        <f t="shared" ca="1" si="24"/>
        <v>64</v>
      </c>
      <c r="G231" s="8">
        <v>43001</v>
      </c>
      <c r="H231" s="9" t="s">
        <v>275</v>
      </c>
      <c r="I231" s="60">
        <v>44676</v>
      </c>
      <c r="J231" s="580" t="s">
        <v>594</v>
      </c>
      <c r="K231" s="4" t="str">
        <f t="shared" si="25"/>
        <v>I</v>
      </c>
      <c r="L231" s="7" t="str">
        <f t="shared" si="26"/>
        <v>G8</v>
      </c>
      <c r="M231" s="7" t="str">
        <f t="shared" si="27"/>
        <v>J6</v>
      </c>
      <c r="N231" s="62" t="str">
        <f t="shared" si="28"/>
        <v/>
      </c>
      <c r="O231" s="8">
        <f t="shared" si="29"/>
        <v>45772</v>
      </c>
      <c r="P231" s="9" t="str">
        <f t="shared" ca="1" si="30"/>
        <v>ATRASADO</v>
      </c>
      <c r="Q231" s="9" t="s">
        <v>919</v>
      </c>
      <c r="R231" s="9"/>
      <c r="S231" s="9" t="str">
        <f t="shared" si="31"/>
        <v>ACTINOMYCES</v>
      </c>
    </row>
    <row r="232" spans="1:19" x14ac:dyDescent="0.3">
      <c r="A232" s="9">
        <v>228</v>
      </c>
      <c r="B232" s="2" t="s">
        <v>111</v>
      </c>
      <c r="C232" s="76" t="s">
        <v>1381</v>
      </c>
      <c r="D232" s="17" t="s">
        <v>1382</v>
      </c>
      <c r="E232" s="26">
        <v>34753</v>
      </c>
      <c r="F232" s="9">
        <f t="shared" ca="1" si="24"/>
        <v>31</v>
      </c>
      <c r="G232" s="8">
        <v>43505</v>
      </c>
      <c r="H232" s="9" t="s">
        <v>271</v>
      </c>
      <c r="I232" s="60">
        <v>44680</v>
      </c>
      <c r="J232" s="580" t="s">
        <v>624</v>
      </c>
      <c r="K232" s="4" t="str">
        <f t="shared" si="25"/>
        <v>I</v>
      </c>
      <c r="L232" s="7" t="str">
        <f t="shared" si="26"/>
        <v>G8</v>
      </c>
      <c r="M232" s="7" t="str">
        <f t="shared" si="27"/>
        <v>N</v>
      </c>
      <c r="N232" s="62" t="str">
        <f t="shared" si="28"/>
        <v/>
      </c>
      <c r="O232" s="8">
        <f t="shared" si="29"/>
        <v>45776</v>
      </c>
      <c r="P232" s="9" t="str">
        <f t="shared" ca="1" si="30"/>
        <v>ATRASADO</v>
      </c>
      <c r="Q232" s="9" t="s">
        <v>919</v>
      </c>
      <c r="R232" s="9"/>
      <c r="S232" s="9" t="str">
        <f t="shared" si="31"/>
        <v/>
      </c>
    </row>
    <row r="233" spans="1:19" x14ac:dyDescent="0.3">
      <c r="A233" s="9">
        <v>229</v>
      </c>
      <c r="B233" s="2" t="s">
        <v>111</v>
      </c>
      <c r="C233" s="76" t="s">
        <v>1383</v>
      </c>
      <c r="D233" s="17" t="s">
        <v>1384</v>
      </c>
      <c r="E233" s="26">
        <v>32619</v>
      </c>
      <c r="F233" s="9">
        <f t="shared" ca="1" si="24"/>
        <v>37</v>
      </c>
      <c r="G233" s="8">
        <v>43097</v>
      </c>
      <c r="H233" s="9" t="s">
        <v>275</v>
      </c>
      <c r="I233" s="60">
        <v>44669</v>
      </c>
      <c r="J233" s="580" t="s">
        <v>275</v>
      </c>
      <c r="K233" s="4" t="str">
        <f t="shared" si="25"/>
        <v>I</v>
      </c>
      <c r="L233" s="7" t="str">
        <f t="shared" si="26"/>
        <v>G8</v>
      </c>
      <c r="M233" s="7" t="str">
        <f t="shared" si="27"/>
        <v/>
      </c>
      <c r="N233" s="62" t="str">
        <f t="shared" si="28"/>
        <v/>
      </c>
      <c r="O233" s="8">
        <f t="shared" si="29"/>
        <v>45765</v>
      </c>
      <c r="P233" s="9" t="str">
        <f t="shared" ca="1" si="30"/>
        <v>ATRASADO</v>
      </c>
      <c r="Q233" s="9" t="s">
        <v>919</v>
      </c>
      <c r="R233" s="9"/>
      <c r="S233" s="9" t="str">
        <f t="shared" si="31"/>
        <v/>
      </c>
    </row>
    <row r="234" spans="1:19" x14ac:dyDescent="0.3">
      <c r="A234" s="9">
        <v>230</v>
      </c>
      <c r="B234" s="2" t="s">
        <v>111</v>
      </c>
      <c r="C234" s="76" t="s">
        <v>1385</v>
      </c>
      <c r="D234" s="17" t="s">
        <v>1386</v>
      </c>
      <c r="E234" s="26">
        <v>23474</v>
      </c>
      <c r="F234" s="9">
        <f t="shared" ca="1" si="24"/>
        <v>62</v>
      </c>
      <c r="G234" s="8">
        <v>43980</v>
      </c>
      <c r="H234" s="9" t="s">
        <v>271</v>
      </c>
      <c r="I234" s="60">
        <v>44670</v>
      </c>
      <c r="J234" s="580" t="s">
        <v>275</v>
      </c>
      <c r="K234" s="4" t="str">
        <f t="shared" si="25"/>
        <v>I</v>
      </c>
      <c r="L234" s="7" t="str">
        <f t="shared" si="26"/>
        <v>G8</v>
      </c>
      <c r="M234" s="7" t="str">
        <f t="shared" si="27"/>
        <v/>
      </c>
      <c r="N234" s="62" t="str">
        <f t="shared" si="28"/>
        <v/>
      </c>
      <c r="O234" s="8">
        <f t="shared" si="29"/>
        <v>45766</v>
      </c>
      <c r="P234" s="9" t="str">
        <f t="shared" ca="1" si="30"/>
        <v>ATRASADO</v>
      </c>
      <c r="Q234" s="9" t="s">
        <v>919</v>
      </c>
      <c r="R234" s="9"/>
      <c r="S234" s="9" t="str">
        <f t="shared" si="31"/>
        <v/>
      </c>
    </row>
    <row r="235" spans="1:19" x14ac:dyDescent="0.3">
      <c r="A235" s="9">
        <v>231</v>
      </c>
      <c r="B235" s="2" t="s">
        <v>346</v>
      </c>
      <c r="C235" s="76" t="s">
        <v>1387</v>
      </c>
      <c r="D235" s="17" t="s">
        <v>1388</v>
      </c>
      <c r="E235" s="26">
        <v>26209</v>
      </c>
      <c r="F235" s="9">
        <f t="shared" ca="1" si="24"/>
        <v>54</v>
      </c>
      <c r="G235" s="8">
        <v>42894</v>
      </c>
      <c r="H235" s="9" t="s">
        <v>275</v>
      </c>
      <c r="I235" s="60">
        <v>44668</v>
      </c>
      <c r="J235" s="580" t="s">
        <v>275</v>
      </c>
      <c r="K235" s="4" t="str">
        <f t="shared" si="25"/>
        <v>I</v>
      </c>
      <c r="L235" s="7" t="str">
        <f t="shared" si="26"/>
        <v>G8</v>
      </c>
      <c r="M235" s="7" t="str">
        <f t="shared" si="27"/>
        <v/>
      </c>
      <c r="N235" s="62" t="str">
        <f t="shared" si="28"/>
        <v/>
      </c>
      <c r="O235" s="8">
        <f t="shared" si="29"/>
        <v>45764</v>
      </c>
      <c r="P235" s="9" t="str">
        <f t="shared" ca="1" si="30"/>
        <v>ATRASADO</v>
      </c>
      <c r="Q235" s="9" t="s">
        <v>919</v>
      </c>
      <c r="R235" s="9"/>
      <c r="S235" s="9" t="str">
        <f t="shared" si="31"/>
        <v/>
      </c>
    </row>
    <row r="236" spans="1:19" x14ac:dyDescent="0.3">
      <c r="A236" s="9">
        <v>232</v>
      </c>
      <c r="B236" s="2" t="s">
        <v>111</v>
      </c>
      <c r="C236" s="76" t="s">
        <v>1389</v>
      </c>
      <c r="D236" s="17" t="s">
        <v>1390</v>
      </c>
      <c r="E236" s="26">
        <v>22572</v>
      </c>
      <c r="F236" s="9">
        <f t="shared" ca="1" si="24"/>
        <v>64</v>
      </c>
      <c r="G236" s="8">
        <v>43110</v>
      </c>
      <c r="H236" s="9" t="s">
        <v>8</v>
      </c>
      <c r="I236" s="60">
        <v>44668</v>
      </c>
      <c r="J236" s="580" t="s">
        <v>275</v>
      </c>
      <c r="K236" s="4" t="str">
        <f t="shared" si="25"/>
        <v>I</v>
      </c>
      <c r="L236" s="7" t="str">
        <f t="shared" si="26"/>
        <v>G8</v>
      </c>
      <c r="M236" s="7" t="str">
        <f t="shared" si="27"/>
        <v/>
      </c>
      <c r="N236" s="62" t="str">
        <f t="shared" si="28"/>
        <v/>
      </c>
      <c r="O236" s="8">
        <f t="shared" si="29"/>
        <v>45764</v>
      </c>
      <c r="P236" s="9" t="str">
        <f t="shared" ca="1" si="30"/>
        <v>ATRASADO</v>
      </c>
      <c r="Q236" s="9" t="s">
        <v>919</v>
      </c>
      <c r="R236" s="9"/>
      <c r="S236" s="9" t="str">
        <f t="shared" si="31"/>
        <v/>
      </c>
    </row>
    <row r="237" spans="1:19" x14ac:dyDescent="0.3">
      <c r="A237" s="9">
        <v>233</v>
      </c>
      <c r="B237" s="2" t="s">
        <v>111</v>
      </c>
      <c r="C237" s="76" t="s">
        <v>1391</v>
      </c>
      <c r="D237" s="17" t="s">
        <v>1392</v>
      </c>
      <c r="E237" s="26">
        <v>20557</v>
      </c>
      <c r="F237" s="9">
        <f t="shared" ca="1" si="24"/>
        <v>70</v>
      </c>
      <c r="G237" s="8">
        <v>43801</v>
      </c>
      <c r="H237" s="9" t="s">
        <v>275</v>
      </c>
      <c r="I237" s="60">
        <v>44661</v>
      </c>
      <c r="J237" s="580" t="s">
        <v>275</v>
      </c>
      <c r="K237" s="4" t="str">
        <f t="shared" si="25"/>
        <v>I</v>
      </c>
      <c r="L237" s="7" t="str">
        <f t="shared" si="26"/>
        <v>G8</v>
      </c>
      <c r="M237" s="7" t="str">
        <f t="shared" si="27"/>
        <v/>
      </c>
      <c r="N237" s="62" t="str">
        <f t="shared" si="28"/>
        <v/>
      </c>
      <c r="O237" s="8">
        <f t="shared" si="29"/>
        <v>45757</v>
      </c>
      <c r="P237" s="9" t="str">
        <f t="shared" ca="1" si="30"/>
        <v>ATRASADO</v>
      </c>
      <c r="Q237" s="9" t="s">
        <v>919</v>
      </c>
      <c r="R237" s="9"/>
      <c r="S237" s="9" t="str">
        <f t="shared" si="31"/>
        <v/>
      </c>
    </row>
    <row r="238" spans="1:19" x14ac:dyDescent="0.3">
      <c r="A238" s="9">
        <v>234</v>
      </c>
      <c r="B238" s="2" t="s">
        <v>270</v>
      </c>
      <c r="C238" s="76" t="s">
        <v>1394</v>
      </c>
      <c r="D238" s="17" t="s">
        <v>1395</v>
      </c>
      <c r="E238" s="26">
        <v>24978</v>
      </c>
      <c r="F238" s="9">
        <f t="shared" ca="1" si="24"/>
        <v>58</v>
      </c>
      <c r="G238" s="9" t="s">
        <v>8</v>
      </c>
      <c r="H238" s="9" t="s">
        <v>271</v>
      </c>
      <c r="I238" s="60">
        <v>44657</v>
      </c>
      <c r="J238" s="580" t="s">
        <v>275</v>
      </c>
      <c r="K238" s="4" t="str">
        <f t="shared" si="25"/>
        <v>I</v>
      </c>
      <c r="L238" s="7" t="str">
        <f t="shared" si="26"/>
        <v>G8</v>
      </c>
      <c r="M238" s="7" t="str">
        <f t="shared" si="27"/>
        <v/>
      </c>
      <c r="N238" s="62" t="str">
        <f t="shared" si="28"/>
        <v/>
      </c>
      <c r="O238" s="8">
        <f t="shared" si="29"/>
        <v>45753</v>
      </c>
      <c r="P238" s="9" t="str">
        <f t="shared" ca="1" si="30"/>
        <v>ATRASADO</v>
      </c>
      <c r="Q238" s="9" t="s">
        <v>919</v>
      </c>
      <c r="R238" s="9"/>
      <c r="S238" s="9" t="str">
        <f t="shared" si="31"/>
        <v/>
      </c>
    </row>
    <row r="239" spans="1:19" x14ac:dyDescent="0.3">
      <c r="A239" s="9">
        <v>235</v>
      </c>
      <c r="B239" s="2" t="s">
        <v>111</v>
      </c>
      <c r="C239" s="76" t="s">
        <v>1396</v>
      </c>
      <c r="D239" s="17" t="s">
        <v>1397</v>
      </c>
      <c r="E239" s="26">
        <v>25187</v>
      </c>
      <c r="F239" s="9">
        <f t="shared" ca="1" si="24"/>
        <v>57</v>
      </c>
      <c r="G239" s="8">
        <v>43441</v>
      </c>
      <c r="H239" s="9" t="s">
        <v>271</v>
      </c>
      <c r="I239" s="60">
        <v>44681</v>
      </c>
      <c r="J239" s="580" t="s">
        <v>275</v>
      </c>
      <c r="K239" s="4" t="str">
        <f t="shared" si="25"/>
        <v>I</v>
      </c>
      <c r="L239" s="7" t="str">
        <f t="shared" si="26"/>
        <v>G8</v>
      </c>
      <c r="M239" s="7" t="str">
        <f t="shared" si="27"/>
        <v/>
      </c>
      <c r="N239" s="62" t="str">
        <f t="shared" si="28"/>
        <v/>
      </c>
      <c r="O239" s="8">
        <f t="shared" si="29"/>
        <v>45777</v>
      </c>
      <c r="P239" s="9" t="str">
        <f t="shared" ca="1" si="30"/>
        <v>ATRASADO</v>
      </c>
      <c r="Q239" s="9" t="s">
        <v>919</v>
      </c>
      <c r="R239" s="9"/>
      <c r="S239" s="9" t="str">
        <f t="shared" si="31"/>
        <v/>
      </c>
    </row>
    <row r="240" spans="1:19" x14ac:dyDescent="0.3">
      <c r="A240" s="9">
        <v>236</v>
      </c>
      <c r="B240" s="2" t="s">
        <v>111</v>
      </c>
      <c r="C240" s="76" t="s">
        <v>1398</v>
      </c>
      <c r="D240" s="17" t="s">
        <v>1399</v>
      </c>
      <c r="E240" s="26">
        <v>30554</v>
      </c>
      <c r="F240" s="9">
        <f t="shared" ca="1" si="24"/>
        <v>43</v>
      </c>
      <c r="G240" s="9" t="s">
        <v>8</v>
      </c>
      <c r="H240" s="9" t="s">
        <v>271</v>
      </c>
      <c r="I240" s="60">
        <v>44654</v>
      </c>
      <c r="J240" s="580" t="s">
        <v>271</v>
      </c>
      <c r="K240" s="4" t="str">
        <f t="shared" si="25"/>
        <v>I</v>
      </c>
      <c r="L240" s="7" t="str">
        <f t="shared" si="26"/>
        <v>G8</v>
      </c>
      <c r="M240" s="7" t="str">
        <f t="shared" si="27"/>
        <v>J1</v>
      </c>
      <c r="N240" s="62" t="str">
        <f t="shared" si="28"/>
        <v/>
      </c>
      <c r="O240" s="8">
        <f t="shared" si="29"/>
        <v>45750</v>
      </c>
      <c r="P240" s="9" t="str">
        <f t="shared" ca="1" si="30"/>
        <v>ATRASADO</v>
      </c>
      <c r="Q240" s="9" t="s">
        <v>919</v>
      </c>
      <c r="R240" s="9"/>
      <c r="S240" s="9" t="str">
        <f t="shared" si="31"/>
        <v/>
      </c>
    </row>
    <row r="241" spans="1:19" x14ac:dyDescent="0.3">
      <c r="A241" s="9">
        <v>237</v>
      </c>
      <c r="B241" s="2" t="s">
        <v>111</v>
      </c>
      <c r="C241" s="76" t="s">
        <v>1400</v>
      </c>
      <c r="D241" s="17" t="s">
        <v>1401</v>
      </c>
      <c r="E241" s="26">
        <v>25361</v>
      </c>
      <c r="F241" s="9">
        <f t="shared" ca="1" si="24"/>
        <v>57</v>
      </c>
      <c r="G241" s="8">
        <v>44212</v>
      </c>
      <c r="H241" s="9" t="s">
        <v>324</v>
      </c>
      <c r="I241" s="60">
        <v>44678</v>
      </c>
      <c r="J241" s="580" t="s">
        <v>275</v>
      </c>
      <c r="K241" s="4" t="str">
        <f t="shared" si="25"/>
        <v>I</v>
      </c>
      <c r="L241" s="7" t="str">
        <f t="shared" si="26"/>
        <v>G8</v>
      </c>
      <c r="M241" s="7" t="str">
        <f t="shared" si="27"/>
        <v/>
      </c>
      <c r="N241" s="62" t="str">
        <f t="shared" si="28"/>
        <v/>
      </c>
      <c r="O241" s="8">
        <f t="shared" si="29"/>
        <v>45774</v>
      </c>
      <c r="P241" s="9" t="str">
        <f t="shared" ca="1" si="30"/>
        <v>ATRASADO</v>
      </c>
      <c r="Q241" s="9" t="s">
        <v>919</v>
      </c>
      <c r="R241" s="9"/>
      <c r="S241" s="9" t="str">
        <f t="shared" si="31"/>
        <v/>
      </c>
    </row>
    <row r="242" spans="1:19" x14ac:dyDescent="0.3">
      <c r="A242" s="9">
        <v>238</v>
      </c>
      <c r="B242" s="2" t="s">
        <v>312</v>
      </c>
      <c r="C242" s="76" t="s">
        <v>1402</v>
      </c>
      <c r="D242" s="17" t="s">
        <v>1403</v>
      </c>
      <c r="E242" s="26">
        <v>22283</v>
      </c>
      <c r="F242" s="9">
        <f t="shared" ca="1" si="24"/>
        <v>65</v>
      </c>
      <c r="G242" s="9" t="s">
        <v>8</v>
      </c>
      <c r="H242" s="9" t="s">
        <v>3363</v>
      </c>
      <c r="I242" s="60">
        <v>44669</v>
      </c>
      <c r="J242" s="580" t="s">
        <v>275</v>
      </c>
      <c r="K242" s="4" t="str">
        <f t="shared" si="25"/>
        <v>I</v>
      </c>
      <c r="L242" s="7" t="str">
        <f t="shared" si="26"/>
        <v>G8</v>
      </c>
      <c r="M242" s="7" t="str">
        <f t="shared" si="27"/>
        <v/>
      </c>
      <c r="N242" s="62" t="str">
        <f t="shared" si="28"/>
        <v/>
      </c>
      <c r="O242" s="8">
        <f t="shared" si="29"/>
        <v>45765</v>
      </c>
      <c r="P242" s="9" t="str">
        <f t="shared" ca="1" si="30"/>
        <v>ATRASADO</v>
      </c>
      <c r="Q242" s="9" t="s">
        <v>919</v>
      </c>
      <c r="R242" s="9"/>
      <c r="S242" s="9" t="str">
        <f t="shared" si="31"/>
        <v/>
      </c>
    </row>
    <row r="243" spans="1:19" x14ac:dyDescent="0.3">
      <c r="A243" s="9">
        <v>239</v>
      </c>
      <c r="B243" s="2" t="s">
        <v>75</v>
      </c>
      <c r="C243" s="76" t="s">
        <v>1404</v>
      </c>
      <c r="D243" s="17" t="s">
        <v>1405</v>
      </c>
      <c r="E243" s="26">
        <v>29197</v>
      </c>
      <c r="F243" s="9">
        <f t="shared" ca="1" si="24"/>
        <v>46</v>
      </c>
      <c r="G243" s="8">
        <v>43138</v>
      </c>
      <c r="H243" s="9" t="s">
        <v>594</v>
      </c>
      <c r="I243" s="60">
        <v>44680</v>
      </c>
      <c r="J243" s="580" t="s">
        <v>271</v>
      </c>
      <c r="K243" s="4" t="str">
        <f t="shared" si="25"/>
        <v>I</v>
      </c>
      <c r="L243" s="7" t="str">
        <f t="shared" si="26"/>
        <v>G8</v>
      </c>
      <c r="M243" s="7" t="str">
        <f t="shared" si="27"/>
        <v>J1</v>
      </c>
      <c r="N243" s="62" t="str">
        <f t="shared" si="28"/>
        <v/>
      </c>
      <c r="O243" s="8">
        <f t="shared" si="29"/>
        <v>45776</v>
      </c>
      <c r="P243" s="9" t="str">
        <f t="shared" ca="1" si="30"/>
        <v>ATRASADO</v>
      </c>
      <c r="Q243" s="9" t="s">
        <v>341</v>
      </c>
      <c r="R243" s="9"/>
      <c r="S243" s="9" t="str">
        <f t="shared" si="31"/>
        <v/>
      </c>
    </row>
    <row r="244" spans="1:19" x14ac:dyDescent="0.3">
      <c r="A244" s="9">
        <v>240</v>
      </c>
      <c r="B244" s="2" t="s">
        <v>78</v>
      </c>
      <c r="C244" s="76" t="s">
        <v>1406</v>
      </c>
      <c r="D244" s="17" t="s">
        <v>1407</v>
      </c>
      <c r="E244" s="26">
        <v>32051</v>
      </c>
      <c r="F244" s="9">
        <f t="shared" ca="1" si="24"/>
        <v>39</v>
      </c>
      <c r="G244" s="8">
        <v>43567</v>
      </c>
      <c r="H244" s="9" t="s">
        <v>275</v>
      </c>
      <c r="I244" s="60">
        <v>44657</v>
      </c>
      <c r="J244" s="580" t="s">
        <v>271</v>
      </c>
      <c r="K244" s="4" t="str">
        <f t="shared" si="25"/>
        <v>I</v>
      </c>
      <c r="L244" s="7" t="str">
        <f t="shared" si="26"/>
        <v>G8</v>
      </c>
      <c r="M244" s="7" t="str">
        <f t="shared" si="27"/>
        <v>J1</v>
      </c>
      <c r="N244" s="62" t="str">
        <f t="shared" si="28"/>
        <v/>
      </c>
      <c r="O244" s="8">
        <f t="shared" si="29"/>
        <v>45753</v>
      </c>
      <c r="P244" s="9" t="str">
        <f t="shared" ca="1" si="30"/>
        <v>ATRASADO</v>
      </c>
      <c r="Q244" s="9" t="s">
        <v>341</v>
      </c>
      <c r="R244" s="9"/>
      <c r="S244" s="9" t="str">
        <f t="shared" si="31"/>
        <v/>
      </c>
    </row>
    <row r="245" spans="1:19" x14ac:dyDescent="0.3">
      <c r="A245" s="9">
        <v>241</v>
      </c>
      <c r="B245" s="2" t="s">
        <v>312</v>
      </c>
      <c r="C245" s="76" t="s">
        <v>1408</v>
      </c>
      <c r="D245" s="17" t="s">
        <v>1409</v>
      </c>
      <c r="E245" s="26">
        <v>29031</v>
      </c>
      <c r="F245" s="9">
        <f t="shared" ca="1" si="24"/>
        <v>47</v>
      </c>
      <c r="G245" s="8">
        <v>42865</v>
      </c>
      <c r="H245" s="9" t="s">
        <v>271</v>
      </c>
      <c r="I245" s="60">
        <v>44675</v>
      </c>
      <c r="J245" s="580" t="s">
        <v>275</v>
      </c>
      <c r="K245" s="4" t="str">
        <f t="shared" si="25"/>
        <v>I</v>
      </c>
      <c r="L245" s="7" t="str">
        <f t="shared" si="26"/>
        <v>G8</v>
      </c>
      <c r="M245" s="7" t="str">
        <f t="shared" si="27"/>
        <v/>
      </c>
      <c r="N245" s="62" t="str">
        <f t="shared" si="28"/>
        <v/>
      </c>
      <c r="O245" s="8">
        <f t="shared" si="29"/>
        <v>45771</v>
      </c>
      <c r="P245" s="9" t="str">
        <f t="shared" ca="1" si="30"/>
        <v>ATRASADO</v>
      </c>
      <c r="Q245" s="9" t="s">
        <v>341</v>
      </c>
      <c r="R245" s="9"/>
      <c r="S245" s="9" t="str">
        <f t="shared" si="31"/>
        <v/>
      </c>
    </row>
    <row r="246" spans="1:19" x14ac:dyDescent="0.3">
      <c r="A246" s="9">
        <v>242</v>
      </c>
      <c r="B246" s="2" t="s">
        <v>312</v>
      </c>
      <c r="C246" s="76" t="s">
        <v>1410</v>
      </c>
      <c r="D246" s="17" t="s">
        <v>1411</v>
      </c>
      <c r="E246" s="26">
        <v>24495</v>
      </c>
      <c r="F246" s="9">
        <f t="shared" ca="1" si="24"/>
        <v>59</v>
      </c>
      <c r="G246" s="9" t="s">
        <v>8</v>
      </c>
      <c r="H246" s="9" t="s">
        <v>8</v>
      </c>
      <c r="I246" s="60">
        <v>44658</v>
      </c>
      <c r="J246" s="580" t="s">
        <v>275</v>
      </c>
      <c r="K246" s="4" t="str">
        <f t="shared" si="25"/>
        <v>I</v>
      </c>
      <c r="L246" s="7" t="str">
        <f t="shared" si="26"/>
        <v>G8</v>
      </c>
      <c r="M246" s="7" t="str">
        <f t="shared" si="27"/>
        <v/>
      </c>
      <c r="N246" s="62" t="str">
        <f t="shared" si="28"/>
        <v/>
      </c>
      <c r="O246" s="8">
        <f t="shared" si="29"/>
        <v>45754</v>
      </c>
      <c r="P246" s="9" t="str">
        <f t="shared" ca="1" si="30"/>
        <v>ATRASADO</v>
      </c>
      <c r="Q246" s="9" t="s">
        <v>341</v>
      </c>
      <c r="R246" s="9"/>
      <c r="S246" s="9" t="str">
        <f t="shared" si="31"/>
        <v/>
      </c>
    </row>
    <row r="247" spans="1:19" x14ac:dyDescent="0.3">
      <c r="A247" s="9">
        <v>243</v>
      </c>
      <c r="B247" s="2" t="s">
        <v>45</v>
      </c>
      <c r="C247" s="76" t="s">
        <v>1412</v>
      </c>
      <c r="D247" s="17" t="s">
        <v>1413</v>
      </c>
      <c r="E247" s="26">
        <v>26067</v>
      </c>
      <c r="F247" s="9">
        <f t="shared" ca="1" si="24"/>
        <v>55</v>
      </c>
      <c r="G247" s="8">
        <v>42964</v>
      </c>
      <c r="H247" s="9" t="s">
        <v>271</v>
      </c>
      <c r="I247" s="60">
        <v>44665</v>
      </c>
      <c r="J247" s="580" t="s">
        <v>8</v>
      </c>
      <c r="K247" s="4" t="str">
        <f t="shared" si="25"/>
        <v>SI</v>
      </c>
      <c r="L247" s="7" t="str">
        <f t="shared" si="26"/>
        <v xml:space="preserve">N </v>
      </c>
      <c r="M247" s="7" t="str">
        <f t="shared" si="27"/>
        <v>RE</v>
      </c>
      <c r="N247" s="62" t="str">
        <f t="shared" si="28"/>
        <v>GI</v>
      </c>
      <c r="O247" s="8">
        <f t="shared" si="29"/>
        <v>45761</v>
      </c>
      <c r="P247" s="9" t="str">
        <f t="shared" ca="1" si="30"/>
        <v>ATRASADO</v>
      </c>
      <c r="Q247" s="9" t="s">
        <v>341</v>
      </c>
      <c r="R247" s="9"/>
      <c r="S247" s="9" t="str">
        <f t="shared" si="31"/>
        <v/>
      </c>
    </row>
    <row r="248" spans="1:19" x14ac:dyDescent="0.3">
      <c r="A248" s="9">
        <v>244</v>
      </c>
      <c r="B248" s="2" t="s">
        <v>45</v>
      </c>
      <c r="C248" s="76" t="s">
        <v>1414</v>
      </c>
      <c r="D248" s="17" t="s">
        <v>1415</v>
      </c>
      <c r="E248" s="26">
        <v>24296</v>
      </c>
      <c r="F248" s="9">
        <f t="shared" ca="1" si="24"/>
        <v>60</v>
      </c>
      <c r="G248" s="8">
        <v>43117</v>
      </c>
      <c r="H248" s="9" t="s">
        <v>275</v>
      </c>
      <c r="I248" s="60">
        <v>44660</v>
      </c>
      <c r="J248" s="580" t="s">
        <v>275</v>
      </c>
      <c r="K248" s="4" t="str">
        <f t="shared" si="25"/>
        <v>I</v>
      </c>
      <c r="L248" s="7" t="str">
        <f t="shared" si="26"/>
        <v>G8</v>
      </c>
      <c r="M248" s="7" t="str">
        <f t="shared" si="27"/>
        <v/>
      </c>
      <c r="N248" s="62" t="str">
        <f t="shared" si="28"/>
        <v/>
      </c>
      <c r="O248" s="8">
        <f t="shared" si="29"/>
        <v>45756</v>
      </c>
      <c r="P248" s="9" t="str">
        <f t="shared" ca="1" si="30"/>
        <v>ATRASADO</v>
      </c>
      <c r="Q248" s="9" t="s">
        <v>341</v>
      </c>
      <c r="R248" s="9"/>
      <c r="S248" s="9" t="str">
        <f t="shared" si="31"/>
        <v/>
      </c>
    </row>
    <row r="249" spans="1:19" x14ac:dyDescent="0.3">
      <c r="A249" s="9">
        <v>245</v>
      </c>
      <c r="B249" s="2" t="s">
        <v>579</v>
      </c>
      <c r="C249" s="76" t="s">
        <v>1416</v>
      </c>
      <c r="D249" s="17" t="s">
        <v>1417</v>
      </c>
      <c r="E249" s="26">
        <v>32546</v>
      </c>
      <c r="F249" s="9">
        <f t="shared" ca="1" si="24"/>
        <v>37</v>
      </c>
      <c r="G249" s="8">
        <v>43671</v>
      </c>
      <c r="H249" s="9" t="s">
        <v>594</v>
      </c>
      <c r="I249" s="60">
        <v>44665</v>
      </c>
      <c r="J249" s="580" t="s">
        <v>8</v>
      </c>
      <c r="K249" s="4" t="str">
        <f t="shared" si="25"/>
        <v>SI</v>
      </c>
      <c r="L249" s="7" t="str">
        <f t="shared" si="26"/>
        <v xml:space="preserve">N </v>
      </c>
      <c r="M249" s="7" t="str">
        <f t="shared" si="27"/>
        <v>RE</v>
      </c>
      <c r="N249" s="62" t="str">
        <f t="shared" si="28"/>
        <v>GI</v>
      </c>
      <c r="O249" s="8">
        <f t="shared" si="29"/>
        <v>45761</v>
      </c>
      <c r="P249" s="9" t="str">
        <f t="shared" ca="1" si="30"/>
        <v>ATRASADO</v>
      </c>
      <c r="Q249" s="9" t="s">
        <v>341</v>
      </c>
      <c r="R249" s="9"/>
      <c r="S249" s="9" t="str">
        <f t="shared" si="31"/>
        <v/>
      </c>
    </row>
    <row r="250" spans="1:19" x14ac:dyDescent="0.3">
      <c r="A250" s="9">
        <v>246</v>
      </c>
      <c r="B250" s="2" t="s">
        <v>579</v>
      </c>
      <c r="C250" s="76" t="s">
        <v>1418</v>
      </c>
      <c r="D250" s="17" t="s">
        <v>1419</v>
      </c>
      <c r="E250" s="26">
        <v>31985</v>
      </c>
      <c r="F250" s="9">
        <f t="shared" ca="1" si="24"/>
        <v>39</v>
      </c>
      <c r="G250" s="8">
        <v>43895</v>
      </c>
      <c r="H250" s="9" t="s">
        <v>275</v>
      </c>
      <c r="I250" s="60">
        <v>44679</v>
      </c>
      <c r="J250" s="580" t="s">
        <v>275</v>
      </c>
      <c r="K250" s="4" t="str">
        <f t="shared" si="25"/>
        <v>I</v>
      </c>
      <c r="L250" s="7" t="str">
        <f t="shared" si="26"/>
        <v>G8</v>
      </c>
      <c r="M250" s="7" t="str">
        <f t="shared" si="27"/>
        <v/>
      </c>
      <c r="N250" s="62" t="str">
        <f t="shared" si="28"/>
        <v/>
      </c>
      <c r="O250" s="8">
        <f t="shared" si="29"/>
        <v>45775</v>
      </c>
      <c r="P250" s="9" t="str">
        <f t="shared" ca="1" si="30"/>
        <v>ATRASADO</v>
      </c>
      <c r="Q250" s="9" t="s">
        <v>341</v>
      </c>
      <c r="R250" s="9"/>
      <c r="S250" s="9" t="str">
        <f t="shared" si="31"/>
        <v/>
      </c>
    </row>
    <row r="251" spans="1:19" x14ac:dyDescent="0.3">
      <c r="A251" s="9">
        <v>247</v>
      </c>
      <c r="B251" s="2" t="s">
        <v>579</v>
      </c>
      <c r="C251" s="76" t="s">
        <v>1420</v>
      </c>
      <c r="D251" s="17" t="s">
        <v>1421</v>
      </c>
      <c r="E251" s="26">
        <v>33573</v>
      </c>
      <c r="F251" s="9">
        <f t="shared" ca="1" si="24"/>
        <v>34</v>
      </c>
      <c r="G251" s="9" t="s">
        <v>8</v>
      </c>
      <c r="H251" s="9" t="s">
        <v>324</v>
      </c>
      <c r="I251" s="60">
        <v>44660</v>
      </c>
      <c r="J251" s="580" t="s">
        <v>291</v>
      </c>
      <c r="K251" s="4" t="str">
        <f t="shared" si="25"/>
        <v>I</v>
      </c>
      <c r="L251" s="7" t="str">
        <f t="shared" si="26"/>
        <v>G8</v>
      </c>
      <c r="M251" s="7" t="str">
        <f t="shared" si="27"/>
        <v>J5</v>
      </c>
      <c r="N251" s="62" t="str">
        <f t="shared" si="28"/>
        <v/>
      </c>
      <c r="O251" s="8">
        <f t="shared" si="29"/>
        <v>45756</v>
      </c>
      <c r="P251" s="9" t="str">
        <f t="shared" ca="1" si="30"/>
        <v>ATRASADO</v>
      </c>
      <c r="Q251" s="9" t="s">
        <v>341</v>
      </c>
      <c r="R251" s="9"/>
      <c r="S251" s="9" t="str">
        <f t="shared" si="31"/>
        <v>CANDIDA</v>
      </c>
    </row>
    <row r="252" spans="1:19" x14ac:dyDescent="0.3">
      <c r="A252" s="9">
        <v>248</v>
      </c>
      <c r="B252" s="2" t="s">
        <v>579</v>
      </c>
      <c r="C252" s="76" t="s">
        <v>1422</v>
      </c>
      <c r="D252" s="17" t="s">
        <v>1423</v>
      </c>
      <c r="E252" s="26">
        <v>28084</v>
      </c>
      <c r="F252" s="9">
        <f t="shared" ca="1" si="24"/>
        <v>49</v>
      </c>
      <c r="G252" s="8">
        <v>44117</v>
      </c>
      <c r="H252" s="9" t="s">
        <v>275</v>
      </c>
      <c r="I252" s="60">
        <v>44678</v>
      </c>
      <c r="J252" s="580" t="s">
        <v>275</v>
      </c>
      <c r="K252" s="4" t="str">
        <f t="shared" si="25"/>
        <v>I</v>
      </c>
      <c r="L252" s="7" t="str">
        <f t="shared" si="26"/>
        <v>G8</v>
      </c>
      <c r="M252" s="7" t="str">
        <f t="shared" si="27"/>
        <v/>
      </c>
      <c r="N252" s="62" t="str">
        <f t="shared" si="28"/>
        <v/>
      </c>
      <c r="O252" s="8">
        <f t="shared" si="29"/>
        <v>45774</v>
      </c>
      <c r="P252" s="9" t="str">
        <f t="shared" ca="1" si="30"/>
        <v>ATRASADO</v>
      </c>
      <c r="Q252" s="9" t="s">
        <v>341</v>
      </c>
      <c r="R252" s="9"/>
      <c r="S252" s="9" t="str">
        <f t="shared" si="31"/>
        <v/>
      </c>
    </row>
    <row r="253" spans="1:19" x14ac:dyDescent="0.3">
      <c r="A253" s="9">
        <v>249</v>
      </c>
      <c r="B253" s="2" t="s">
        <v>579</v>
      </c>
      <c r="C253" s="76" t="s">
        <v>1424</v>
      </c>
      <c r="D253" s="17" t="s">
        <v>1425</v>
      </c>
      <c r="E253" s="26">
        <v>26984</v>
      </c>
      <c r="F253" s="9">
        <f t="shared" ca="1" si="24"/>
        <v>52</v>
      </c>
      <c r="G253" s="8">
        <v>44091</v>
      </c>
      <c r="H253" s="9" t="s">
        <v>271</v>
      </c>
      <c r="I253" s="60">
        <v>44658</v>
      </c>
      <c r="J253" s="580" t="s">
        <v>340</v>
      </c>
      <c r="K253" s="4" t="str">
        <f t="shared" si="25"/>
        <v>I</v>
      </c>
      <c r="L253" s="7" t="str">
        <f t="shared" si="26"/>
        <v>G8</v>
      </c>
      <c r="M253" s="7" t="str">
        <f t="shared" si="27"/>
        <v>S</v>
      </c>
      <c r="N253" s="62" t="str">
        <f t="shared" si="28"/>
        <v/>
      </c>
      <c r="O253" s="8">
        <f t="shared" si="29"/>
        <v>45023</v>
      </c>
      <c r="P253" s="9" t="str">
        <f t="shared" ca="1" si="30"/>
        <v>ATRASADO</v>
      </c>
      <c r="Q253" s="9" t="s">
        <v>341</v>
      </c>
      <c r="R253" s="9"/>
      <c r="S253" s="9" t="str">
        <f t="shared" si="31"/>
        <v/>
      </c>
    </row>
    <row r="254" spans="1:19" x14ac:dyDescent="0.3">
      <c r="A254" s="9">
        <v>250</v>
      </c>
      <c r="B254" s="2" t="s">
        <v>111</v>
      </c>
      <c r="C254" s="76" t="s">
        <v>1426</v>
      </c>
      <c r="D254" s="17" t="s">
        <v>1427</v>
      </c>
      <c r="E254" s="26">
        <v>22721</v>
      </c>
      <c r="F254" s="9">
        <f t="shared" ca="1" si="24"/>
        <v>64</v>
      </c>
      <c r="G254" s="8">
        <v>43754</v>
      </c>
      <c r="H254" s="9" t="s">
        <v>275</v>
      </c>
      <c r="I254" s="60">
        <v>44679</v>
      </c>
      <c r="J254" s="580" t="s">
        <v>271</v>
      </c>
      <c r="K254" s="4" t="str">
        <f t="shared" si="25"/>
        <v>I</v>
      </c>
      <c r="L254" s="7" t="str">
        <f t="shared" si="26"/>
        <v>G8</v>
      </c>
      <c r="M254" s="7" t="str">
        <f t="shared" si="27"/>
        <v>J1</v>
      </c>
      <c r="N254" s="62" t="str">
        <f t="shared" si="28"/>
        <v/>
      </c>
      <c r="O254" s="8">
        <f t="shared" si="29"/>
        <v>45775</v>
      </c>
      <c r="P254" s="9" t="str">
        <f t="shared" ca="1" si="30"/>
        <v>ATRASADO</v>
      </c>
      <c r="Q254" s="9" t="s">
        <v>919</v>
      </c>
      <c r="R254" s="9"/>
      <c r="S254" s="9" t="str">
        <f t="shared" si="31"/>
        <v/>
      </c>
    </row>
    <row r="255" spans="1:19" x14ac:dyDescent="0.3">
      <c r="A255" s="9">
        <v>251</v>
      </c>
      <c r="B255" s="2" t="s">
        <v>111</v>
      </c>
      <c r="C255" s="76" t="s">
        <v>1428</v>
      </c>
      <c r="D255" s="17" t="s">
        <v>1429</v>
      </c>
      <c r="E255" s="26">
        <v>31952</v>
      </c>
      <c r="F255" s="9">
        <f t="shared" ca="1" si="24"/>
        <v>39</v>
      </c>
      <c r="G255" s="8">
        <v>43441</v>
      </c>
      <c r="H255" s="9" t="s">
        <v>271</v>
      </c>
      <c r="I255" s="60">
        <v>44658</v>
      </c>
      <c r="J255" s="580" t="s">
        <v>275</v>
      </c>
      <c r="K255" s="4" t="str">
        <f t="shared" si="25"/>
        <v>I</v>
      </c>
      <c r="L255" s="7" t="str">
        <f t="shared" si="26"/>
        <v>G8</v>
      </c>
      <c r="M255" s="7" t="str">
        <f t="shared" si="27"/>
        <v/>
      </c>
      <c r="N255" s="62" t="str">
        <f t="shared" si="28"/>
        <v/>
      </c>
      <c r="O255" s="8">
        <f t="shared" si="29"/>
        <v>45754</v>
      </c>
      <c r="P255" s="9" t="str">
        <f t="shared" ca="1" si="30"/>
        <v>ATRASADO</v>
      </c>
      <c r="Q255" s="9" t="s">
        <v>919</v>
      </c>
      <c r="R255" s="9"/>
      <c r="S255" s="9" t="str">
        <f t="shared" si="31"/>
        <v/>
      </c>
    </row>
    <row r="256" spans="1:19" x14ac:dyDescent="0.3">
      <c r="A256" s="9">
        <v>252</v>
      </c>
      <c r="B256" s="2" t="s">
        <v>111</v>
      </c>
      <c r="C256" s="76" t="s">
        <v>1430</v>
      </c>
      <c r="D256" s="17" t="s">
        <v>1431</v>
      </c>
      <c r="E256" s="26">
        <v>28484</v>
      </c>
      <c r="F256" s="9">
        <f t="shared" ca="1" si="24"/>
        <v>48</v>
      </c>
      <c r="G256" s="8">
        <v>42984</v>
      </c>
      <c r="H256" s="9" t="s">
        <v>275</v>
      </c>
      <c r="I256" s="60">
        <v>44653</v>
      </c>
      <c r="J256" s="580" t="s">
        <v>275</v>
      </c>
      <c r="K256" s="4" t="str">
        <f t="shared" si="25"/>
        <v>I</v>
      </c>
      <c r="L256" s="7" t="str">
        <f t="shared" si="26"/>
        <v>G8</v>
      </c>
      <c r="M256" s="7" t="str">
        <f t="shared" si="27"/>
        <v/>
      </c>
      <c r="N256" s="62" t="str">
        <f t="shared" si="28"/>
        <v/>
      </c>
      <c r="O256" s="8">
        <f t="shared" si="29"/>
        <v>45749</v>
      </c>
      <c r="P256" s="9" t="str">
        <f t="shared" ca="1" si="30"/>
        <v>ATRASADO</v>
      </c>
      <c r="Q256" s="9" t="s">
        <v>919</v>
      </c>
      <c r="R256" s="9"/>
      <c r="S256" s="9" t="str">
        <f t="shared" si="31"/>
        <v/>
      </c>
    </row>
    <row r="257" spans="1:19" x14ac:dyDescent="0.3">
      <c r="A257" s="9">
        <v>253</v>
      </c>
      <c r="B257" s="2" t="s">
        <v>111</v>
      </c>
      <c r="C257" s="76" t="s">
        <v>1432</v>
      </c>
      <c r="D257" s="17" t="s">
        <v>1433</v>
      </c>
      <c r="E257" s="26">
        <v>25907</v>
      </c>
      <c r="F257" s="9">
        <f t="shared" ca="1" si="24"/>
        <v>55</v>
      </c>
      <c r="G257" s="9" t="s">
        <v>8</v>
      </c>
      <c r="H257" s="9" t="s">
        <v>271</v>
      </c>
      <c r="I257" s="60">
        <v>44657</v>
      </c>
      <c r="J257" s="580" t="s">
        <v>8</v>
      </c>
      <c r="K257" s="4" t="str">
        <f t="shared" si="25"/>
        <v>SI</v>
      </c>
      <c r="L257" s="7" t="str">
        <f t="shared" si="26"/>
        <v xml:space="preserve">N </v>
      </c>
      <c r="M257" s="7" t="str">
        <f t="shared" si="27"/>
        <v>RE</v>
      </c>
      <c r="N257" s="62" t="str">
        <f t="shared" si="28"/>
        <v>GI</v>
      </c>
      <c r="O257" s="8">
        <f t="shared" si="29"/>
        <v>45753</v>
      </c>
      <c r="P257" s="9" t="str">
        <f t="shared" ca="1" si="30"/>
        <v>ATRASADO</v>
      </c>
      <c r="Q257" s="9" t="s">
        <v>919</v>
      </c>
      <c r="R257" s="9"/>
      <c r="S257" s="9" t="str">
        <f t="shared" si="31"/>
        <v/>
      </c>
    </row>
    <row r="258" spans="1:19" x14ac:dyDescent="0.3">
      <c r="A258" s="9">
        <v>254</v>
      </c>
      <c r="B258" s="2" t="s">
        <v>111</v>
      </c>
      <c r="C258" s="76" t="s">
        <v>1434</v>
      </c>
      <c r="D258" s="17" t="s">
        <v>1435</v>
      </c>
      <c r="E258" s="26">
        <v>31208</v>
      </c>
      <c r="F258" s="9">
        <f t="shared" ca="1" si="24"/>
        <v>41</v>
      </c>
      <c r="G258" s="8">
        <v>43535</v>
      </c>
      <c r="H258" s="9" t="s">
        <v>271</v>
      </c>
      <c r="I258" s="60">
        <v>44670</v>
      </c>
      <c r="J258" s="580" t="s">
        <v>8</v>
      </c>
      <c r="K258" s="4" t="str">
        <f t="shared" si="25"/>
        <v>SI</v>
      </c>
      <c r="L258" s="7" t="str">
        <f t="shared" si="26"/>
        <v xml:space="preserve">N </v>
      </c>
      <c r="M258" s="7" t="str">
        <f t="shared" si="27"/>
        <v>RE</v>
      </c>
      <c r="N258" s="62" t="str">
        <f t="shared" si="28"/>
        <v>GI</v>
      </c>
      <c r="O258" s="8">
        <f t="shared" si="29"/>
        <v>45766</v>
      </c>
      <c r="P258" s="9" t="str">
        <f t="shared" ca="1" si="30"/>
        <v>ATRASADO</v>
      </c>
      <c r="Q258" s="9" t="s">
        <v>919</v>
      </c>
      <c r="R258" s="9"/>
      <c r="S258" s="9" t="str">
        <f t="shared" si="31"/>
        <v/>
      </c>
    </row>
    <row r="259" spans="1:19" x14ac:dyDescent="0.3">
      <c r="A259" s="9">
        <v>255</v>
      </c>
      <c r="B259" s="2" t="s">
        <v>111</v>
      </c>
      <c r="C259" s="76" t="s">
        <v>1436</v>
      </c>
      <c r="D259" s="17" t="s">
        <v>1437</v>
      </c>
      <c r="E259" s="26">
        <v>24430</v>
      </c>
      <c r="F259" s="9">
        <f t="shared" ca="1" si="24"/>
        <v>59</v>
      </c>
      <c r="G259" s="8">
        <v>43119</v>
      </c>
      <c r="H259" s="9" t="s">
        <v>275</v>
      </c>
      <c r="I259" s="60">
        <v>44674</v>
      </c>
      <c r="J259" s="580" t="s">
        <v>271</v>
      </c>
      <c r="K259" s="4" t="str">
        <f t="shared" si="25"/>
        <v>I</v>
      </c>
      <c r="L259" s="7" t="str">
        <f t="shared" si="26"/>
        <v>G8</v>
      </c>
      <c r="M259" s="7" t="str">
        <f t="shared" si="27"/>
        <v>J1</v>
      </c>
      <c r="N259" s="62" t="str">
        <f t="shared" si="28"/>
        <v/>
      </c>
      <c r="O259" s="8">
        <f t="shared" si="29"/>
        <v>45770</v>
      </c>
      <c r="P259" s="9" t="str">
        <f t="shared" ca="1" si="30"/>
        <v>ATRASADO</v>
      </c>
      <c r="Q259" s="9" t="s">
        <v>919</v>
      </c>
      <c r="R259" s="9"/>
      <c r="S259" s="9" t="str">
        <f t="shared" si="31"/>
        <v/>
      </c>
    </row>
    <row r="260" spans="1:19" x14ac:dyDescent="0.3">
      <c r="A260" s="9">
        <v>256</v>
      </c>
      <c r="B260" s="2" t="s">
        <v>111</v>
      </c>
      <c r="C260" s="76" t="s">
        <v>1438</v>
      </c>
      <c r="D260" s="17" t="s">
        <v>1439</v>
      </c>
      <c r="E260" s="26">
        <v>29301</v>
      </c>
      <c r="F260" s="9">
        <f t="shared" ca="1" si="24"/>
        <v>46</v>
      </c>
      <c r="G260" s="8">
        <v>43905</v>
      </c>
      <c r="H260" s="9" t="s">
        <v>275</v>
      </c>
      <c r="I260" s="60">
        <v>44675</v>
      </c>
      <c r="J260" s="580" t="s">
        <v>275</v>
      </c>
      <c r="K260" s="4" t="str">
        <f t="shared" si="25"/>
        <v>I</v>
      </c>
      <c r="L260" s="7" t="str">
        <f t="shared" si="26"/>
        <v>G8</v>
      </c>
      <c r="M260" s="7" t="str">
        <f t="shared" si="27"/>
        <v/>
      </c>
      <c r="N260" s="62" t="str">
        <f t="shared" si="28"/>
        <v/>
      </c>
      <c r="O260" s="8">
        <f t="shared" si="29"/>
        <v>45771</v>
      </c>
      <c r="P260" s="9" t="str">
        <f t="shared" ca="1" si="30"/>
        <v>ATRASADO</v>
      </c>
      <c r="Q260" s="9" t="s">
        <v>919</v>
      </c>
      <c r="R260" s="9"/>
      <c r="S260" s="9" t="str">
        <f t="shared" si="31"/>
        <v/>
      </c>
    </row>
    <row r="261" spans="1:19" x14ac:dyDescent="0.3">
      <c r="A261" s="9">
        <v>257</v>
      </c>
      <c r="B261" s="2" t="s">
        <v>111</v>
      </c>
      <c r="C261" s="76" t="s">
        <v>1440</v>
      </c>
      <c r="D261" s="17" t="s">
        <v>1441</v>
      </c>
      <c r="E261" s="26">
        <v>22896</v>
      </c>
      <c r="F261" s="9">
        <f t="shared" ref="F261:F324" ca="1" si="32">IF(E261="","",DATEDIF(E261,TODAY(),"Y"))</f>
        <v>64</v>
      </c>
      <c r="G261" s="8">
        <v>43542</v>
      </c>
      <c r="H261" s="9" t="s">
        <v>340</v>
      </c>
      <c r="I261" s="60">
        <v>44670</v>
      </c>
      <c r="J261" s="580" t="s">
        <v>271</v>
      </c>
      <c r="K261" s="4" t="str">
        <f t="shared" ref="K261:K324" si="33">IF(OR(LEFT(J261,2)="T1",LEFT(J261,2)="T2",LEFT(J261,2)="A1",LEFT(J261,2)="D0",LEFT(J261,2)="D1",LEFT(J261,2)="D2",LEFT(J261,2)="D3",LEFT(J261,2)="E1",LEFT(J261,2)="E2"),LEFT(J261,2),IF(OR(LEFT(J261,1)="A",LEFT(J261,1)="B",LEFT(J261,1)="C",LEFT(J261,1)="D",LEFT(J261,1)="I",LEFT(J261,1)="E",LEFT(J261,1)="K",LEFT(J261,1)="T"),LEFT(J261,1),LEFT(J261,2)))</f>
        <v>I</v>
      </c>
      <c r="L261" s="7" t="str">
        <f t="shared" ref="L261:L324" si="34">IF(AND(OR(LEFT(J261,2)="A1",LEFT(J261,2)="D0",LEFT(J261,2)="D1",LEFT(J261,2)="D2",LEFT(J261,2)="D3",LEFT(J261,2)="E1",LEFT(J261,2)="E2",LEFT(J261,2)="T1",LEFT(J261,2)="T2"),OR(MID(J261,3,1)="A",MID(J261,3,1)="B",MID(J261,3,1)="C",MID(J261,3,1)="D",MID(J261,3,1)="E",MID(J261,3,1)="I",MID(J261,3,1)="K",MID(J261,3,1)="T",MID(J261,3,1)="N",)),MID(J261,3,1),IF(OR(LEFT(J261,2)="A1",LEFT(J261,2)="D0",LEFT(J261,2)="D1",LEFT(J261,2)="D2",LEFT(J261,2)="D3",LEFT(J261,2)="E1",LEFT(J261,2)="E2",LEFT(J261,2)="T1",LEFT(J261,2)="T2"),MID(J261,3,2),IF(AND(OR(LEFT(J261,1)="A",LEFT(J261,1)="B",LEFT(J261,1)="C",LEFT(J261,1)="D",LEFT(J261,1)="E",LEFT(J261,1)="I",LEFT(J261,1)="K",LEFT(J261,1)="T",LEFT(J261,1)="N"),OR(MID(J261,2,1)="A",MID(J261,2,1)="B",MID(J261,2,1)="C",MID(J261,2,1)="D",MID(J261,2,1)="E",MID(J261,2,1)="I",MID(J261,2,1)="K",MID(J261,2,1)="T",MID(J261,2,1)="N")),MID(J261,2,2),IF(OR(LEFT(J261,1)="A",LEFT(J261,1)="B",LEFT(J261,1)="C",LEFT(J261,1)="D",LEFT(J261,1)="E",LEFT(J261,1)="I",LEFT(J261,1)="K",LEFT(J261,1)="T",LEFT(J261,1)="N"),MID(J261,2,2),MID(J261,3,2)))))</f>
        <v>G8</v>
      </c>
      <c r="M261" s="7" t="str">
        <f t="shared" ref="M261:M324" si="35">IF(AND(OR(LEFT(J261,2)="A1",LEFT(J261,2)="D0",LEFT(J261,2)="D1",LEFT(J261,2)="D2",LEFT(J261,2)="D3",LEFT(J261,2)="E1",LEFT(J261,2)="E2",LEFT(J261,2)="T1",LEFT(J261,2)="T2"),OR(MID(J261,3,1)="A",MID(J261,3,1)="B",MID(J261,3,1)="C",MID(J261,3,1)="D",MID(J261,3,1)="E",MID(J261,3,1)="I",MID(J261,3,1)="K",MID(J261,3,1)="T",MID(J261,3,1)="N",)),MID(J261,4,2),IF(OR(LEFT(J261,2)="A1",LEFT(J261,2)="D0",LEFT(J261,2)="D1",LEFT(J261,2)="D2",LEFT(J261,2)="D3",LEFT(J261,2)="E1",LEFT(J261,2)="E2",LEFT(J261,2)="T1",LEFT(J261,2)="T2"),MID(J261,5,2),IF(AND(OR(LEFT(J261,1)="A",LEFT(J261,1)="B",LEFT(J261,1)="C",LEFT(J261,1)="D",LEFT(J261,1)="E",LEFT(J261,1)="I",LEFT(J261,1)="K",LEFT(J261,1)="T",LEFT(J261,1)="N"),OR(MID(J261,2,1)="A",MID(J261,2,1)="B",MID(J261,2,1)="C",MID(J261,2,1)="D",MID(J261,2,1)="E",MID(J261,2,1)="I",MID(J261,2,1)="K",MID(J261,2,1)="T",MID(J261,2,1)="N")),MID(J261,3,2),IF(OR(LEFT(J261,1)="A",LEFT(J261,1)="B",LEFT(J261,1)="C",LEFT(J261,1)="D",LEFT(J261,1)="E",LEFT(J261,1)="I",LEFT(J261,1)="K",LEFT(J261,1)="T",LEFT(J261,1)="N"),MID(J261,4,2),MID(J261,5,2)))))</f>
        <v>J1</v>
      </c>
      <c r="N261" s="62" t="str">
        <f t="shared" ref="N261:N324" si="36">IF(AND(OR(LEFT(J261,1)="I",LEFT(J261,1)="T",LEFT(J261,1)="A",LEFT(J261,1)="B",LEFT(J261,1)="C",LEFT(J261,1)="D",LEFT(J261,1)="E"),OR(MID(J261,2,1)="I",MID(J261,2,1)="T",MID(J261,2,1)="A",MID(J261,2,1)="B",MID(J261,2,1)="C",MID(J261,2,1)="D",MID(J261,2,1)="E")),MID(J261,5,2),IF(OR(LEFT(J261,1)="I",LEFT(J261,1)="T",LEFT(J261,1)="A",LEFT(J261,1)="B",LEFT(J261,1)="C",LEFT(J261,1)="D",LEFT(J261,1)="E"),MID(J261,6,2),MID(J261,7,2)))</f>
        <v/>
      </c>
      <c r="O261" s="8">
        <f t="shared" ref="O261:O324" si="37">IF(I261="","",IF(OR(K261="S",L261="S",M261="S",N261="S",K261="G7",L261="G7",M261="G7",N261="G7",),DATE(YEAR(I261)+1,MONTH(I261),DAY(I261)),IF(OR(K261="O3",L261="O3",M261="O3",N261="O3",K261="ASCUS",L261="ASCUS",M261="ASCUS",N261="ASCUS"),DATE(YEAR(I261),MONTH(I261)+6,DAY(I261)),IF(OR(K261="O5",L261="O5",M261="O5",N261="O5"),DATE(YEAR(I261),MONTH(I261)+3,DAY(I261)),IF(OR(K261="T",L261="T",M261="T",N261="T"),DATE(YEAR(I261),MONTH(I261)+1,DAY(I261)+10),DATE(YEAR(I261)+3,MONTH(I261),DAY(I261)))))))</f>
        <v>45766</v>
      </c>
      <c r="P261" s="9" t="str">
        <f t="shared" ref="P261:P324" ca="1" si="38">IF(O261="","",IF(YEAR(O261)&gt;YEAR(TODAY()),"VIGENTE",IF(AND(YEAR(O261)&gt;=YEAR(TODAY()),MONTH(O261)&gt;=MONTH(TODAY())),"VIGENTE","ATRASADO")))</f>
        <v>ATRASADO</v>
      </c>
      <c r="Q261" s="9" t="s">
        <v>919</v>
      </c>
      <c r="R261" s="9"/>
      <c r="S261" s="9" t="str">
        <f t="shared" si="31"/>
        <v/>
      </c>
    </row>
    <row r="262" spans="1:19" x14ac:dyDescent="0.3">
      <c r="A262" s="9">
        <v>258</v>
      </c>
      <c r="B262" s="2" t="s">
        <v>111</v>
      </c>
      <c r="C262" s="76" t="s">
        <v>1442</v>
      </c>
      <c r="D262" s="17" t="s">
        <v>1443</v>
      </c>
      <c r="E262" s="26">
        <v>26578</v>
      </c>
      <c r="F262" s="9">
        <f t="shared" ca="1" si="32"/>
        <v>53</v>
      </c>
      <c r="G262" s="8">
        <v>43015</v>
      </c>
      <c r="H262" s="9" t="s">
        <v>8</v>
      </c>
      <c r="I262" s="60">
        <v>44652</v>
      </c>
      <c r="J262" s="580" t="s">
        <v>275</v>
      </c>
      <c r="K262" s="4" t="str">
        <f t="shared" si="33"/>
        <v>I</v>
      </c>
      <c r="L262" s="7" t="str">
        <f t="shared" si="34"/>
        <v>G8</v>
      </c>
      <c r="M262" s="7" t="str">
        <f t="shared" si="35"/>
        <v/>
      </c>
      <c r="N262" s="62" t="str">
        <f t="shared" si="36"/>
        <v/>
      </c>
      <c r="O262" s="8">
        <f t="shared" si="37"/>
        <v>45748</v>
      </c>
      <c r="P262" s="9" t="str">
        <f t="shared" ca="1" si="38"/>
        <v>ATRASADO</v>
      </c>
      <c r="Q262" s="9" t="s">
        <v>919</v>
      </c>
      <c r="R262" s="9"/>
      <c r="S262" s="9" t="str">
        <f t="shared" ref="S262:S325" si="39">IF(OR(K262="T1",L262="T1",M262="T1",N262="T1",),"LESION SOSPECHOSA A UPC",IF(OR(K262="T2",L262="T2",M262="T2",N262="T2",),"DERIVAR A UPC POR SEGUNDO ATIPICO",IF(OR(K262="J2",L262="J2",M262="J2",N262="J2",),"TRICOMONAS",IF(OR(K262="J3",L262="J3",M262="J3",N262="J3",),"HERPES SIMPLEX",IF(OR(K262="J5",L262="J5",M262="J5",N262="J5",),"CANDIDA",IF(OR(K262="J6",L262="J6",M262="J6",N262="J6",),"ACTINOMYCES",IF(OR(K262="A1",L262="A1",M262="A1",N262="A1",),"VPH",IF(OR(K262="ASC-H",L262="ASC-H",M262="ASC-H",K262="H2",K262="H3",K262="H4",N262="ASC-H",K262="AGUS",L262="AGUS",L262="H2",L262="H3",L262="H4",M262="AGUS",M262="H2",M262="H3",M262="H4",N262="AGUS",N262="H2",N262="H3",N262="H4"),"MANDAR A UPC / COLPOSCOPIA",IF(OR(K262="A",K262="B",K262="C",K262="D",K262="D0",K262="D1",K262="D2",K262="D3",K262="E",K262="E1",K262="E2",K262="K",K262="T",L262="A",L262="B",L262="C",L262="D",L262="D0",L262="D1",L262="D2",L262="D3",L262="E",L262="E1",L262="E2",L262="K",L262="T",M262="A",M262="B",M262="C",M262="D",M262="D0",M262="D1",M262="D2",M262="D3",M262="E",M262="E1",M262="E2",M262="K",M262="T",N262="A",N262="B",N262="C",N262="D",N262="D0",N262="D1",K262="D2",N262="D2",N262="D3",N262="E",N262="E1",N262="E2",N262="K",N262="T",),"CITAR A UPC","")))))))))</f>
        <v/>
      </c>
    </row>
    <row r="263" spans="1:19" x14ac:dyDescent="0.3">
      <c r="A263" s="9">
        <v>259</v>
      </c>
      <c r="B263" s="2" t="s">
        <v>111</v>
      </c>
      <c r="C263" s="76" t="s">
        <v>1444</v>
      </c>
      <c r="D263" s="17" t="s">
        <v>1445</v>
      </c>
      <c r="E263" s="26">
        <v>24447</v>
      </c>
      <c r="F263" s="9">
        <f t="shared" ca="1" si="32"/>
        <v>59</v>
      </c>
      <c r="G263" s="9" t="s">
        <v>8</v>
      </c>
      <c r="H263" s="9" t="s">
        <v>340</v>
      </c>
      <c r="I263" s="60">
        <v>44670</v>
      </c>
      <c r="J263" s="580" t="s">
        <v>275</v>
      </c>
      <c r="K263" s="4" t="str">
        <f t="shared" si="33"/>
        <v>I</v>
      </c>
      <c r="L263" s="7" t="str">
        <f t="shared" si="34"/>
        <v>G8</v>
      </c>
      <c r="M263" s="7" t="str">
        <f t="shared" si="35"/>
        <v/>
      </c>
      <c r="N263" s="62" t="str">
        <f t="shared" si="36"/>
        <v/>
      </c>
      <c r="O263" s="8">
        <f t="shared" si="37"/>
        <v>45766</v>
      </c>
      <c r="P263" s="9" t="str">
        <f t="shared" ca="1" si="38"/>
        <v>ATRASADO</v>
      </c>
      <c r="Q263" s="9" t="s">
        <v>919</v>
      </c>
      <c r="R263" s="9"/>
      <c r="S263" s="9" t="str">
        <f t="shared" si="39"/>
        <v/>
      </c>
    </row>
    <row r="264" spans="1:19" x14ac:dyDescent="0.3">
      <c r="A264" s="9">
        <v>260</v>
      </c>
      <c r="B264" s="2" t="s">
        <v>111</v>
      </c>
      <c r="C264" s="76" t="s">
        <v>1446</v>
      </c>
      <c r="D264" s="17" t="s">
        <v>1447</v>
      </c>
      <c r="E264" s="26">
        <v>20681</v>
      </c>
      <c r="F264" s="9">
        <f t="shared" ca="1" si="32"/>
        <v>70</v>
      </c>
      <c r="G264" s="8">
        <v>43541</v>
      </c>
      <c r="H264" s="9" t="s">
        <v>363</v>
      </c>
      <c r="I264" s="60">
        <v>44657</v>
      </c>
      <c r="J264" s="580" t="s">
        <v>271</v>
      </c>
      <c r="K264" s="4" t="str">
        <f t="shared" si="33"/>
        <v>I</v>
      </c>
      <c r="L264" s="7" t="str">
        <f t="shared" si="34"/>
        <v>G8</v>
      </c>
      <c r="M264" s="7" t="str">
        <f t="shared" si="35"/>
        <v>J1</v>
      </c>
      <c r="N264" s="62" t="str">
        <f t="shared" si="36"/>
        <v/>
      </c>
      <c r="O264" s="8">
        <f t="shared" si="37"/>
        <v>45753</v>
      </c>
      <c r="P264" s="9" t="str">
        <f t="shared" ca="1" si="38"/>
        <v>ATRASADO</v>
      </c>
      <c r="Q264" s="9" t="s">
        <v>919</v>
      </c>
      <c r="R264" s="9"/>
      <c r="S264" s="9" t="str">
        <f t="shared" si="39"/>
        <v/>
      </c>
    </row>
    <row r="265" spans="1:19" x14ac:dyDescent="0.3">
      <c r="A265" s="9">
        <v>261</v>
      </c>
      <c r="B265" s="2" t="s">
        <v>111</v>
      </c>
      <c r="C265" s="76" t="s">
        <v>1448</v>
      </c>
      <c r="D265" s="17" t="s">
        <v>1449</v>
      </c>
      <c r="E265" s="26">
        <v>31648</v>
      </c>
      <c r="F265" s="9">
        <f t="shared" ca="1" si="32"/>
        <v>40</v>
      </c>
      <c r="G265" s="8">
        <v>43915</v>
      </c>
      <c r="H265" s="9" t="s">
        <v>271</v>
      </c>
      <c r="I265" s="60">
        <v>44678</v>
      </c>
      <c r="J265" s="580" t="s">
        <v>275</v>
      </c>
      <c r="K265" s="4" t="str">
        <f t="shared" si="33"/>
        <v>I</v>
      </c>
      <c r="L265" s="7" t="str">
        <f t="shared" si="34"/>
        <v>G8</v>
      </c>
      <c r="M265" s="7" t="str">
        <f t="shared" si="35"/>
        <v/>
      </c>
      <c r="N265" s="62" t="str">
        <f t="shared" si="36"/>
        <v/>
      </c>
      <c r="O265" s="8">
        <f t="shared" si="37"/>
        <v>45774</v>
      </c>
      <c r="P265" s="9" t="str">
        <f t="shared" ca="1" si="38"/>
        <v>ATRASADO</v>
      </c>
      <c r="Q265" s="9" t="s">
        <v>919</v>
      </c>
      <c r="R265" s="9"/>
      <c r="S265" s="9" t="str">
        <f t="shared" si="39"/>
        <v/>
      </c>
    </row>
    <row r="266" spans="1:19" x14ac:dyDescent="0.3">
      <c r="A266" s="9">
        <v>262</v>
      </c>
      <c r="B266" s="2" t="s">
        <v>111</v>
      </c>
      <c r="C266" s="76" t="s">
        <v>1450</v>
      </c>
      <c r="D266" s="17" t="s">
        <v>1451</v>
      </c>
      <c r="E266" s="26">
        <v>22598</v>
      </c>
      <c r="F266" s="9">
        <f t="shared" ca="1" si="32"/>
        <v>64</v>
      </c>
      <c r="G266" s="8">
        <v>43599</v>
      </c>
      <c r="H266" s="9" t="s">
        <v>271</v>
      </c>
      <c r="I266" s="60">
        <v>44659</v>
      </c>
      <c r="J266" s="580" t="s">
        <v>271</v>
      </c>
      <c r="K266" s="4" t="str">
        <f t="shared" si="33"/>
        <v>I</v>
      </c>
      <c r="L266" s="7" t="str">
        <f t="shared" si="34"/>
        <v>G8</v>
      </c>
      <c r="M266" s="7" t="str">
        <f t="shared" si="35"/>
        <v>J1</v>
      </c>
      <c r="N266" s="62" t="str">
        <f t="shared" si="36"/>
        <v/>
      </c>
      <c r="O266" s="8">
        <f t="shared" si="37"/>
        <v>45755</v>
      </c>
      <c r="P266" s="9" t="str">
        <f t="shared" ca="1" si="38"/>
        <v>ATRASADO</v>
      </c>
      <c r="Q266" s="9" t="s">
        <v>919</v>
      </c>
      <c r="R266" s="9"/>
      <c r="S266" s="9" t="str">
        <f t="shared" si="39"/>
        <v/>
      </c>
    </row>
    <row r="267" spans="1:19" x14ac:dyDescent="0.3">
      <c r="A267" s="9">
        <v>263</v>
      </c>
      <c r="B267" s="2" t="s">
        <v>111</v>
      </c>
      <c r="C267" s="76" t="s">
        <v>1452</v>
      </c>
      <c r="D267" s="17" t="s">
        <v>1453</v>
      </c>
      <c r="E267" s="26">
        <v>23543</v>
      </c>
      <c r="F267" s="9">
        <f t="shared" ca="1" si="32"/>
        <v>62</v>
      </c>
      <c r="G267" s="8">
        <v>43078</v>
      </c>
      <c r="H267" s="9" t="s">
        <v>275</v>
      </c>
      <c r="I267" s="60">
        <v>44675</v>
      </c>
      <c r="J267" s="580" t="s">
        <v>271</v>
      </c>
      <c r="K267" s="4" t="str">
        <f t="shared" si="33"/>
        <v>I</v>
      </c>
      <c r="L267" s="7" t="str">
        <f t="shared" si="34"/>
        <v>G8</v>
      </c>
      <c r="M267" s="7" t="str">
        <f t="shared" si="35"/>
        <v>J1</v>
      </c>
      <c r="N267" s="62" t="str">
        <f t="shared" si="36"/>
        <v/>
      </c>
      <c r="O267" s="8">
        <f t="shared" si="37"/>
        <v>45771</v>
      </c>
      <c r="P267" s="9" t="str">
        <f t="shared" ca="1" si="38"/>
        <v>ATRASADO</v>
      </c>
      <c r="Q267" s="9" t="s">
        <v>919</v>
      </c>
      <c r="R267" s="9"/>
      <c r="S267" s="9" t="str">
        <f t="shared" si="39"/>
        <v/>
      </c>
    </row>
    <row r="268" spans="1:19" x14ac:dyDescent="0.3">
      <c r="A268" s="9">
        <v>264</v>
      </c>
      <c r="B268" s="2" t="s">
        <v>111</v>
      </c>
      <c r="C268" s="76" t="s">
        <v>1454</v>
      </c>
      <c r="D268" s="17" t="s">
        <v>1455</v>
      </c>
      <c r="E268" s="26">
        <v>24735</v>
      </c>
      <c r="F268" s="9">
        <f t="shared" ca="1" si="32"/>
        <v>59</v>
      </c>
      <c r="G268" s="8">
        <v>43093</v>
      </c>
      <c r="H268" s="9" t="s">
        <v>275</v>
      </c>
      <c r="I268" s="60">
        <v>44674</v>
      </c>
      <c r="J268" s="580" t="s">
        <v>291</v>
      </c>
      <c r="K268" s="4" t="str">
        <f t="shared" si="33"/>
        <v>I</v>
      </c>
      <c r="L268" s="7" t="str">
        <f t="shared" si="34"/>
        <v>G8</v>
      </c>
      <c r="M268" s="7" t="str">
        <f t="shared" si="35"/>
        <v>J5</v>
      </c>
      <c r="N268" s="62" t="str">
        <f t="shared" si="36"/>
        <v/>
      </c>
      <c r="O268" s="8">
        <f t="shared" si="37"/>
        <v>45770</v>
      </c>
      <c r="P268" s="9" t="str">
        <f t="shared" ca="1" si="38"/>
        <v>ATRASADO</v>
      </c>
      <c r="Q268" s="9" t="s">
        <v>919</v>
      </c>
      <c r="R268" s="9"/>
      <c r="S268" s="9" t="str">
        <f t="shared" si="39"/>
        <v>CANDIDA</v>
      </c>
    </row>
    <row r="269" spans="1:19" x14ac:dyDescent="0.3">
      <c r="A269" s="9">
        <v>265</v>
      </c>
      <c r="B269" s="2" t="s">
        <v>111</v>
      </c>
      <c r="C269" s="76" t="s">
        <v>1456</v>
      </c>
      <c r="D269" s="17" t="s">
        <v>1457</v>
      </c>
      <c r="E269" s="26">
        <v>35038</v>
      </c>
      <c r="F269" s="9">
        <f t="shared" ca="1" si="32"/>
        <v>30</v>
      </c>
      <c r="G269" s="8">
        <v>44110</v>
      </c>
      <c r="H269" s="9" t="s">
        <v>321</v>
      </c>
      <c r="I269" s="60">
        <v>44681</v>
      </c>
      <c r="J269" s="580" t="s">
        <v>271</v>
      </c>
      <c r="K269" s="4" t="str">
        <f t="shared" si="33"/>
        <v>I</v>
      </c>
      <c r="L269" s="7" t="str">
        <f t="shared" si="34"/>
        <v>G8</v>
      </c>
      <c r="M269" s="7" t="str">
        <f t="shared" si="35"/>
        <v>J1</v>
      </c>
      <c r="N269" s="62" t="str">
        <f t="shared" si="36"/>
        <v/>
      </c>
      <c r="O269" s="8">
        <f t="shared" si="37"/>
        <v>45777</v>
      </c>
      <c r="P269" s="9" t="str">
        <f t="shared" ca="1" si="38"/>
        <v>ATRASADO</v>
      </c>
      <c r="Q269" s="9" t="s">
        <v>919</v>
      </c>
      <c r="R269" s="9"/>
      <c r="S269" s="9" t="str">
        <f t="shared" si="39"/>
        <v/>
      </c>
    </row>
    <row r="270" spans="1:19" x14ac:dyDescent="0.3">
      <c r="A270" s="9">
        <v>266</v>
      </c>
      <c r="B270" s="2" t="s">
        <v>111</v>
      </c>
      <c r="C270" s="76" t="s">
        <v>1458</v>
      </c>
      <c r="D270" s="17" t="s">
        <v>1459</v>
      </c>
      <c r="E270" s="26">
        <v>32452</v>
      </c>
      <c r="F270" s="9">
        <f t="shared" ca="1" si="32"/>
        <v>37</v>
      </c>
      <c r="G270" s="8">
        <v>43844</v>
      </c>
      <c r="H270" s="9" t="s">
        <v>275</v>
      </c>
      <c r="I270" s="60">
        <v>44663</v>
      </c>
      <c r="J270" s="580" t="s">
        <v>275</v>
      </c>
      <c r="K270" s="4" t="str">
        <f t="shared" si="33"/>
        <v>I</v>
      </c>
      <c r="L270" s="7" t="str">
        <f t="shared" si="34"/>
        <v>G8</v>
      </c>
      <c r="M270" s="7" t="str">
        <f t="shared" si="35"/>
        <v/>
      </c>
      <c r="N270" s="62" t="str">
        <f t="shared" si="36"/>
        <v/>
      </c>
      <c r="O270" s="8">
        <f t="shared" si="37"/>
        <v>45759</v>
      </c>
      <c r="P270" s="9" t="str">
        <f t="shared" ca="1" si="38"/>
        <v>ATRASADO</v>
      </c>
      <c r="Q270" s="9" t="s">
        <v>919</v>
      </c>
      <c r="R270" s="9"/>
      <c r="S270" s="9" t="str">
        <f t="shared" si="39"/>
        <v/>
      </c>
    </row>
    <row r="271" spans="1:19" x14ac:dyDescent="0.3">
      <c r="A271" s="9">
        <v>267</v>
      </c>
      <c r="B271" s="2" t="s">
        <v>111</v>
      </c>
      <c r="C271" s="76" t="s">
        <v>1460</v>
      </c>
      <c r="D271" s="17" t="s">
        <v>1461</v>
      </c>
      <c r="E271" s="26">
        <v>24705</v>
      </c>
      <c r="F271" s="9">
        <f t="shared" ca="1" si="32"/>
        <v>59</v>
      </c>
      <c r="G271" s="8">
        <v>43684</v>
      </c>
      <c r="H271" s="9" t="s">
        <v>271</v>
      </c>
      <c r="I271" s="60">
        <v>44671</v>
      </c>
      <c r="J271" s="580" t="s">
        <v>271</v>
      </c>
      <c r="K271" s="4" t="str">
        <f t="shared" si="33"/>
        <v>I</v>
      </c>
      <c r="L271" s="7" t="str">
        <f t="shared" si="34"/>
        <v>G8</v>
      </c>
      <c r="M271" s="7" t="str">
        <f t="shared" si="35"/>
        <v>J1</v>
      </c>
      <c r="N271" s="62" t="str">
        <f t="shared" si="36"/>
        <v/>
      </c>
      <c r="O271" s="8">
        <f t="shared" si="37"/>
        <v>45767</v>
      </c>
      <c r="P271" s="9" t="str">
        <f t="shared" ca="1" si="38"/>
        <v>ATRASADO</v>
      </c>
      <c r="Q271" s="9" t="s">
        <v>919</v>
      </c>
      <c r="R271" s="9"/>
      <c r="S271" s="9" t="str">
        <f t="shared" si="39"/>
        <v/>
      </c>
    </row>
    <row r="272" spans="1:19" x14ac:dyDescent="0.3">
      <c r="A272" s="9">
        <v>268</v>
      </c>
      <c r="B272" s="2" t="s">
        <v>111</v>
      </c>
      <c r="C272" s="76" t="s">
        <v>1462</v>
      </c>
      <c r="D272" s="17" t="s">
        <v>1463</v>
      </c>
      <c r="E272" s="26">
        <v>31911</v>
      </c>
      <c r="F272" s="9">
        <f t="shared" ca="1" si="32"/>
        <v>39</v>
      </c>
      <c r="G272" s="8">
        <v>42997</v>
      </c>
      <c r="H272" s="9" t="s">
        <v>735</v>
      </c>
      <c r="I272" s="60">
        <v>44659</v>
      </c>
      <c r="J272" s="580" t="s">
        <v>271</v>
      </c>
      <c r="K272" s="4" t="str">
        <f t="shared" si="33"/>
        <v>I</v>
      </c>
      <c r="L272" s="7" t="str">
        <f t="shared" si="34"/>
        <v>G8</v>
      </c>
      <c r="M272" s="7" t="str">
        <f t="shared" si="35"/>
        <v>J1</v>
      </c>
      <c r="N272" s="62" t="str">
        <f t="shared" si="36"/>
        <v/>
      </c>
      <c r="O272" s="8">
        <f t="shared" si="37"/>
        <v>45755</v>
      </c>
      <c r="P272" s="9" t="str">
        <f t="shared" ca="1" si="38"/>
        <v>ATRASADO</v>
      </c>
      <c r="Q272" s="9" t="s">
        <v>919</v>
      </c>
      <c r="R272" s="9"/>
      <c r="S272" s="9" t="str">
        <f t="shared" si="39"/>
        <v/>
      </c>
    </row>
    <row r="273" spans="1:19" x14ac:dyDescent="0.3">
      <c r="A273" s="9">
        <v>269</v>
      </c>
      <c r="B273" s="2" t="s">
        <v>111</v>
      </c>
      <c r="C273" s="76" t="s">
        <v>1464</v>
      </c>
      <c r="D273" s="17" t="s">
        <v>1465</v>
      </c>
      <c r="E273" s="26">
        <v>22468</v>
      </c>
      <c r="F273" s="9">
        <f t="shared" ca="1" si="32"/>
        <v>65</v>
      </c>
      <c r="G273" s="8">
        <v>43118</v>
      </c>
      <c r="H273" s="9" t="s">
        <v>271</v>
      </c>
      <c r="I273" s="60">
        <v>44676</v>
      </c>
      <c r="J273" s="580" t="s">
        <v>271</v>
      </c>
      <c r="K273" s="4" t="str">
        <f t="shared" si="33"/>
        <v>I</v>
      </c>
      <c r="L273" s="7" t="str">
        <f t="shared" si="34"/>
        <v>G8</v>
      </c>
      <c r="M273" s="7" t="str">
        <f t="shared" si="35"/>
        <v>J1</v>
      </c>
      <c r="N273" s="62" t="str">
        <f t="shared" si="36"/>
        <v/>
      </c>
      <c r="O273" s="8">
        <f t="shared" si="37"/>
        <v>45772</v>
      </c>
      <c r="P273" s="9" t="str">
        <f t="shared" ca="1" si="38"/>
        <v>ATRASADO</v>
      </c>
      <c r="Q273" s="9" t="s">
        <v>919</v>
      </c>
      <c r="R273" s="9"/>
      <c r="S273" s="9" t="str">
        <f t="shared" si="39"/>
        <v/>
      </c>
    </row>
    <row r="274" spans="1:19" x14ac:dyDescent="0.3">
      <c r="A274" s="9">
        <v>270</v>
      </c>
      <c r="B274" s="2" t="s">
        <v>111</v>
      </c>
      <c r="C274" s="76" t="s">
        <v>1466</v>
      </c>
      <c r="D274" s="17" t="s">
        <v>1467</v>
      </c>
      <c r="E274" s="26">
        <v>33830</v>
      </c>
      <c r="F274" s="9">
        <f t="shared" ca="1" si="32"/>
        <v>34</v>
      </c>
      <c r="G274" s="8">
        <v>44302</v>
      </c>
      <c r="H274" s="9" t="s">
        <v>271</v>
      </c>
      <c r="I274" s="60">
        <v>44670</v>
      </c>
      <c r="J274" s="580" t="s">
        <v>275</v>
      </c>
      <c r="K274" s="4" t="str">
        <f t="shared" si="33"/>
        <v>I</v>
      </c>
      <c r="L274" s="7" t="str">
        <f t="shared" si="34"/>
        <v>G8</v>
      </c>
      <c r="M274" s="7" t="str">
        <f t="shared" si="35"/>
        <v/>
      </c>
      <c r="N274" s="62" t="str">
        <f t="shared" si="36"/>
        <v/>
      </c>
      <c r="O274" s="8">
        <f t="shared" si="37"/>
        <v>45766</v>
      </c>
      <c r="P274" s="9" t="str">
        <f t="shared" ca="1" si="38"/>
        <v>ATRASADO</v>
      </c>
      <c r="Q274" s="9" t="s">
        <v>919</v>
      </c>
      <c r="R274" s="9"/>
      <c r="S274" s="9" t="str">
        <f t="shared" si="39"/>
        <v/>
      </c>
    </row>
    <row r="275" spans="1:19" x14ac:dyDescent="0.3">
      <c r="A275" s="9">
        <v>271</v>
      </c>
      <c r="B275" s="2" t="s">
        <v>346</v>
      </c>
      <c r="C275" s="76" t="s">
        <v>1468</v>
      </c>
      <c r="D275" s="17" t="s">
        <v>1469</v>
      </c>
      <c r="E275" s="26">
        <v>24024</v>
      </c>
      <c r="F275" s="9">
        <f t="shared" ca="1" si="32"/>
        <v>60</v>
      </c>
      <c r="G275" s="8">
        <v>44200</v>
      </c>
      <c r="H275" s="9" t="s">
        <v>275</v>
      </c>
      <c r="I275" s="60">
        <v>44664</v>
      </c>
      <c r="J275" s="580" t="s">
        <v>271</v>
      </c>
      <c r="K275" s="4" t="str">
        <f t="shared" si="33"/>
        <v>I</v>
      </c>
      <c r="L275" s="7" t="str">
        <f t="shared" si="34"/>
        <v>G8</v>
      </c>
      <c r="M275" s="7" t="str">
        <f t="shared" si="35"/>
        <v>J1</v>
      </c>
      <c r="N275" s="62" t="str">
        <f t="shared" si="36"/>
        <v/>
      </c>
      <c r="O275" s="8">
        <f t="shared" si="37"/>
        <v>45760</v>
      </c>
      <c r="P275" s="9" t="str">
        <f t="shared" ca="1" si="38"/>
        <v>ATRASADO</v>
      </c>
      <c r="Q275" s="9" t="s">
        <v>919</v>
      </c>
      <c r="R275" s="9"/>
      <c r="S275" s="9" t="str">
        <f t="shared" si="39"/>
        <v/>
      </c>
    </row>
    <row r="276" spans="1:19" x14ac:dyDescent="0.3">
      <c r="A276" s="9">
        <v>272</v>
      </c>
      <c r="B276" s="2" t="s">
        <v>312</v>
      </c>
      <c r="C276" s="76" t="s">
        <v>1470</v>
      </c>
      <c r="D276" s="17" t="s">
        <v>1471</v>
      </c>
      <c r="E276" s="26">
        <v>32267</v>
      </c>
      <c r="F276" s="9">
        <f t="shared" ca="1" si="32"/>
        <v>38</v>
      </c>
      <c r="G276" s="9" t="s">
        <v>8</v>
      </c>
      <c r="H276" s="9" t="s">
        <v>275</v>
      </c>
      <c r="I276" s="60">
        <v>44656</v>
      </c>
      <c r="J276" s="580" t="s">
        <v>8</v>
      </c>
      <c r="K276" s="4" t="str">
        <f t="shared" si="33"/>
        <v>SI</v>
      </c>
      <c r="L276" s="7" t="str">
        <f t="shared" si="34"/>
        <v xml:space="preserve">N </v>
      </c>
      <c r="M276" s="7" t="str">
        <f t="shared" si="35"/>
        <v>RE</v>
      </c>
      <c r="N276" s="62" t="str">
        <f t="shared" si="36"/>
        <v>GI</v>
      </c>
      <c r="O276" s="8">
        <f t="shared" si="37"/>
        <v>45752</v>
      </c>
      <c r="P276" s="9" t="str">
        <f t="shared" ca="1" si="38"/>
        <v>ATRASADO</v>
      </c>
      <c r="Q276" s="9" t="s">
        <v>919</v>
      </c>
      <c r="R276" s="9"/>
      <c r="S276" s="9" t="str">
        <f t="shared" si="39"/>
        <v/>
      </c>
    </row>
    <row r="277" spans="1:19" x14ac:dyDescent="0.3">
      <c r="A277" s="9">
        <v>273</v>
      </c>
      <c r="B277" s="2" t="s">
        <v>56</v>
      </c>
      <c r="C277" s="76" t="s">
        <v>1472</v>
      </c>
      <c r="D277" s="17" t="s">
        <v>1473</v>
      </c>
      <c r="E277" s="26">
        <v>23535</v>
      </c>
      <c r="F277" s="9">
        <f t="shared" ca="1" si="32"/>
        <v>62</v>
      </c>
      <c r="G277" s="9" t="s">
        <v>8</v>
      </c>
      <c r="H277" s="9" t="s">
        <v>8</v>
      </c>
      <c r="I277" s="60">
        <v>44678</v>
      </c>
      <c r="J277" s="580" t="s">
        <v>275</v>
      </c>
      <c r="K277" s="4" t="str">
        <f t="shared" si="33"/>
        <v>I</v>
      </c>
      <c r="L277" s="7" t="str">
        <f t="shared" si="34"/>
        <v>G8</v>
      </c>
      <c r="M277" s="7" t="str">
        <f t="shared" si="35"/>
        <v/>
      </c>
      <c r="N277" s="62" t="str">
        <f t="shared" si="36"/>
        <v/>
      </c>
      <c r="O277" s="8">
        <f t="shared" si="37"/>
        <v>45774</v>
      </c>
      <c r="P277" s="9" t="str">
        <f t="shared" ca="1" si="38"/>
        <v>ATRASADO</v>
      </c>
      <c r="Q277" s="9" t="s">
        <v>341</v>
      </c>
      <c r="R277" s="9"/>
      <c r="S277" s="9" t="str">
        <f t="shared" si="39"/>
        <v/>
      </c>
    </row>
    <row r="278" spans="1:19" x14ac:dyDescent="0.3">
      <c r="A278" s="9">
        <v>274</v>
      </c>
      <c r="B278" s="2" t="s">
        <v>579</v>
      </c>
      <c r="C278" s="76" t="s">
        <v>1474</v>
      </c>
      <c r="D278" s="17" t="s">
        <v>1475</v>
      </c>
      <c r="E278" s="26">
        <v>22965</v>
      </c>
      <c r="F278" s="9">
        <f t="shared" ca="1" si="32"/>
        <v>63</v>
      </c>
      <c r="G278" s="8">
        <v>43210</v>
      </c>
      <c r="H278" s="9" t="s">
        <v>271</v>
      </c>
      <c r="I278" s="60">
        <v>44663</v>
      </c>
      <c r="J278" s="580" t="s">
        <v>735</v>
      </c>
      <c r="K278" s="4" t="str">
        <f t="shared" si="33"/>
        <v>G3</v>
      </c>
      <c r="L278" s="7" t="str">
        <f t="shared" si="34"/>
        <v>O5</v>
      </c>
      <c r="M278" s="7" t="str">
        <f t="shared" si="35"/>
        <v/>
      </c>
      <c r="N278" s="62" t="str">
        <f t="shared" si="36"/>
        <v/>
      </c>
      <c r="O278" s="8">
        <f t="shared" si="37"/>
        <v>44754</v>
      </c>
      <c r="P278" s="9" t="str">
        <f t="shared" ca="1" si="38"/>
        <v>ATRASADO</v>
      </c>
      <c r="Q278" s="9" t="s">
        <v>341</v>
      </c>
      <c r="R278" s="9"/>
      <c r="S278" s="9" t="str">
        <f t="shared" si="39"/>
        <v/>
      </c>
    </row>
    <row r="279" spans="1:19" x14ac:dyDescent="0.3">
      <c r="A279" s="9">
        <v>275</v>
      </c>
      <c r="B279" s="2" t="s">
        <v>579</v>
      </c>
      <c r="C279" s="76" t="s">
        <v>1476</v>
      </c>
      <c r="D279" s="17" t="s">
        <v>1477</v>
      </c>
      <c r="E279" s="26">
        <v>25096</v>
      </c>
      <c r="F279" s="9">
        <f t="shared" ca="1" si="32"/>
        <v>58</v>
      </c>
      <c r="G279" s="8">
        <v>43195</v>
      </c>
      <c r="H279" s="9" t="s">
        <v>271</v>
      </c>
      <c r="I279" s="60">
        <v>44658</v>
      </c>
      <c r="J279" s="580" t="s">
        <v>275</v>
      </c>
      <c r="K279" s="4" t="str">
        <f t="shared" si="33"/>
        <v>I</v>
      </c>
      <c r="L279" s="7" t="str">
        <f t="shared" si="34"/>
        <v>G8</v>
      </c>
      <c r="M279" s="7" t="str">
        <f t="shared" si="35"/>
        <v/>
      </c>
      <c r="N279" s="62" t="str">
        <f t="shared" si="36"/>
        <v/>
      </c>
      <c r="O279" s="8">
        <f t="shared" si="37"/>
        <v>45754</v>
      </c>
      <c r="P279" s="9" t="str">
        <f t="shared" ca="1" si="38"/>
        <v>ATRASADO</v>
      </c>
      <c r="Q279" s="9" t="s">
        <v>341</v>
      </c>
      <c r="R279" s="9"/>
      <c r="S279" s="9" t="str">
        <f t="shared" si="39"/>
        <v/>
      </c>
    </row>
    <row r="280" spans="1:19" x14ac:dyDescent="0.3">
      <c r="A280" s="9">
        <v>276</v>
      </c>
      <c r="B280" s="2" t="s">
        <v>312</v>
      </c>
      <c r="C280" s="76" t="s">
        <v>1478</v>
      </c>
      <c r="D280" s="17" t="s">
        <v>1479</v>
      </c>
      <c r="E280" s="26">
        <v>25577</v>
      </c>
      <c r="F280" s="9">
        <f t="shared" ca="1" si="32"/>
        <v>56</v>
      </c>
      <c r="G280" s="8">
        <v>44189</v>
      </c>
      <c r="H280" s="9" t="s">
        <v>275</v>
      </c>
      <c r="I280" s="60">
        <v>44659</v>
      </c>
      <c r="J280" s="580" t="s">
        <v>327</v>
      </c>
      <c r="K280" s="4" t="str">
        <f t="shared" si="33"/>
        <v>I</v>
      </c>
      <c r="L280" s="7" t="str">
        <f t="shared" si="34"/>
        <v>G7</v>
      </c>
      <c r="M280" s="7" t="str">
        <f t="shared" si="35"/>
        <v>S</v>
      </c>
      <c r="N280" s="62" t="str">
        <f t="shared" si="36"/>
        <v/>
      </c>
      <c r="O280" s="8">
        <f t="shared" si="37"/>
        <v>45024</v>
      </c>
      <c r="P280" s="9" t="str">
        <f t="shared" ca="1" si="38"/>
        <v>ATRASADO</v>
      </c>
      <c r="Q280" s="9" t="s">
        <v>341</v>
      </c>
      <c r="R280" s="9"/>
      <c r="S280" s="9" t="str">
        <f t="shared" si="39"/>
        <v/>
      </c>
    </row>
    <row r="281" spans="1:19" x14ac:dyDescent="0.3">
      <c r="A281" s="9">
        <v>277</v>
      </c>
      <c r="B281" s="2" t="s">
        <v>312</v>
      </c>
      <c r="C281" s="76" t="s">
        <v>1480</v>
      </c>
      <c r="D281" s="17" t="s">
        <v>1481</v>
      </c>
      <c r="E281" s="26">
        <v>25103</v>
      </c>
      <c r="F281" s="9">
        <f t="shared" ca="1" si="32"/>
        <v>58</v>
      </c>
      <c r="G281" s="8">
        <v>43066</v>
      </c>
      <c r="H281" s="9" t="s">
        <v>271</v>
      </c>
      <c r="I281" s="60">
        <v>44670</v>
      </c>
      <c r="J281" s="580" t="s">
        <v>271</v>
      </c>
      <c r="K281" s="4" t="str">
        <f t="shared" si="33"/>
        <v>I</v>
      </c>
      <c r="L281" s="7" t="str">
        <f t="shared" si="34"/>
        <v>G8</v>
      </c>
      <c r="M281" s="7" t="str">
        <f t="shared" si="35"/>
        <v>J1</v>
      </c>
      <c r="N281" s="62" t="str">
        <f t="shared" si="36"/>
        <v/>
      </c>
      <c r="O281" s="8">
        <f t="shared" si="37"/>
        <v>45766</v>
      </c>
      <c r="P281" s="9" t="str">
        <f t="shared" ca="1" si="38"/>
        <v>ATRASADO</v>
      </c>
      <c r="Q281" s="9" t="s">
        <v>341</v>
      </c>
      <c r="R281" s="9"/>
      <c r="S281" s="9" t="str">
        <f t="shared" si="39"/>
        <v/>
      </c>
    </row>
    <row r="282" spans="1:19" x14ac:dyDescent="0.3">
      <c r="A282" s="9">
        <v>278</v>
      </c>
      <c r="B282" s="2" t="s">
        <v>312</v>
      </c>
      <c r="C282" s="76" t="s">
        <v>1482</v>
      </c>
      <c r="D282" s="17" t="s">
        <v>1483</v>
      </c>
      <c r="E282" s="26">
        <v>27014</v>
      </c>
      <c r="F282" s="9">
        <f t="shared" ca="1" si="32"/>
        <v>52</v>
      </c>
      <c r="G282" s="8">
        <v>43107</v>
      </c>
      <c r="H282" s="9" t="s">
        <v>275</v>
      </c>
      <c r="I282" s="60">
        <v>44664</v>
      </c>
      <c r="J282" s="580" t="s">
        <v>275</v>
      </c>
      <c r="K282" s="4" t="str">
        <f t="shared" si="33"/>
        <v>I</v>
      </c>
      <c r="L282" s="7" t="str">
        <f t="shared" si="34"/>
        <v>G8</v>
      </c>
      <c r="M282" s="7" t="str">
        <f t="shared" si="35"/>
        <v/>
      </c>
      <c r="N282" s="62" t="str">
        <f t="shared" si="36"/>
        <v/>
      </c>
      <c r="O282" s="8">
        <f t="shared" si="37"/>
        <v>45760</v>
      </c>
      <c r="P282" s="9" t="str">
        <f t="shared" ca="1" si="38"/>
        <v>ATRASADO</v>
      </c>
      <c r="Q282" s="9" t="s">
        <v>341</v>
      </c>
      <c r="R282" s="9"/>
      <c r="S282" s="9" t="str">
        <f t="shared" si="39"/>
        <v/>
      </c>
    </row>
    <row r="283" spans="1:19" x14ac:dyDescent="0.3">
      <c r="A283" s="9">
        <v>279</v>
      </c>
      <c r="B283" s="2" t="s">
        <v>312</v>
      </c>
      <c r="C283" s="76" t="s">
        <v>1484</v>
      </c>
      <c r="D283" s="17" t="s">
        <v>1485</v>
      </c>
      <c r="E283" s="26">
        <v>30982</v>
      </c>
      <c r="F283" s="9">
        <f t="shared" ca="1" si="32"/>
        <v>41</v>
      </c>
      <c r="G283" s="8">
        <v>43944</v>
      </c>
      <c r="H283" s="9" t="s">
        <v>271</v>
      </c>
      <c r="I283" s="60">
        <v>44673</v>
      </c>
      <c r="J283" s="580" t="s">
        <v>271</v>
      </c>
      <c r="K283" s="4" t="str">
        <f t="shared" si="33"/>
        <v>I</v>
      </c>
      <c r="L283" s="7" t="str">
        <f t="shared" si="34"/>
        <v>G8</v>
      </c>
      <c r="M283" s="7" t="str">
        <f t="shared" si="35"/>
        <v>J1</v>
      </c>
      <c r="N283" s="62" t="str">
        <f t="shared" si="36"/>
        <v/>
      </c>
      <c r="O283" s="8">
        <f t="shared" si="37"/>
        <v>45769</v>
      </c>
      <c r="P283" s="9" t="str">
        <f t="shared" ca="1" si="38"/>
        <v>ATRASADO</v>
      </c>
      <c r="Q283" s="9" t="s">
        <v>341</v>
      </c>
      <c r="R283" s="9"/>
      <c r="S283" s="9" t="str">
        <f t="shared" si="39"/>
        <v/>
      </c>
    </row>
    <row r="284" spans="1:19" x14ac:dyDescent="0.3">
      <c r="A284" s="9">
        <v>280</v>
      </c>
      <c r="B284" s="2" t="s">
        <v>312</v>
      </c>
      <c r="C284" s="76" t="s">
        <v>1486</v>
      </c>
      <c r="D284" s="17" t="s">
        <v>1487</v>
      </c>
      <c r="E284" s="26">
        <v>29119</v>
      </c>
      <c r="F284" s="9">
        <f t="shared" ca="1" si="32"/>
        <v>47</v>
      </c>
      <c r="G284" s="9" t="s">
        <v>8</v>
      </c>
      <c r="H284" s="9" t="s">
        <v>271</v>
      </c>
      <c r="I284" s="60">
        <v>44679</v>
      </c>
      <c r="J284" s="580" t="s">
        <v>8</v>
      </c>
      <c r="K284" s="4" t="str">
        <f t="shared" si="33"/>
        <v>SI</v>
      </c>
      <c r="L284" s="7" t="str">
        <f t="shared" si="34"/>
        <v xml:space="preserve">N </v>
      </c>
      <c r="M284" s="7" t="str">
        <f t="shared" si="35"/>
        <v>RE</v>
      </c>
      <c r="N284" s="62" t="str">
        <f t="shared" si="36"/>
        <v>GI</v>
      </c>
      <c r="O284" s="8">
        <f t="shared" si="37"/>
        <v>45775</v>
      </c>
      <c r="P284" s="9" t="str">
        <f t="shared" ca="1" si="38"/>
        <v>ATRASADO</v>
      </c>
      <c r="Q284" s="9" t="s">
        <v>341</v>
      </c>
      <c r="R284" s="9"/>
      <c r="S284" s="9" t="str">
        <f t="shared" si="39"/>
        <v/>
      </c>
    </row>
    <row r="285" spans="1:19" x14ac:dyDescent="0.3">
      <c r="A285" s="9">
        <v>281</v>
      </c>
      <c r="B285" s="2" t="s">
        <v>312</v>
      </c>
      <c r="C285" s="76" t="s">
        <v>1488</v>
      </c>
      <c r="D285" s="17" t="s">
        <v>1489</v>
      </c>
      <c r="E285" s="26">
        <v>23729</v>
      </c>
      <c r="F285" s="9">
        <f t="shared" ca="1" si="32"/>
        <v>61</v>
      </c>
      <c r="G285" s="9" t="s">
        <v>8</v>
      </c>
      <c r="H285" s="9" t="s">
        <v>271</v>
      </c>
      <c r="I285" s="60">
        <v>44656</v>
      </c>
      <c r="J285" s="580" t="s">
        <v>271</v>
      </c>
      <c r="K285" s="4" t="str">
        <f t="shared" si="33"/>
        <v>I</v>
      </c>
      <c r="L285" s="7" t="str">
        <f t="shared" si="34"/>
        <v>G8</v>
      </c>
      <c r="M285" s="7" t="str">
        <f t="shared" si="35"/>
        <v>J1</v>
      </c>
      <c r="N285" s="62" t="str">
        <f t="shared" si="36"/>
        <v/>
      </c>
      <c r="O285" s="8">
        <f t="shared" si="37"/>
        <v>45752</v>
      </c>
      <c r="P285" s="9" t="str">
        <f t="shared" ca="1" si="38"/>
        <v>ATRASADO</v>
      </c>
      <c r="Q285" s="9" t="s">
        <v>341</v>
      </c>
      <c r="R285" s="9"/>
      <c r="S285" s="9" t="str">
        <f t="shared" si="39"/>
        <v/>
      </c>
    </row>
    <row r="286" spans="1:19" x14ac:dyDescent="0.3">
      <c r="A286" s="9">
        <v>282</v>
      </c>
      <c r="B286" s="2" t="s">
        <v>312</v>
      </c>
      <c r="C286" s="76" t="s">
        <v>1490</v>
      </c>
      <c r="D286" s="17" t="s">
        <v>1491</v>
      </c>
      <c r="E286" s="26">
        <v>29727</v>
      </c>
      <c r="F286" s="9">
        <f t="shared" ca="1" si="32"/>
        <v>45</v>
      </c>
      <c r="G286" s="8">
        <v>44183</v>
      </c>
      <c r="H286" s="9" t="s">
        <v>271</v>
      </c>
      <c r="I286" s="60">
        <v>44671</v>
      </c>
      <c r="J286" s="580" t="s">
        <v>271</v>
      </c>
      <c r="K286" s="4" t="str">
        <f t="shared" si="33"/>
        <v>I</v>
      </c>
      <c r="L286" s="7" t="str">
        <f t="shared" si="34"/>
        <v>G8</v>
      </c>
      <c r="M286" s="7" t="str">
        <f t="shared" si="35"/>
        <v>J1</v>
      </c>
      <c r="N286" s="62" t="str">
        <f t="shared" si="36"/>
        <v/>
      </c>
      <c r="O286" s="8">
        <f t="shared" si="37"/>
        <v>45767</v>
      </c>
      <c r="P286" s="9" t="str">
        <f t="shared" ca="1" si="38"/>
        <v>ATRASADO</v>
      </c>
      <c r="Q286" s="9" t="s">
        <v>341</v>
      </c>
      <c r="R286" s="9"/>
      <c r="S286" s="9" t="str">
        <f t="shared" si="39"/>
        <v/>
      </c>
    </row>
    <row r="287" spans="1:19" x14ac:dyDescent="0.3">
      <c r="A287" s="9">
        <v>283</v>
      </c>
      <c r="B287" s="2" t="s">
        <v>312</v>
      </c>
      <c r="C287" s="76" t="s">
        <v>1492</v>
      </c>
      <c r="D287" s="17" t="s">
        <v>1493</v>
      </c>
      <c r="E287" s="26">
        <v>24753</v>
      </c>
      <c r="F287" s="9">
        <f t="shared" ca="1" si="32"/>
        <v>58</v>
      </c>
      <c r="G287" s="9" t="s">
        <v>8</v>
      </c>
      <c r="H287" s="9" t="s">
        <v>271</v>
      </c>
      <c r="I287" s="60">
        <v>44671</v>
      </c>
      <c r="J287" s="580" t="s">
        <v>271</v>
      </c>
      <c r="K287" s="4" t="str">
        <f t="shared" si="33"/>
        <v>I</v>
      </c>
      <c r="L287" s="7" t="str">
        <f t="shared" si="34"/>
        <v>G8</v>
      </c>
      <c r="M287" s="7" t="str">
        <f t="shared" si="35"/>
        <v>J1</v>
      </c>
      <c r="N287" s="62" t="str">
        <f t="shared" si="36"/>
        <v/>
      </c>
      <c r="O287" s="8">
        <f t="shared" si="37"/>
        <v>45767</v>
      </c>
      <c r="P287" s="9" t="str">
        <f t="shared" ca="1" si="38"/>
        <v>ATRASADO</v>
      </c>
      <c r="Q287" s="9" t="s">
        <v>341</v>
      </c>
      <c r="R287" s="9"/>
      <c r="S287" s="9" t="str">
        <f t="shared" si="39"/>
        <v/>
      </c>
    </row>
    <row r="288" spans="1:19" x14ac:dyDescent="0.3">
      <c r="A288" s="9">
        <v>284</v>
      </c>
      <c r="B288" s="2" t="s">
        <v>312</v>
      </c>
      <c r="C288" s="76" t="s">
        <v>1494</v>
      </c>
      <c r="D288" s="17" t="s">
        <v>1495</v>
      </c>
      <c r="E288" s="26">
        <v>25611</v>
      </c>
      <c r="F288" s="9">
        <f t="shared" ca="1" si="32"/>
        <v>56</v>
      </c>
      <c r="G288" s="8">
        <v>43880</v>
      </c>
      <c r="H288" s="9" t="s">
        <v>8</v>
      </c>
      <c r="I288" s="60">
        <v>44677</v>
      </c>
      <c r="J288" s="580" t="s">
        <v>275</v>
      </c>
      <c r="K288" s="4" t="str">
        <f t="shared" si="33"/>
        <v>I</v>
      </c>
      <c r="L288" s="7" t="str">
        <f t="shared" si="34"/>
        <v>G8</v>
      </c>
      <c r="M288" s="7" t="str">
        <f t="shared" si="35"/>
        <v/>
      </c>
      <c r="N288" s="62" t="str">
        <f t="shared" si="36"/>
        <v/>
      </c>
      <c r="O288" s="8">
        <f t="shared" si="37"/>
        <v>45773</v>
      </c>
      <c r="P288" s="9" t="str">
        <f t="shared" ca="1" si="38"/>
        <v>ATRASADO</v>
      </c>
      <c r="Q288" s="9" t="s">
        <v>341</v>
      </c>
      <c r="R288" s="9"/>
      <c r="S288" s="9" t="str">
        <f t="shared" si="39"/>
        <v/>
      </c>
    </row>
    <row r="289" spans="1:19" x14ac:dyDescent="0.3">
      <c r="A289" s="9">
        <v>285</v>
      </c>
      <c r="B289" s="2" t="s">
        <v>56</v>
      </c>
      <c r="C289" s="76" t="s">
        <v>1496</v>
      </c>
      <c r="D289" s="17" t="s">
        <v>1497</v>
      </c>
      <c r="E289" s="26">
        <v>27354</v>
      </c>
      <c r="F289" s="9">
        <f t="shared" ca="1" si="32"/>
        <v>51</v>
      </c>
      <c r="G289" s="8">
        <v>43117</v>
      </c>
      <c r="H289" s="9" t="s">
        <v>275</v>
      </c>
      <c r="I289" s="60">
        <v>44707</v>
      </c>
      <c r="J289" s="580" t="s">
        <v>271</v>
      </c>
      <c r="K289" s="4" t="str">
        <f t="shared" si="33"/>
        <v>I</v>
      </c>
      <c r="L289" s="7" t="str">
        <f t="shared" si="34"/>
        <v>G8</v>
      </c>
      <c r="M289" s="7" t="str">
        <f t="shared" si="35"/>
        <v>J1</v>
      </c>
      <c r="N289" s="62" t="str">
        <f t="shared" si="36"/>
        <v/>
      </c>
      <c r="O289" s="8">
        <f t="shared" si="37"/>
        <v>45803</v>
      </c>
      <c r="P289" s="9" t="str">
        <f t="shared" ca="1" si="38"/>
        <v>ATRASADO</v>
      </c>
      <c r="Q289" s="9" t="s">
        <v>919</v>
      </c>
      <c r="R289" s="9"/>
      <c r="S289" s="9" t="str">
        <f t="shared" si="39"/>
        <v/>
      </c>
    </row>
    <row r="290" spans="1:19" x14ac:dyDescent="0.3">
      <c r="A290" s="9">
        <v>286</v>
      </c>
      <c r="B290" s="2" t="s">
        <v>56</v>
      </c>
      <c r="C290" s="76" t="s">
        <v>1498</v>
      </c>
      <c r="D290" s="17" t="s">
        <v>1499</v>
      </c>
      <c r="E290" s="26">
        <v>34847</v>
      </c>
      <c r="F290" s="9">
        <f t="shared" ca="1" si="32"/>
        <v>31</v>
      </c>
      <c r="G290" s="8">
        <v>44155</v>
      </c>
      <c r="H290" s="9" t="s">
        <v>8</v>
      </c>
      <c r="I290" s="60">
        <v>44704</v>
      </c>
      <c r="J290" s="580" t="s">
        <v>275</v>
      </c>
      <c r="K290" s="4" t="str">
        <f t="shared" si="33"/>
        <v>I</v>
      </c>
      <c r="L290" s="7" t="str">
        <f t="shared" si="34"/>
        <v>G8</v>
      </c>
      <c r="M290" s="7" t="str">
        <f t="shared" si="35"/>
        <v/>
      </c>
      <c r="N290" s="62" t="str">
        <f t="shared" si="36"/>
        <v/>
      </c>
      <c r="O290" s="8">
        <f t="shared" si="37"/>
        <v>45800</v>
      </c>
      <c r="P290" s="9" t="str">
        <f t="shared" ca="1" si="38"/>
        <v>ATRASADO</v>
      </c>
      <c r="Q290" s="9" t="s">
        <v>919</v>
      </c>
      <c r="R290" s="9"/>
      <c r="S290" s="9" t="str">
        <f t="shared" si="39"/>
        <v/>
      </c>
    </row>
    <row r="291" spans="1:19" x14ac:dyDescent="0.3">
      <c r="A291" s="9">
        <v>287</v>
      </c>
      <c r="B291" s="2" t="s">
        <v>56</v>
      </c>
      <c r="C291" s="76" t="s">
        <v>1500</v>
      </c>
      <c r="D291" s="17" t="s">
        <v>1501</v>
      </c>
      <c r="E291" s="26">
        <v>25449</v>
      </c>
      <c r="F291" s="9">
        <f t="shared" ca="1" si="32"/>
        <v>57</v>
      </c>
      <c r="G291" s="8">
        <v>44186</v>
      </c>
      <c r="H291" s="9" t="s">
        <v>291</v>
      </c>
      <c r="I291" s="60">
        <v>44699</v>
      </c>
      <c r="J291" s="580" t="s">
        <v>275</v>
      </c>
      <c r="K291" s="4" t="str">
        <f t="shared" si="33"/>
        <v>I</v>
      </c>
      <c r="L291" s="7" t="str">
        <f t="shared" si="34"/>
        <v>G8</v>
      </c>
      <c r="M291" s="7" t="str">
        <f t="shared" si="35"/>
        <v/>
      </c>
      <c r="N291" s="62" t="str">
        <f t="shared" si="36"/>
        <v/>
      </c>
      <c r="O291" s="8">
        <f t="shared" si="37"/>
        <v>45795</v>
      </c>
      <c r="P291" s="9" t="str">
        <f t="shared" ca="1" si="38"/>
        <v>ATRASADO</v>
      </c>
      <c r="Q291" s="9" t="s">
        <v>919</v>
      </c>
      <c r="R291" s="9"/>
      <c r="S291" s="9" t="str">
        <f t="shared" si="39"/>
        <v/>
      </c>
    </row>
    <row r="292" spans="1:19" x14ac:dyDescent="0.3">
      <c r="A292" s="9">
        <v>288</v>
      </c>
      <c r="B292" s="2" t="s">
        <v>56</v>
      </c>
      <c r="C292" s="76" t="s">
        <v>1502</v>
      </c>
      <c r="D292" s="17" t="s">
        <v>1503</v>
      </c>
      <c r="E292" s="26">
        <v>22569</v>
      </c>
      <c r="F292" s="9">
        <f t="shared" ca="1" si="32"/>
        <v>64</v>
      </c>
      <c r="G292" s="8">
        <v>43846</v>
      </c>
      <c r="H292" s="9" t="s">
        <v>271</v>
      </c>
      <c r="I292" s="60">
        <v>44703</v>
      </c>
      <c r="J292" s="580" t="s">
        <v>271</v>
      </c>
      <c r="K292" s="4" t="str">
        <f t="shared" si="33"/>
        <v>I</v>
      </c>
      <c r="L292" s="7" t="str">
        <f t="shared" si="34"/>
        <v>G8</v>
      </c>
      <c r="M292" s="7" t="str">
        <f t="shared" si="35"/>
        <v>J1</v>
      </c>
      <c r="N292" s="62" t="str">
        <f t="shared" si="36"/>
        <v/>
      </c>
      <c r="O292" s="8">
        <f t="shared" si="37"/>
        <v>45799</v>
      </c>
      <c r="P292" s="9" t="str">
        <f t="shared" ca="1" si="38"/>
        <v>ATRASADO</v>
      </c>
      <c r="Q292" s="9" t="s">
        <v>919</v>
      </c>
      <c r="R292" s="9"/>
      <c r="S292" s="9" t="str">
        <f t="shared" si="39"/>
        <v/>
      </c>
    </row>
    <row r="293" spans="1:19" x14ac:dyDescent="0.3">
      <c r="A293" s="9">
        <v>289</v>
      </c>
      <c r="B293" s="2" t="s">
        <v>56</v>
      </c>
      <c r="C293" s="76" t="s">
        <v>1504</v>
      </c>
      <c r="D293" s="17" t="s">
        <v>1505</v>
      </c>
      <c r="E293" s="26">
        <v>27489</v>
      </c>
      <c r="F293" s="9">
        <f t="shared" ca="1" si="32"/>
        <v>51</v>
      </c>
      <c r="G293" s="8">
        <v>43212</v>
      </c>
      <c r="H293" s="9" t="s">
        <v>271</v>
      </c>
      <c r="I293" s="60">
        <v>44707</v>
      </c>
      <c r="J293" s="580" t="s">
        <v>271</v>
      </c>
      <c r="K293" s="4" t="str">
        <f t="shared" si="33"/>
        <v>I</v>
      </c>
      <c r="L293" s="7" t="str">
        <f t="shared" si="34"/>
        <v>G8</v>
      </c>
      <c r="M293" s="7" t="str">
        <f t="shared" si="35"/>
        <v>J1</v>
      </c>
      <c r="N293" s="62" t="str">
        <f t="shared" si="36"/>
        <v/>
      </c>
      <c r="O293" s="8">
        <f t="shared" si="37"/>
        <v>45803</v>
      </c>
      <c r="P293" s="9" t="str">
        <f t="shared" ca="1" si="38"/>
        <v>ATRASADO</v>
      </c>
      <c r="Q293" s="9" t="s">
        <v>919</v>
      </c>
      <c r="R293" s="9"/>
      <c r="S293" s="9" t="str">
        <f t="shared" si="39"/>
        <v/>
      </c>
    </row>
    <row r="294" spans="1:19" x14ac:dyDescent="0.3">
      <c r="A294" s="9">
        <v>290</v>
      </c>
      <c r="B294" s="2" t="s">
        <v>45</v>
      </c>
      <c r="C294" s="76" t="s">
        <v>1506</v>
      </c>
      <c r="D294" s="17" t="s">
        <v>1507</v>
      </c>
      <c r="E294" s="26">
        <v>22427</v>
      </c>
      <c r="F294" s="9">
        <f t="shared" ca="1" si="32"/>
        <v>65</v>
      </c>
      <c r="G294" s="8">
        <v>43676</v>
      </c>
      <c r="H294" s="9" t="s">
        <v>275</v>
      </c>
      <c r="I294" s="60">
        <v>44691</v>
      </c>
      <c r="J294" s="580" t="s">
        <v>275</v>
      </c>
      <c r="K294" s="4" t="str">
        <f t="shared" si="33"/>
        <v>I</v>
      </c>
      <c r="L294" s="7" t="str">
        <f t="shared" si="34"/>
        <v>G8</v>
      </c>
      <c r="M294" s="7" t="str">
        <f t="shared" si="35"/>
        <v/>
      </c>
      <c r="N294" s="62" t="str">
        <f t="shared" si="36"/>
        <v/>
      </c>
      <c r="O294" s="8">
        <f t="shared" si="37"/>
        <v>45787</v>
      </c>
      <c r="P294" s="9" t="str">
        <f t="shared" ca="1" si="38"/>
        <v>ATRASADO</v>
      </c>
      <c r="Q294" s="9" t="s">
        <v>919</v>
      </c>
      <c r="R294" s="9"/>
      <c r="S294" s="9" t="str">
        <f t="shared" si="39"/>
        <v/>
      </c>
    </row>
    <row r="295" spans="1:19" x14ac:dyDescent="0.3">
      <c r="A295" s="9">
        <v>291</v>
      </c>
      <c r="B295" s="2" t="s">
        <v>56</v>
      </c>
      <c r="C295" s="76" t="s">
        <v>1508</v>
      </c>
      <c r="D295" s="17" t="s">
        <v>1509</v>
      </c>
      <c r="E295" s="26">
        <v>28550</v>
      </c>
      <c r="F295" s="9">
        <f t="shared" ca="1" si="32"/>
        <v>48</v>
      </c>
      <c r="G295" s="8">
        <v>43899</v>
      </c>
      <c r="H295" s="9" t="s">
        <v>8</v>
      </c>
      <c r="I295" s="60">
        <v>44689</v>
      </c>
      <c r="J295" s="580" t="s">
        <v>327</v>
      </c>
      <c r="K295" s="4" t="str">
        <f t="shared" si="33"/>
        <v>I</v>
      </c>
      <c r="L295" s="7" t="str">
        <f t="shared" si="34"/>
        <v>G7</v>
      </c>
      <c r="M295" s="7" t="str">
        <f t="shared" si="35"/>
        <v>S</v>
      </c>
      <c r="N295" s="62" t="str">
        <f t="shared" si="36"/>
        <v/>
      </c>
      <c r="O295" s="8">
        <f t="shared" si="37"/>
        <v>45054</v>
      </c>
      <c r="P295" s="9" t="str">
        <f t="shared" ca="1" si="38"/>
        <v>ATRASADO</v>
      </c>
      <c r="Q295" s="9" t="s">
        <v>919</v>
      </c>
      <c r="R295" s="9"/>
      <c r="S295" s="9" t="str">
        <f t="shared" si="39"/>
        <v/>
      </c>
    </row>
    <row r="296" spans="1:19" x14ac:dyDescent="0.3">
      <c r="A296" s="9">
        <v>292</v>
      </c>
      <c r="B296" s="2" t="s">
        <v>56</v>
      </c>
      <c r="C296" s="76" t="s">
        <v>1510</v>
      </c>
      <c r="D296" s="17" t="s">
        <v>1511</v>
      </c>
      <c r="E296" s="26">
        <v>31116</v>
      </c>
      <c r="F296" s="9">
        <f t="shared" ca="1" si="32"/>
        <v>41</v>
      </c>
      <c r="G296" s="8">
        <v>43592</v>
      </c>
      <c r="H296" s="9" t="s">
        <v>275</v>
      </c>
      <c r="I296" s="60">
        <v>44710</v>
      </c>
      <c r="J296" s="580" t="s">
        <v>275</v>
      </c>
      <c r="K296" s="4" t="str">
        <f t="shared" si="33"/>
        <v>I</v>
      </c>
      <c r="L296" s="7" t="str">
        <f t="shared" si="34"/>
        <v>G8</v>
      </c>
      <c r="M296" s="7" t="str">
        <f t="shared" si="35"/>
        <v/>
      </c>
      <c r="N296" s="62" t="str">
        <f t="shared" si="36"/>
        <v/>
      </c>
      <c r="O296" s="8">
        <f t="shared" si="37"/>
        <v>45806</v>
      </c>
      <c r="P296" s="9" t="str">
        <f t="shared" ca="1" si="38"/>
        <v>ATRASADO</v>
      </c>
      <c r="Q296" s="9" t="s">
        <v>919</v>
      </c>
      <c r="R296" s="9"/>
      <c r="S296" s="9" t="str">
        <f t="shared" si="39"/>
        <v/>
      </c>
    </row>
    <row r="297" spans="1:19" x14ac:dyDescent="0.3">
      <c r="A297" s="9">
        <v>293</v>
      </c>
      <c r="B297" s="2" t="s">
        <v>56</v>
      </c>
      <c r="C297" s="76" t="s">
        <v>1512</v>
      </c>
      <c r="D297" s="17" t="s">
        <v>1513</v>
      </c>
      <c r="E297" s="26">
        <v>31626</v>
      </c>
      <c r="F297" s="9">
        <f t="shared" ca="1" si="32"/>
        <v>40</v>
      </c>
      <c r="G297" s="8">
        <v>43753</v>
      </c>
      <c r="H297" s="9" t="s">
        <v>271</v>
      </c>
      <c r="I297" s="60">
        <v>44701</v>
      </c>
      <c r="J297" s="580" t="s">
        <v>340</v>
      </c>
      <c r="K297" s="4" t="str">
        <f t="shared" si="33"/>
        <v>I</v>
      </c>
      <c r="L297" s="7" t="str">
        <f t="shared" si="34"/>
        <v>G8</v>
      </c>
      <c r="M297" s="7" t="str">
        <f t="shared" si="35"/>
        <v>S</v>
      </c>
      <c r="N297" s="62" t="str">
        <f t="shared" si="36"/>
        <v/>
      </c>
      <c r="O297" s="8">
        <f t="shared" si="37"/>
        <v>45066</v>
      </c>
      <c r="P297" s="9" t="str">
        <f t="shared" ca="1" si="38"/>
        <v>ATRASADO</v>
      </c>
      <c r="Q297" s="9" t="s">
        <v>919</v>
      </c>
      <c r="R297" s="9"/>
      <c r="S297" s="9" t="str">
        <f t="shared" si="39"/>
        <v/>
      </c>
    </row>
    <row r="298" spans="1:19" x14ac:dyDescent="0.3">
      <c r="A298" s="9">
        <v>294</v>
      </c>
      <c r="B298" s="2" t="s">
        <v>78</v>
      </c>
      <c r="C298" s="76" t="s">
        <v>1514</v>
      </c>
      <c r="D298" s="17" t="s">
        <v>1515</v>
      </c>
      <c r="E298" s="26">
        <v>22809</v>
      </c>
      <c r="F298" s="9">
        <f t="shared" ca="1" si="32"/>
        <v>64</v>
      </c>
      <c r="G298" s="8">
        <v>44188</v>
      </c>
      <c r="H298" s="9" t="s">
        <v>271</v>
      </c>
      <c r="I298" s="60">
        <v>44695</v>
      </c>
      <c r="J298" s="580" t="s">
        <v>275</v>
      </c>
      <c r="K298" s="4" t="str">
        <f t="shared" si="33"/>
        <v>I</v>
      </c>
      <c r="L298" s="7" t="str">
        <f t="shared" si="34"/>
        <v>G8</v>
      </c>
      <c r="M298" s="7" t="str">
        <f t="shared" si="35"/>
        <v/>
      </c>
      <c r="N298" s="62" t="str">
        <f t="shared" si="36"/>
        <v/>
      </c>
      <c r="O298" s="8">
        <f t="shared" si="37"/>
        <v>45791</v>
      </c>
      <c r="P298" s="9" t="str">
        <f t="shared" ca="1" si="38"/>
        <v>ATRASADO</v>
      </c>
      <c r="Q298" s="9" t="s">
        <v>919</v>
      </c>
      <c r="R298" s="9"/>
      <c r="S298" s="9" t="str">
        <f t="shared" si="39"/>
        <v/>
      </c>
    </row>
    <row r="299" spans="1:19" x14ac:dyDescent="0.3">
      <c r="A299" s="9">
        <v>295</v>
      </c>
      <c r="B299" s="2" t="s">
        <v>56</v>
      </c>
      <c r="C299" s="76" t="s">
        <v>1516</v>
      </c>
      <c r="D299" s="17" t="s">
        <v>1517</v>
      </c>
      <c r="E299" s="26">
        <v>22179</v>
      </c>
      <c r="F299" s="9">
        <f t="shared" ca="1" si="32"/>
        <v>66</v>
      </c>
      <c r="G299" s="8">
        <v>43011</v>
      </c>
      <c r="H299" s="9" t="s">
        <v>275</v>
      </c>
      <c r="I299" s="60">
        <v>44701</v>
      </c>
      <c r="J299" s="580" t="s">
        <v>271</v>
      </c>
      <c r="K299" s="4" t="str">
        <f t="shared" si="33"/>
        <v>I</v>
      </c>
      <c r="L299" s="7" t="str">
        <f t="shared" si="34"/>
        <v>G8</v>
      </c>
      <c r="M299" s="7" t="str">
        <f t="shared" si="35"/>
        <v>J1</v>
      </c>
      <c r="N299" s="62" t="str">
        <f t="shared" si="36"/>
        <v/>
      </c>
      <c r="O299" s="8">
        <f t="shared" si="37"/>
        <v>45797</v>
      </c>
      <c r="P299" s="9" t="str">
        <f t="shared" ca="1" si="38"/>
        <v>ATRASADO</v>
      </c>
      <c r="Q299" s="9" t="s">
        <v>919</v>
      </c>
      <c r="R299" s="9"/>
      <c r="S299" s="9" t="str">
        <f t="shared" si="39"/>
        <v/>
      </c>
    </row>
    <row r="300" spans="1:19" x14ac:dyDescent="0.3">
      <c r="A300" s="9">
        <v>296</v>
      </c>
      <c r="B300" s="2" t="s">
        <v>75</v>
      </c>
      <c r="C300" s="76" t="s">
        <v>1518</v>
      </c>
      <c r="D300" s="17" t="s">
        <v>1519</v>
      </c>
      <c r="E300" s="26">
        <v>34087</v>
      </c>
      <c r="F300" s="9">
        <f t="shared" ca="1" si="32"/>
        <v>33</v>
      </c>
      <c r="G300" s="8">
        <v>43317</v>
      </c>
      <c r="H300" s="9" t="s">
        <v>8</v>
      </c>
      <c r="I300" s="60">
        <v>44696</v>
      </c>
      <c r="J300" s="580" t="s">
        <v>8</v>
      </c>
      <c r="K300" s="4" t="str">
        <f t="shared" si="33"/>
        <v>SI</v>
      </c>
      <c r="L300" s="7" t="str">
        <f t="shared" si="34"/>
        <v xml:space="preserve">N </v>
      </c>
      <c r="M300" s="7" t="str">
        <f t="shared" si="35"/>
        <v>RE</v>
      </c>
      <c r="N300" s="62" t="str">
        <f t="shared" si="36"/>
        <v>GI</v>
      </c>
      <c r="O300" s="8">
        <f t="shared" si="37"/>
        <v>45792</v>
      </c>
      <c r="P300" s="9" t="str">
        <f t="shared" ca="1" si="38"/>
        <v>ATRASADO</v>
      </c>
      <c r="Q300" s="9" t="s">
        <v>919</v>
      </c>
      <c r="R300" s="9"/>
      <c r="S300" s="9" t="str">
        <f t="shared" si="39"/>
        <v/>
      </c>
    </row>
    <row r="301" spans="1:19" x14ac:dyDescent="0.3">
      <c r="A301" s="9">
        <v>297</v>
      </c>
      <c r="B301" s="2" t="s">
        <v>75</v>
      </c>
      <c r="C301" s="76" t="s">
        <v>1520</v>
      </c>
      <c r="D301" s="17" t="s">
        <v>1521</v>
      </c>
      <c r="E301" s="26">
        <v>31944</v>
      </c>
      <c r="F301" s="9">
        <f t="shared" ca="1" si="32"/>
        <v>39</v>
      </c>
      <c r="G301" s="8">
        <v>43550</v>
      </c>
      <c r="H301" s="9" t="s">
        <v>8</v>
      </c>
      <c r="I301" s="60">
        <v>44687</v>
      </c>
      <c r="J301" s="580" t="s">
        <v>275</v>
      </c>
      <c r="K301" s="4" t="str">
        <f t="shared" si="33"/>
        <v>I</v>
      </c>
      <c r="L301" s="7" t="str">
        <f t="shared" si="34"/>
        <v>G8</v>
      </c>
      <c r="M301" s="7" t="str">
        <f t="shared" si="35"/>
        <v/>
      </c>
      <c r="N301" s="62" t="str">
        <f t="shared" si="36"/>
        <v/>
      </c>
      <c r="O301" s="8">
        <f t="shared" si="37"/>
        <v>45783</v>
      </c>
      <c r="P301" s="9" t="str">
        <f t="shared" ca="1" si="38"/>
        <v>ATRASADO</v>
      </c>
      <c r="Q301" s="9" t="s">
        <v>919</v>
      </c>
      <c r="R301" s="9"/>
      <c r="S301" s="9" t="str">
        <f t="shared" si="39"/>
        <v/>
      </c>
    </row>
    <row r="302" spans="1:19" x14ac:dyDescent="0.3">
      <c r="A302" s="9">
        <v>298</v>
      </c>
      <c r="B302" s="2" t="s">
        <v>75</v>
      </c>
      <c r="C302" s="76" t="s">
        <v>1522</v>
      </c>
      <c r="D302" s="17" t="s">
        <v>1523</v>
      </c>
      <c r="E302" s="26">
        <v>30058</v>
      </c>
      <c r="F302" s="9">
        <f t="shared" ca="1" si="32"/>
        <v>44</v>
      </c>
      <c r="G302" s="8">
        <v>44262</v>
      </c>
      <c r="H302" s="9" t="s">
        <v>275</v>
      </c>
      <c r="I302" s="60">
        <v>44685</v>
      </c>
      <c r="J302" s="580" t="s">
        <v>340</v>
      </c>
      <c r="K302" s="4" t="str">
        <f t="shared" si="33"/>
        <v>I</v>
      </c>
      <c r="L302" s="7" t="str">
        <f t="shared" si="34"/>
        <v>G8</v>
      </c>
      <c r="M302" s="7" t="str">
        <f t="shared" si="35"/>
        <v>S</v>
      </c>
      <c r="N302" s="62" t="str">
        <f t="shared" si="36"/>
        <v/>
      </c>
      <c r="O302" s="8">
        <f t="shared" si="37"/>
        <v>45050</v>
      </c>
      <c r="P302" s="9" t="str">
        <f t="shared" ca="1" si="38"/>
        <v>ATRASADO</v>
      </c>
      <c r="Q302" s="9" t="s">
        <v>919</v>
      </c>
      <c r="R302" s="9"/>
      <c r="S302" s="9" t="str">
        <f t="shared" si="39"/>
        <v/>
      </c>
    </row>
    <row r="303" spans="1:19" x14ac:dyDescent="0.3">
      <c r="A303" s="9">
        <v>299</v>
      </c>
      <c r="B303" s="2" t="s">
        <v>75</v>
      </c>
      <c r="C303" s="76" t="s">
        <v>1524</v>
      </c>
      <c r="D303" s="17" t="s">
        <v>1525</v>
      </c>
      <c r="E303" s="26">
        <v>33522</v>
      </c>
      <c r="F303" s="9">
        <f t="shared" ca="1" si="32"/>
        <v>34</v>
      </c>
      <c r="G303" s="8">
        <v>43592</v>
      </c>
      <c r="H303" s="9" t="s">
        <v>275</v>
      </c>
      <c r="I303" s="60">
        <v>44685</v>
      </c>
      <c r="J303" s="580" t="s">
        <v>275</v>
      </c>
      <c r="K303" s="4" t="str">
        <f t="shared" si="33"/>
        <v>I</v>
      </c>
      <c r="L303" s="7" t="str">
        <f t="shared" si="34"/>
        <v>G8</v>
      </c>
      <c r="M303" s="7" t="str">
        <f t="shared" si="35"/>
        <v/>
      </c>
      <c r="N303" s="62" t="str">
        <f t="shared" si="36"/>
        <v/>
      </c>
      <c r="O303" s="8">
        <f t="shared" si="37"/>
        <v>45781</v>
      </c>
      <c r="P303" s="9" t="str">
        <f t="shared" ca="1" si="38"/>
        <v>ATRASADO</v>
      </c>
      <c r="Q303" s="9" t="s">
        <v>919</v>
      </c>
      <c r="R303" s="9"/>
      <c r="S303" s="9" t="str">
        <f t="shared" si="39"/>
        <v/>
      </c>
    </row>
    <row r="304" spans="1:19" x14ac:dyDescent="0.3">
      <c r="A304" s="9">
        <v>300</v>
      </c>
      <c r="B304" s="2" t="s">
        <v>75</v>
      </c>
      <c r="C304" s="76" t="s">
        <v>1526</v>
      </c>
      <c r="D304" s="17" t="s">
        <v>1527</v>
      </c>
      <c r="E304" s="26">
        <v>27982</v>
      </c>
      <c r="F304" s="9">
        <f t="shared" ca="1" si="32"/>
        <v>50</v>
      </c>
      <c r="G304" s="8">
        <v>43981</v>
      </c>
      <c r="H304" s="9" t="s">
        <v>320</v>
      </c>
      <c r="I304" s="60">
        <v>44690</v>
      </c>
      <c r="J304" s="580" t="s">
        <v>271</v>
      </c>
      <c r="K304" s="4" t="str">
        <f t="shared" si="33"/>
        <v>I</v>
      </c>
      <c r="L304" s="7" t="str">
        <f t="shared" si="34"/>
        <v>G8</v>
      </c>
      <c r="M304" s="7" t="str">
        <f t="shared" si="35"/>
        <v>J1</v>
      </c>
      <c r="N304" s="62" t="str">
        <f t="shared" si="36"/>
        <v/>
      </c>
      <c r="O304" s="8">
        <f t="shared" si="37"/>
        <v>45786</v>
      </c>
      <c r="P304" s="9" t="str">
        <f t="shared" ca="1" si="38"/>
        <v>ATRASADO</v>
      </c>
      <c r="Q304" s="9" t="s">
        <v>919</v>
      </c>
      <c r="R304" s="9"/>
      <c r="S304" s="9" t="str">
        <f t="shared" si="39"/>
        <v/>
      </c>
    </row>
    <row r="305" spans="1:19" x14ac:dyDescent="0.3">
      <c r="A305" s="9">
        <v>301</v>
      </c>
      <c r="B305" s="2" t="s">
        <v>111</v>
      </c>
      <c r="C305" s="76" t="s">
        <v>1528</v>
      </c>
      <c r="D305" s="17" t="s">
        <v>1529</v>
      </c>
      <c r="E305" s="26">
        <v>30940</v>
      </c>
      <c r="F305" s="9">
        <f t="shared" ca="1" si="32"/>
        <v>42</v>
      </c>
      <c r="G305" s="9" t="s">
        <v>8</v>
      </c>
      <c r="H305" s="9" t="s">
        <v>8</v>
      </c>
      <c r="I305" s="60">
        <v>44711</v>
      </c>
      <c r="J305" s="580" t="s">
        <v>993</v>
      </c>
      <c r="K305" s="4" t="str">
        <f t="shared" si="33"/>
        <v>A1</v>
      </c>
      <c r="L305" s="7" t="str">
        <f t="shared" si="34"/>
        <v>O3</v>
      </c>
      <c r="M305" s="7" t="str">
        <f t="shared" si="35"/>
        <v/>
      </c>
      <c r="N305" s="62" t="str">
        <f t="shared" si="36"/>
        <v/>
      </c>
      <c r="O305" s="8">
        <f t="shared" si="37"/>
        <v>44895</v>
      </c>
      <c r="P305" s="9" t="str">
        <f t="shared" ca="1" si="38"/>
        <v>ATRASADO</v>
      </c>
      <c r="Q305" s="9" t="s">
        <v>919</v>
      </c>
      <c r="R305" s="9"/>
      <c r="S305" s="9" t="str">
        <f t="shared" si="39"/>
        <v>VPH</v>
      </c>
    </row>
    <row r="306" spans="1:19" x14ac:dyDescent="0.3">
      <c r="A306" s="9">
        <v>302</v>
      </c>
      <c r="B306" s="2" t="s">
        <v>75</v>
      </c>
      <c r="C306" s="76" t="s">
        <v>1530</v>
      </c>
      <c r="D306" s="17" t="s">
        <v>1531</v>
      </c>
      <c r="E306" s="26">
        <v>35607</v>
      </c>
      <c r="F306" s="9">
        <f t="shared" ca="1" si="32"/>
        <v>29</v>
      </c>
      <c r="G306" s="8">
        <v>43223</v>
      </c>
      <c r="H306" s="9" t="s">
        <v>275</v>
      </c>
      <c r="I306" s="60">
        <v>44691</v>
      </c>
      <c r="J306" s="580" t="s">
        <v>275</v>
      </c>
      <c r="K306" s="4" t="str">
        <f t="shared" si="33"/>
        <v>I</v>
      </c>
      <c r="L306" s="7" t="str">
        <f t="shared" si="34"/>
        <v>G8</v>
      </c>
      <c r="M306" s="7" t="str">
        <f t="shared" si="35"/>
        <v/>
      </c>
      <c r="N306" s="62" t="str">
        <f t="shared" si="36"/>
        <v/>
      </c>
      <c r="O306" s="8">
        <f t="shared" si="37"/>
        <v>45787</v>
      </c>
      <c r="P306" s="9" t="str">
        <f t="shared" ca="1" si="38"/>
        <v>ATRASADO</v>
      </c>
      <c r="Q306" s="9" t="s">
        <v>919</v>
      </c>
      <c r="R306" s="9"/>
      <c r="S306" s="9" t="str">
        <f t="shared" si="39"/>
        <v/>
      </c>
    </row>
    <row r="307" spans="1:19" x14ac:dyDescent="0.3">
      <c r="A307" s="9">
        <v>303</v>
      </c>
      <c r="B307" s="2" t="s">
        <v>75</v>
      </c>
      <c r="C307" s="76" t="s">
        <v>1532</v>
      </c>
      <c r="D307" s="17" t="s">
        <v>1533</v>
      </c>
      <c r="E307" s="26">
        <v>25635</v>
      </c>
      <c r="F307" s="9">
        <f t="shared" ca="1" si="32"/>
        <v>56</v>
      </c>
      <c r="G307" s="8">
        <v>44241</v>
      </c>
      <c r="H307" s="9" t="s">
        <v>271</v>
      </c>
      <c r="I307" s="60">
        <v>44712</v>
      </c>
      <c r="J307" s="580" t="s">
        <v>275</v>
      </c>
      <c r="K307" s="4" t="str">
        <f t="shared" si="33"/>
        <v>I</v>
      </c>
      <c r="L307" s="7" t="str">
        <f t="shared" si="34"/>
        <v>G8</v>
      </c>
      <c r="M307" s="7" t="str">
        <f t="shared" si="35"/>
        <v/>
      </c>
      <c r="N307" s="62" t="str">
        <f t="shared" si="36"/>
        <v/>
      </c>
      <c r="O307" s="8">
        <f t="shared" si="37"/>
        <v>45808</v>
      </c>
      <c r="P307" s="9" t="str">
        <f t="shared" ca="1" si="38"/>
        <v>ATRASADO</v>
      </c>
      <c r="Q307" s="9" t="s">
        <v>919</v>
      </c>
      <c r="R307" s="9"/>
      <c r="S307" s="9" t="str">
        <f t="shared" si="39"/>
        <v/>
      </c>
    </row>
    <row r="308" spans="1:19" x14ac:dyDescent="0.3">
      <c r="A308" s="9">
        <v>304</v>
      </c>
      <c r="B308" s="2" t="s">
        <v>75</v>
      </c>
      <c r="C308" s="76" t="s">
        <v>1534</v>
      </c>
      <c r="D308" s="17" t="s">
        <v>1535</v>
      </c>
      <c r="E308" s="26">
        <v>31993</v>
      </c>
      <c r="F308" s="9">
        <f t="shared" ca="1" si="32"/>
        <v>39</v>
      </c>
      <c r="G308" s="8">
        <v>43026</v>
      </c>
      <c r="H308" s="9" t="s">
        <v>275</v>
      </c>
      <c r="I308" s="60">
        <v>44686</v>
      </c>
      <c r="J308" s="580" t="s">
        <v>327</v>
      </c>
      <c r="K308" s="4" t="str">
        <f t="shared" si="33"/>
        <v>I</v>
      </c>
      <c r="L308" s="7" t="str">
        <f t="shared" si="34"/>
        <v>G7</v>
      </c>
      <c r="M308" s="7" t="str">
        <f t="shared" si="35"/>
        <v>S</v>
      </c>
      <c r="N308" s="62" t="str">
        <f t="shared" si="36"/>
        <v/>
      </c>
      <c r="O308" s="8">
        <f t="shared" si="37"/>
        <v>45051</v>
      </c>
      <c r="P308" s="9" t="str">
        <f t="shared" ca="1" si="38"/>
        <v>ATRASADO</v>
      </c>
      <c r="Q308" s="9" t="s">
        <v>919</v>
      </c>
      <c r="R308" s="9"/>
      <c r="S308" s="9" t="str">
        <f t="shared" si="39"/>
        <v/>
      </c>
    </row>
    <row r="309" spans="1:19" x14ac:dyDescent="0.3">
      <c r="A309" s="9">
        <v>305</v>
      </c>
      <c r="B309" s="2" t="s">
        <v>270</v>
      </c>
      <c r="C309" s="76" t="s">
        <v>1536</v>
      </c>
      <c r="D309" s="17" t="s">
        <v>1537</v>
      </c>
      <c r="E309" s="26">
        <v>29330</v>
      </c>
      <c r="F309" s="9">
        <f t="shared" ca="1" si="32"/>
        <v>46</v>
      </c>
      <c r="G309" s="8">
        <v>44333</v>
      </c>
      <c r="H309" s="9" t="s">
        <v>275</v>
      </c>
      <c r="I309" s="60">
        <v>44708</v>
      </c>
      <c r="J309" s="580" t="s">
        <v>271</v>
      </c>
      <c r="K309" s="4" t="str">
        <f t="shared" si="33"/>
        <v>I</v>
      </c>
      <c r="L309" s="7" t="str">
        <f t="shared" si="34"/>
        <v>G8</v>
      </c>
      <c r="M309" s="7" t="str">
        <f t="shared" si="35"/>
        <v>J1</v>
      </c>
      <c r="N309" s="62" t="str">
        <f t="shared" si="36"/>
        <v/>
      </c>
      <c r="O309" s="8">
        <f t="shared" si="37"/>
        <v>45804</v>
      </c>
      <c r="P309" s="9" t="str">
        <f t="shared" ca="1" si="38"/>
        <v>ATRASADO</v>
      </c>
      <c r="Q309" s="9" t="s">
        <v>919</v>
      </c>
      <c r="R309" s="9"/>
      <c r="S309" s="9" t="str">
        <f t="shared" si="39"/>
        <v/>
      </c>
    </row>
    <row r="310" spans="1:19" x14ac:dyDescent="0.3">
      <c r="A310" s="9">
        <v>306</v>
      </c>
      <c r="B310" s="2" t="s">
        <v>270</v>
      </c>
      <c r="C310" s="76" t="s">
        <v>1538</v>
      </c>
      <c r="D310" s="17" t="s">
        <v>1539</v>
      </c>
      <c r="E310" s="26">
        <v>34001</v>
      </c>
      <c r="F310" s="9">
        <f t="shared" ca="1" si="32"/>
        <v>33</v>
      </c>
      <c r="G310" s="8">
        <v>44126</v>
      </c>
      <c r="H310" s="9" t="s">
        <v>271</v>
      </c>
      <c r="I310" s="60">
        <v>44705</v>
      </c>
      <c r="J310" s="580" t="s">
        <v>271</v>
      </c>
      <c r="K310" s="4" t="str">
        <f t="shared" si="33"/>
        <v>I</v>
      </c>
      <c r="L310" s="7" t="str">
        <f t="shared" si="34"/>
        <v>G8</v>
      </c>
      <c r="M310" s="7" t="str">
        <f t="shared" si="35"/>
        <v>J1</v>
      </c>
      <c r="N310" s="62" t="str">
        <f t="shared" si="36"/>
        <v/>
      </c>
      <c r="O310" s="8">
        <f t="shared" si="37"/>
        <v>45801</v>
      </c>
      <c r="P310" s="9" t="str">
        <f t="shared" ca="1" si="38"/>
        <v>ATRASADO</v>
      </c>
      <c r="Q310" s="9" t="s">
        <v>919</v>
      </c>
      <c r="R310" s="9"/>
      <c r="S310" s="9" t="str">
        <f t="shared" si="39"/>
        <v/>
      </c>
    </row>
    <row r="311" spans="1:19" x14ac:dyDescent="0.3">
      <c r="A311" s="9">
        <v>307</v>
      </c>
      <c r="B311" s="2" t="s">
        <v>75</v>
      </c>
      <c r="C311" s="76" t="s">
        <v>1540</v>
      </c>
      <c r="D311" s="17" t="s">
        <v>1541</v>
      </c>
      <c r="E311" s="26">
        <v>32493</v>
      </c>
      <c r="F311" s="9">
        <f t="shared" ca="1" si="32"/>
        <v>37</v>
      </c>
      <c r="G311" s="8">
        <v>43784</v>
      </c>
      <c r="H311" s="9" t="s">
        <v>271</v>
      </c>
      <c r="I311" s="60">
        <v>44707</v>
      </c>
      <c r="J311" s="580" t="s">
        <v>8</v>
      </c>
      <c r="K311" s="4" t="str">
        <f t="shared" si="33"/>
        <v>SI</v>
      </c>
      <c r="L311" s="7" t="str">
        <f t="shared" si="34"/>
        <v xml:space="preserve">N </v>
      </c>
      <c r="M311" s="7" t="str">
        <f t="shared" si="35"/>
        <v>RE</v>
      </c>
      <c r="N311" s="62" t="str">
        <f t="shared" si="36"/>
        <v>GI</v>
      </c>
      <c r="O311" s="8">
        <f t="shared" si="37"/>
        <v>45803</v>
      </c>
      <c r="P311" s="9" t="str">
        <f t="shared" ca="1" si="38"/>
        <v>ATRASADO</v>
      </c>
      <c r="Q311" s="9" t="s">
        <v>919</v>
      </c>
      <c r="R311" s="9"/>
      <c r="S311" s="9" t="str">
        <f t="shared" si="39"/>
        <v/>
      </c>
    </row>
    <row r="312" spans="1:19" x14ac:dyDescent="0.3">
      <c r="A312" s="9">
        <v>308</v>
      </c>
      <c r="B312" s="2" t="s">
        <v>75</v>
      </c>
      <c r="C312" s="76" t="s">
        <v>1542</v>
      </c>
      <c r="D312" s="17" t="s">
        <v>1543</v>
      </c>
      <c r="E312" s="26">
        <v>26976</v>
      </c>
      <c r="F312" s="9">
        <f t="shared" ca="1" si="32"/>
        <v>52</v>
      </c>
      <c r="G312" s="8">
        <v>43382</v>
      </c>
      <c r="H312" s="9" t="s">
        <v>594</v>
      </c>
      <c r="I312" s="60">
        <v>44682</v>
      </c>
      <c r="J312" s="580" t="s">
        <v>8</v>
      </c>
      <c r="K312" s="4" t="str">
        <f t="shared" si="33"/>
        <v>SI</v>
      </c>
      <c r="L312" s="7" t="str">
        <f t="shared" si="34"/>
        <v xml:space="preserve">N </v>
      </c>
      <c r="M312" s="7" t="str">
        <f t="shared" si="35"/>
        <v>RE</v>
      </c>
      <c r="N312" s="62" t="str">
        <f t="shared" si="36"/>
        <v>GI</v>
      </c>
      <c r="O312" s="8">
        <f t="shared" si="37"/>
        <v>45778</v>
      </c>
      <c r="P312" s="9" t="str">
        <f t="shared" ca="1" si="38"/>
        <v>ATRASADO</v>
      </c>
      <c r="Q312" s="9" t="s">
        <v>919</v>
      </c>
      <c r="R312" s="9"/>
      <c r="S312" s="9" t="str">
        <f t="shared" si="39"/>
        <v/>
      </c>
    </row>
    <row r="313" spans="1:19" x14ac:dyDescent="0.3">
      <c r="A313" s="9">
        <v>309</v>
      </c>
      <c r="B313" s="2" t="s">
        <v>75</v>
      </c>
      <c r="C313" s="76" t="s">
        <v>1544</v>
      </c>
      <c r="D313" s="17" t="s">
        <v>1545</v>
      </c>
      <c r="E313" s="26">
        <v>29848</v>
      </c>
      <c r="F313" s="9">
        <f t="shared" ca="1" si="32"/>
        <v>45</v>
      </c>
      <c r="G313" s="8">
        <v>43098</v>
      </c>
      <c r="H313" s="9" t="s">
        <v>271</v>
      </c>
      <c r="I313" s="60">
        <v>44705</v>
      </c>
      <c r="J313" s="580" t="s">
        <v>8</v>
      </c>
      <c r="K313" s="4" t="str">
        <f t="shared" si="33"/>
        <v>SI</v>
      </c>
      <c r="L313" s="7" t="str">
        <f t="shared" si="34"/>
        <v xml:space="preserve">N </v>
      </c>
      <c r="M313" s="7" t="str">
        <f t="shared" si="35"/>
        <v>RE</v>
      </c>
      <c r="N313" s="62" t="str">
        <f t="shared" si="36"/>
        <v>GI</v>
      </c>
      <c r="O313" s="8">
        <f t="shared" si="37"/>
        <v>45801</v>
      </c>
      <c r="P313" s="9" t="str">
        <f t="shared" ca="1" si="38"/>
        <v>ATRASADO</v>
      </c>
      <c r="Q313" s="9" t="s">
        <v>919</v>
      </c>
      <c r="R313" s="9"/>
      <c r="S313" s="9" t="str">
        <f t="shared" si="39"/>
        <v/>
      </c>
    </row>
    <row r="314" spans="1:19" x14ac:dyDescent="0.3">
      <c r="A314" s="9">
        <v>310</v>
      </c>
      <c r="B314" s="2" t="s">
        <v>75</v>
      </c>
      <c r="C314" s="76" t="s">
        <v>1546</v>
      </c>
      <c r="D314" s="17" t="s">
        <v>1547</v>
      </c>
      <c r="E314" s="26">
        <v>34250</v>
      </c>
      <c r="F314" s="9">
        <f t="shared" ca="1" si="32"/>
        <v>32</v>
      </c>
      <c r="G314" s="8">
        <v>43622</v>
      </c>
      <c r="H314" s="9" t="s">
        <v>275</v>
      </c>
      <c r="I314" s="60">
        <v>44709</v>
      </c>
      <c r="J314" s="580" t="s">
        <v>275</v>
      </c>
      <c r="K314" s="4" t="str">
        <f t="shared" si="33"/>
        <v>I</v>
      </c>
      <c r="L314" s="7" t="str">
        <f t="shared" si="34"/>
        <v>G8</v>
      </c>
      <c r="M314" s="7" t="str">
        <f t="shared" si="35"/>
        <v/>
      </c>
      <c r="N314" s="62" t="str">
        <f t="shared" si="36"/>
        <v/>
      </c>
      <c r="O314" s="8">
        <f t="shared" si="37"/>
        <v>45805</v>
      </c>
      <c r="P314" s="9" t="str">
        <f t="shared" ca="1" si="38"/>
        <v>ATRASADO</v>
      </c>
      <c r="Q314" s="9" t="s">
        <v>919</v>
      </c>
      <c r="R314" s="9"/>
      <c r="S314" s="9" t="str">
        <f t="shared" si="39"/>
        <v/>
      </c>
    </row>
    <row r="315" spans="1:19" x14ac:dyDescent="0.3">
      <c r="A315" s="9">
        <v>311</v>
      </c>
      <c r="B315" s="2" t="s">
        <v>75</v>
      </c>
      <c r="C315" s="76" t="s">
        <v>1548</v>
      </c>
      <c r="D315" s="17" t="s">
        <v>1549</v>
      </c>
      <c r="E315" s="26">
        <v>24399</v>
      </c>
      <c r="F315" s="9">
        <f t="shared" ca="1" si="32"/>
        <v>59</v>
      </c>
      <c r="G315" s="9" t="s">
        <v>8</v>
      </c>
      <c r="H315" s="9" t="s">
        <v>8</v>
      </c>
      <c r="I315" s="60">
        <v>44692</v>
      </c>
      <c r="J315" s="580" t="s">
        <v>275</v>
      </c>
      <c r="K315" s="4" t="str">
        <f t="shared" si="33"/>
        <v>I</v>
      </c>
      <c r="L315" s="7" t="str">
        <f t="shared" si="34"/>
        <v>G8</v>
      </c>
      <c r="M315" s="7" t="str">
        <f t="shared" si="35"/>
        <v/>
      </c>
      <c r="N315" s="62" t="str">
        <f t="shared" si="36"/>
        <v/>
      </c>
      <c r="O315" s="8">
        <f t="shared" si="37"/>
        <v>45788</v>
      </c>
      <c r="P315" s="9" t="str">
        <f t="shared" ca="1" si="38"/>
        <v>ATRASADO</v>
      </c>
      <c r="Q315" s="9" t="s">
        <v>919</v>
      </c>
      <c r="R315" s="9"/>
      <c r="S315" s="9" t="str">
        <f t="shared" si="39"/>
        <v/>
      </c>
    </row>
    <row r="316" spans="1:19" x14ac:dyDescent="0.3">
      <c r="A316" s="9">
        <v>312</v>
      </c>
      <c r="B316" s="73" t="s">
        <v>75</v>
      </c>
      <c r="C316" s="75" t="s">
        <v>1550</v>
      </c>
      <c r="D316" s="18" t="s">
        <v>1551</v>
      </c>
      <c r="E316" s="68">
        <v>23994</v>
      </c>
      <c r="F316" s="9">
        <f t="shared" ca="1" si="32"/>
        <v>61</v>
      </c>
      <c r="G316" s="8">
        <v>44134</v>
      </c>
      <c r="H316" s="33" t="s">
        <v>8</v>
      </c>
      <c r="I316" s="60">
        <v>44706</v>
      </c>
      <c r="J316" s="580" t="s">
        <v>271</v>
      </c>
      <c r="K316" s="4" t="str">
        <f t="shared" si="33"/>
        <v>I</v>
      </c>
      <c r="L316" s="7" t="str">
        <f t="shared" si="34"/>
        <v>G8</v>
      </c>
      <c r="M316" s="7" t="str">
        <f t="shared" si="35"/>
        <v>J1</v>
      </c>
      <c r="N316" s="62" t="str">
        <f t="shared" si="36"/>
        <v/>
      </c>
      <c r="O316" s="8">
        <f t="shared" si="37"/>
        <v>45802</v>
      </c>
      <c r="P316" s="9" t="str">
        <f t="shared" ca="1" si="38"/>
        <v>ATRASADO</v>
      </c>
      <c r="Q316" s="12" t="s">
        <v>341</v>
      </c>
      <c r="R316" s="9"/>
      <c r="S316" s="9" t="str">
        <f t="shared" si="39"/>
        <v/>
      </c>
    </row>
    <row r="317" spans="1:19" x14ac:dyDescent="0.3">
      <c r="A317" s="9">
        <v>313</v>
      </c>
      <c r="B317" s="73" t="s">
        <v>75</v>
      </c>
      <c r="C317" s="75" t="s">
        <v>1552</v>
      </c>
      <c r="D317" s="18" t="s">
        <v>1553</v>
      </c>
      <c r="E317" s="68">
        <v>34999</v>
      </c>
      <c r="F317" s="9">
        <f t="shared" ca="1" si="32"/>
        <v>30</v>
      </c>
      <c r="G317" s="8">
        <v>44206</v>
      </c>
      <c r="H317" s="33" t="s">
        <v>271</v>
      </c>
      <c r="I317" s="60">
        <v>44685</v>
      </c>
      <c r="J317" s="580" t="s">
        <v>271</v>
      </c>
      <c r="K317" s="4" t="str">
        <f t="shared" si="33"/>
        <v>I</v>
      </c>
      <c r="L317" s="7" t="str">
        <f t="shared" si="34"/>
        <v>G8</v>
      </c>
      <c r="M317" s="7" t="str">
        <f t="shared" si="35"/>
        <v>J1</v>
      </c>
      <c r="N317" s="62" t="str">
        <f t="shared" si="36"/>
        <v/>
      </c>
      <c r="O317" s="8">
        <f t="shared" si="37"/>
        <v>45781</v>
      </c>
      <c r="P317" s="9" t="str">
        <f t="shared" ca="1" si="38"/>
        <v>ATRASADO</v>
      </c>
      <c r="Q317" s="12" t="s">
        <v>341</v>
      </c>
      <c r="R317" s="9"/>
      <c r="S317" s="9" t="str">
        <f t="shared" si="39"/>
        <v/>
      </c>
    </row>
    <row r="318" spans="1:19" x14ac:dyDescent="0.3">
      <c r="A318" s="9">
        <v>314</v>
      </c>
      <c r="B318" s="2" t="s">
        <v>312</v>
      </c>
      <c r="C318" s="76" t="s">
        <v>1554</v>
      </c>
      <c r="D318" s="17" t="s">
        <v>1555</v>
      </c>
      <c r="E318" s="26">
        <v>25710</v>
      </c>
      <c r="F318" s="9">
        <f t="shared" ca="1" si="32"/>
        <v>56</v>
      </c>
      <c r="G318" s="9" t="s">
        <v>8</v>
      </c>
      <c r="H318" s="34" t="s">
        <v>8</v>
      </c>
      <c r="I318" s="60">
        <v>44692</v>
      </c>
      <c r="J318" s="580" t="s">
        <v>271</v>
      </c>
      <c r="K318" s="4" t="str">
        <f t="shared" si="33"/>
        <v>I</v>
      </c>
      <c r="L318" s="7" t="str">
        <f t="shared" si="34"/>
        <v>G8</v>
      </c>
      <c r="M318" s="7" t="str">
        <f t="shared" si="35"/>
        <v>J1</v>
      </c>
      <c r="N318" s="62" t="str">
        <f t="shared" si="36"/>
        <v/>
      </c>
      <c r="O318" s="8">
        <f t="shared" si="37"/>
        <v>45788</v>
      </c>
      <c r="P318" s="9" t="str">
        <f t="shared" ca="1" si="38"/>
        <v>ATRASADO</v>
      </c>
      <c r="Q318" s="9" t="s">
        <v>1556</v>
      </c>
      <c r="R318" s="9"/>
      <c r="S318" s="9" t="str">
        <f t="shared" si="39"/>
        <v/>
      </c>
    </row>
    <row r="319" spans="1:19" x14ac:dyDescent="0.3">
      <c r="A319" s="9">
        <v>315</v>
      </c>
      <c r="B319" s="2" t="s">
        <v>579</v>
      </c>
      <c r="C319" s="76" t="s">
        <v>1557</v>
      </c>
      <c r="D319" s="17" t="s">
        <v>1558</v>
      </c>
      <c r="E319" s="26">
        <v>34552</v>
      </c>
      <c r="F319" s="9">
        <f t="shared" ca="1" si="32"/>
        <v>32</v>
      </c>
      <c r="G319" s="8">
        <v>43279</v>
      </c>
      <c r="H319" s="34" t="s">
        <v>275</v>
      </c>
      <c r="I319" s="60">
        <v>44709</v>
      </c>
      <c r="J319" s="580" t="s">
        <v>275</v>
      </c>
      <c r="K319" s="4" t="str">
        <f t="shared" si="33"/>
        <v>I</v>
      </c>
      <c r="L319" s="7" t="str">
        <f t="shared" si="34"/>
        <v>G8</v>
      </c>
      <c r="M319" s="7" t="str">
        <f t="shared" si="35"/>
        <v/>
      </c>
      <c r="N319" s="62" t="str">
        <f t="shared" si="36"/>
        <v/>
      </c>
      <c r="O319" s="8">
        <f t="shared" si="37"/>
        <v>45805</v>
      </c>
      <c r="P319" s="9" t="str">
        <f t="shared" ca="1" si="38"/>
        <v>ATRASADO</v>
      </c>
      <c r="Q319" s="9" t="s">
        <v>1556</v>
      </c>
      <c r="R319" s="9"/>
      <c r="S319" s="9" t="str">
        <f t="shared" si="39"/>
        <v/>
      </c>
    </row>
    <row r="320" spans="1:19" x14ac:dyDescent="0.3">
      <c r="A320" s="9">
        <v>316</v>
      </c>
      <c r="B320" s="2" t="s">
        <v>75</v>
      </c>
      <c r="C320" s="76" t="s">
        <v>1559</v>
      </c>
      <c r="D320" s="17" t="s">
        <v>1560</v>
      </c>
      <c r="E320" s="26">
        <v>34772</v>
      </c>
      <c r="F320" s="9">
        <f t="shared" ca="1" si="32"/>
        <v>31</v>
      </c>
      <c r="G320" s="8">
        <v>43654</v>
      </c>
      <c r="H320" s="34" t="s">
        <v>275</v>
      </c>
      <c r="I320" s="60">
        <v>44690</v>
      </c>
      <c r="J320" s="580" t="s">
        <v>8</v>
      </c>
      <c r="K320" s="4" t="str">
        <f t="shared" si="33"/>
        <v>SI</v>
      </c>
      <c r="L320" s="7" t="str">
        <f t="shared" si="34"/>
        <v xml:space="preserve">N </v>
      </c>
      <c r="M320" s="7" t="str">
        <f t="shared" si="35"/>
        <v>RE</v>
      </c>
      <c r="N320" s="62" t="str">
        <f t="shared" si="36"/>
        <v>GI</v>
      </c>
      <c r="O320" s="8">
        <f t="shared" si="37"/>
        <v>45786</v>
      </c>
      <c r="P320" s="9" t="str">
        <f t="shared" ca="1" si="38"/>
        <v>ATRASADO</v>
      </c>
      <c r="Q320" s="9" t="s">
        <v>1556</v>
      </c>
      <c r="R320" s="9"/>
      <c r="S320" s="9" t="str">
        <f t="shared" si="39"/>
        <v/>
      </c>
    </row>
    <row r="321" spans="1:19" x14ac:dyDescent="0.3">
      <c r="A321" s="9">
        <v>317</v>
      </c>
      <c r="B321" s="2" t="s">
        <v>111</v>
      </c>
      <c r="C321" s="76" t="s">
        <v>1561</v>
      </c>
      <c r="D321" s="17" t="s">
        <v>1562</v>
      </c>
      <c r="E321" s="26">
        <v>34894</v>
      </c>
      <c r="F321" s="9">
        <f t="shared" ca="1" si="32"/>
        <v>31</v>
      </c>
      <c r="G321" s="8">
        <v>42933</v>
      </c>
      <c r="H321" s="34" t="s">
        <v>8</v>
      </c>
      <c r="I321" s="60">
        <v>44696</v>
      </c>
      <c r="J321" s="580" t="s">
        <v>8</v>
      </c>
      <c r="K321" s="4" t="str">
        <f t="shared" si="33"/>
        <v>SI</v>
      </c>
      <c r="L321" s="7" t="str">
        <f t="shared" si="34"/>
        <v xml:space="preserve">N </v>
      </c>
      <c r="M321" s="7" t="str">
        <f t="shared" si="35"/>
        <v>RE</v>
      </c>
      <c r="N321" s="62" t="str">
        <f t="shared" si="36"/>
        <v>GI</v>
      </c>
      <c r="O321" s="8">
        <f t="shared" si="37"/>
        <v>45792</v>
      </c>
      <c r="P321" s="9" t="str">
        <f t="shared" ca="1" si="38"/>
        <v>ATRASADO</v>
      </c>
      <c r="Q321" s="9" t="s">
        <v>1556</v>
      </c>
      <c r="R321" s="9"/>
      <c r="S321" s="9" t="str">
        <f t="shared" si="39"/>
        <v/>
      </c>
    </row>
    <row r="322" spans="1:19" x14ac:dyDescent="0.3">
      <c r="A322" s="9">
        <v>318</v>
      </c>
      <c r="B322" s="2" t="s">
        <v>312</v>
      </c>
      <c r="C322" s="76" t="s">
        <v>1563</v>
      </c>
      <c r="D322" s="17" t="s">
        <v>1564</v>
      </c>
      <c r="E322" s="26">
        <v>30875</v>
      </c>
      <c r="F322" s="9">
        <f t="shared" ca="1" si="32"/>
        <v>42</v>
      </c>
      <c r="G322" s="8">
        <v>43397</v>
      </c>
      <c r="H322" s="34" t="s">
        <v>271</v>
      </c>
      <c r="I322" s="60">
        <v>44690</v>
      </c>
      <c r="J322" s="580" t="s">
        <v>275</v>
      </c>
      <c r="K322" s="4" t="str">
        <f t="shared" si="33"/>
        <v>I</v>
      </c>
      <c r="L322" s="7" t="str">
        <f t="shared" si="34"/>
        <v>G8</v>
      </c>
      <c r="M322" s="7" t="str">
        <f t="shared" si="35"/>
        <v/>
      </c>
      <c r="N322" s="62" t="str">
        <f t="shared" si="36"/>
        <v/>
      </c>
      <c r="O322" s="8">
        <f t="shared" si="37"/>
        <v>45786</v>
      </c>
      <c r="P322" s="9" t="str">
        <f t="shared" ca="1" si="38"/>
        <v>ATRASADO</v>
      </c>
      <c r="Q322" s="9" t="s">
        <v>1556</v>
      </c>
      <c r="R322" s="9"/>
      <c r="S322" s="9" t="str">
        <f t="shared" si="39"/>
        <v/>
      </c>
    </row>
    <row r="323" spans="1:19" x14ac:dyDescent="0.3">
      <c r="A323" s="9">
        <v>319</v>
      </c>
      <c r="B323" s="2" t="s">
        <v>579</v>
      </c>
      <c r="C323" s="76" t="s">
        <v>1565</v>
      </c>
      <c r="D323" s="17" t="s">
        <v>1566</v>
      </c>
      <c r="E323" s="26">
        <v>28696</v>
      </c>
      <c r="F323" s="9">
        <f t="shared" ca="1" si="32"/>
        <v>48</v>
      </c>
      <c r="G323" s="8">
        <v>43341</v>
      </c>
      <c r="H323" s="34" t="s">
        <v>8</v>
      </c>
      <c r="I323" s="60">
        <v>44692</v>
      </c>
      <c r="J323" s="580" t="s">
        <v>275</v>
      </c>
      <c r="K323" s="4" t="str">
        <f t="shared" si="33"/>
        <v>I</v>
      </c>
      <c r="L323" s="7" t="str">
        <f t="shared" si="34"/>
        <v>G8</v>
      </c>
      <c r="M323" s="7" t="str">
        <f t="shared" si="35"/>
        <v/>
      </c>
      <c r="N323" s="62" t="str">
        <f t="shared" si="36"/>
        <v/>
      </c>
      <c r="O323" s="8">
        <f t="shared" si="37"/>
        <v>45788</v>
      </c>
      <c r="P323" s="9" t="str">
        <f t="shared" ca="1" si="38"/>
        <v>ATRASADO</v>
      </c>
      <c r="Q323" s="9" t="s">
        <v>1556</v>
      </c>
      <c r="R323" s="9"/>
      <c r="S323" s="9" t="str">
        <f t="shared" si="39"/>
        <v/>
      </c>
    </row>
    <row r="324" spans="1:19" x14ac:dyDescent="0.3">
      <c r="A324" s="9">
        <v>320</v>
      </c>
      <c r="B324" s="2" t="s">
        <v>346</v>
      </c>
      <c r="C324" s="76" t="s">
        <v>1567</v>
      </c>
      <c r="D324" s="17" t="s">
        <v>1568</v>
      </c>
      <c r="E324" s="26">
        <v>27044</v>
      </c>
      <c r="F324" s="9">
        <f t="shared" ca="1" si="32"/>
        <v>52</v>
      </c>
      <c r="G324" s="8">
        <v>43051</v>
      </c>
      <c r="H324" s="34" t="s">
        <v>271</v>
      </c>
      <c r="I324" s="60">
        <v>44700</v>
      </c>
      <c r="J324" s="580" t="s">
        <v>340</v>
      </c>
      <c r="K324" s="4" t="str">
        <f t="shared" si="33"/>
        <v>I</v>
      </c>
      <c r="L324" s="7" t="str">
        <f t="shared" si="34"/>
        <v>G8</v>
      </c>
      <c r="M324" s="7" t="str">
        <f t="shared" si="35"/>
        <v>S</v>
      </c>
      <c r="N324" s="62" t="str">
        <f t="shared" si="36"/>
        <v/>
      </c>
      <c r="O324" s="8">
        <f t="shared" si="37"/>
        <v>45065</v>
      </c>
      <c r="P324" s="9" t="str">
        <f t="shared" ca="1" si="38"/>
        <v>ATRASADO</v>
      </c>
      <c r="Q324" s="9" t="s">
        <v>1556</v>
      </c>
      <c r="R324" s="9"/>
      <c r="S324" s="9" t="str">
        <f t="shared" si="39"/>
        <v/>
      </c>
    </row>
    <row r="325" spans="1:19" x14ac:dyDescent="0.3">
      <c r="A325" s="9">
        <v>321</v>
      </c>
      <c r="B325" s="2" t="s">
        <v>579</v>
      </c>
      <c r="C325" s="76" t="s">
        <v>1569</v>
      </c>
      <c r="D325" s="17" t="s">
        <v>1570</v>
      </c>
      <c r="E325" s="26">
        <v>27040</v>
      </c>
      <c r="F325" s="9">
        <f t="shared" ref="F325:F388" ca="1" si="40">IF(E325="","",DATEDIF(E325,TODAY(),"Y"))</f>
        <v>52</v>
      </c>
      <c r="G325" s="8">
        <v>43528</v>
      </c>
      <c r="H325" s="29" t="s">
        <v>8</v>
      </c>
      <c r="I325" s="59">
        <v>44696</v>
      </c>
      <c r="J325" s="580" t="s">
        <v>271</v>
      </c>
      <c r="K325" s="4" t="str">
        <f t="shared" ref="K325:K388" si="41">IF(OR(LEFT(J325,2)="T1",LEFT(J325,2)="T2",LEFT(J325,2)="A1",LEFT(J325,2)="D0",LEFT(J325,2)="D1",LEFT(J325,2)="D2",LEFT(J325,2)="D3",LEFT(J325,2)="E1",LEFT(J325,2)="E2"),LEFT(J325,2),IF(OR(LEFT(J325,1)="A",LEFT(J325,1)="B",LEFT(J325,1)="C",LEFT(J325,1)="D",LEFT(J325,1)="I",LEFT(J325,1)="E",LEFT(J325,1)="K",LEFT(J325,1)="T"),LEFT(J325,1),LEFT(J325,2)))</f>
        <v>I</v>
      </c>
      <c r="L325" s="7" t="str">
        <f t="shared" ref="L325:L388" si="42">IF(AND(OR(LEFT(J325,2)="A1",LEFT(J325,2)="D0",LEFT(J325,2)="D1",LEFT(J325,2)="D2",LEFT(J325,2)="D3",LEFT(J325,2)="E1",LEFT(J325,2)="E2",LEFT(J325,2)="T1",LEFT(J325,2)="T2"),OR(MID(J325,3,1)="A",MID(J325,3,1)="B",MID(J325,3,1)="C",MID(J325,3,1)="D",MID(J325,3,1)="E",MID(J325,3,1)="I",MID(J325,3,1)="K",MID(J325,3,1)="T",MID(J325,3,1)="N",)),MID(J325,3,1),IF(OR(LEFT(J325,2)="A1",LEFT(J325,2)="D0",LEFT(J325,2)="D1",LEFT(J325,2)="D2",LEFT(J325,2)="D3",LEFT(J325,2)="E1",LEFT(J325,2)="E2",LEFT(J325,2)="T1",LEFT(J325,2)="T2"),MID(J325,3,2),IF(AND(OR(LEFT(J325,1)="A",LEFT(J325,1)="B",LEFT(J325,1)="C",LEFT(J325,1)="D",LEFT(J325,1)="E",LEFT(J325,1)="I",LEFT(J325,1)="K",LEFT(J325,1)="T",LEFT(J325,1)="N"),OR(MID(J325,2,1)="A",MID(J325,2,1)="B",MID(J325,2,1)="C",MID(J325,2,1)="D",MID(J325,2,1)="E",MID(J325,2,1)="I",MID(J325,2,1)="K",MID(J325,2,1)="T",MID(J325,2,1)="N")),MID(J325,2,2),IF(OR(LEFT(J325,1)="A",LEFT(J325,1)="B",LEFT(J325,1)="C",LEFT(J325,1)="D",LEFT(J325,1)="E",LEFT(J325,1)="I",LEFT(J325,1)="K",LEFT(J325,1)="T",LEFT(J325,1)="N"),MID(J325,2,2),MID(J325,3,2)))))</f>
        <v>G8</v>
      </c>
      <c r="M325" s="7" t="str">
        <f t="shared" ref="M325:M388" si="43">IF(AND(OR(LEFT(J325,2)="A1",LEFT(J325,2)="D0",LEFT(J325,2)="D1",LEFT(J325,2)="D2",LEFT(J325,2)="D3",LEFT(J325,2)="E1",LEFT(J325,2)="E2",LEFT(J325,2)="T1",LEFT(J325,2)="T2"),OR(MID(J325,3,1)="A",MID(J325,3,1)="B",MID(J325,3,1)="C",MID(J325,3,1)="D",MID(J325,3,1)="E",MID(J325,3,1)="I",MID(J325,3,1)="K",MID(J325,3,1)="T",MID(J325,3,1)="N",)),MID(J325,4,2),IF(OR(LEFT(J325,2)="A1",LEFT(J325,2)="D0",LEFT(J325,2)="D1",LEFT(J325,2)="D2",LEFT(J325,2)="D3",LEFT(J325,2)="E1",LEFT(J325,2)="E2",LEFT(J325,2)="T1",LEFT(J325,2)="T2"),MID(J325,5,2),IF(AND(OR(LEFT(J325,1)="A",LEFT(J325,1)="B",LEFT(J325,1)="C",LEFT(J325,1)="D",LEFT(J325,1)="E",LEFT(J325,1)="I",LEFT(J325,1)="K",LEFT(J325,1)="T",LEFT(J325,1)="N"),OR(MID(J325,2,1)="A",MID(J325,2,1)="B",MID(J325,2,1)="C",MID(J325,2,1)="D",MID(J325,2,1)="E",MID(J325,2,1)="I",MID(J325,2,1)="K",MID(J325,2,1)="T",MID(J325,2,1)="N")),MID(J325,3,2),IF(OR(LEFT(J325,1)="A",LEFT(J325,1)="B",LEFT(J325,1)="C",LEFT(J325,1)="D",LEFT(J325,1)="E",LEFT(J325,1)="I",LEFT(J325,1)="K",LEFT(J325,1)="T",LEFT(J325,1)="N"),MID(J325,4,2),MID(J325,5,2)))))</f>
        <v>J1</v>
      </c>
      <c r="N325" s="62" t="str">
        <f t="shared" ref="N325:N388" si="44">IF(AND(OR(LEFT(J325,1)="I",LEFT(J325,1)="T",LEFT(J325,1)="A",LEFT(J325,1)="B",LEFT(J325,1)="C",LEFT(J325,1)="D",LEFT(J325,1)="E"),OR(MID(J325,2,1)="I",MID(J325,2,1)="T",MID(J325,2,1)="A",MID(J325,2,1)="B",MID(J325,2,1)="C",MID(J325,2,1)="D",MID(J325,2,1)="E")),MID(J325,5,2),IF(OR(LEFT(J325,1)="I",LEFT(J325,1)="T",LEFT(J325,1)="A",LEFT(J325,1)="B",LEFT(J325,1)="C",LEFT(J325,1)="D",LEFT(J325,1)="E"),MID(J325,6,2),MID(J325,7,2)))</f>
        <v/>
      </c>
      <c r="O325" s="8">
        <f t="shared" ref="O325:O388" si="45">IF(I325="","",IF(OR(K325="S",L325="S",M325="S",N325="S",K325="G7",L325="G7",M325="G7",N325="G7",),DATE(YEAR(I325)+1,MONTH(I325),DAY(I325)),IF(OR(K325="O3",L325="O3",M325="O3",N325="O3",K325="ASCUS",L325="ASCUS",M325="ASCUS",N325="ASCUS"),DATE(YEAR(I325),MONTH(I325)+6,DAY(I325)),IF(OR(K325="O5",L325="O5",M325="O5",N325="O5"),DATE(YEAR(I325),MONTH(I325)+3,DAY(I325)),IF(OR(K325="T",L325="T",M325="T",N325="T"),DATE(YEAR(I325),MONTH(I325)+1,DAY(I325)+10),DATE(YEAR(I325)+3,MONTH(I325),DAY(I325)))))))</f>
        <v>45792</v>
      </c>
      <c r="P325" s="9" t="str">
        <f t="shared" ref="P325:P388" ca="1" si="46">IF(O325="","",IF(YEAR(O325)&gt;YEAR(TODAY()),"VIGENTE",IF(AND(YEAR(O325)&gt;=YEAR(TODAY()),MONTH(O325)&gt;=MONTH(TODAY())),"VIGENTE","ATRASADO")))</f>
        <v>ATRASADO</v>
      </c>
      <c r="Q325" s="9" t="s">
        <v>1556</v>
      </c>
      <c r="R325" s="9"/>
      <c r="S325" s="9" t="str">
        <f t="shared" si="39"/>
        <v/>
      </c>
    </row>
    <row r="326" spans="1:19" x14ac:dyDescent="0.3">
      <c r="A326" s="9">
        <v>322</v>
      </c>
      <c r="B326" s="2" t="s">
        <v>579</v>
      </c>
      <c r="C326" s="76" t="s">
        <v>1571</v>
      </c>
      <c r="D326" s="17" t="s">
        <v>1572</v>
      </c>
      <c r="E326" s="26">
        <v>27068</v>
      </c>
      <c r="F326" s="9">
        <f t="shared" ca="1" si="40"/>
        <v>52</v>
      </c>
      <c r="G326" s="9" t="s">
        <v>8</v>
      </c>
      <c r="H326" s="29" t="s">
        <v>8</v>
      </c>
      <c r="I326" s="59">
        <v>44686</v>
      </c>
      <c r="J326" s="580" t="s">
        <v>271</v>
      </c>
      <c r="K326" s="4" t="str">
        <f t="shared" si="41"/>
        <v>I</v>
      </c>
      <c r="L326" s="7" t="str">
        <f t="shared" si="42"/>
        <v>G8</v>
      </c>
      <c r="M326" s="7" t="str">
        <f t="shared" si="43"/>
        <v>J1</v>
      </c>
      <c r="N326" s="62" t="str">
        <f t="shared" si="44"/>
        <v/>
      </c>
      <c r="O326" s="8">
        <f t="shared" si="45"/>
        <v>45782</v>
      </c>
      <c r="P326" s="9" t="str">
        <f t="shared" ca="1" si="46"/>
        <v>ATRASADO</v>
      </c>
      <c r="Q326" s="9" t="s">
        <v>1556</v>
      </c>
      <c r="R326" s="9"/>
      <c r="S326" s="9" t="str">
        <f t="shared" ref="S326:S389" si="47">IF(OR(K326="T1",L326="T1",M326="T1",N326="T1",),"LESION SOSPECHOSA A UPC",IF(OR(K326="T2",L326="T2",M326="T2",N326="T2",),"DERIVAR A UPC POR SEGUNDO ATIPICO",IF(OR(K326="J2",L326="J2",M326="J2",N326="J2",),"TRICOMONAS",IF(OR(K326="J3",L326="J3",M326="J3",N326="J3",),"HERPES SIMPLEX",IF(OR(K326="J5",L326="J5",M326="J5",N326="J5",),"CANDIDA",IF(OR(K326="J6",L326="J6",M326="J6",N326="J6",),"ACTINOMYCES",IF(OR(K326="A1",L326="A1",M326="A1",N326="A1",),"VPH",IF(OR(K326="ASC-H",L326="ASC-H",M326="ASC-H",K326="H2",K326="H3",K326="H4",N326="ASC-H",K326="AGUS",L326="AGUS",L326="H2",L326="H3",L326="H4",M326="AGUS",M326="H2",M326="H3",M326="H4",N326="AGUS",N326="H2",N326="H3",N326="H4"),"MANDAR A UPC / COLPOSCOPIA",IF(OR(K326="A",K326="B",K326="C",K326="D",K326="D0",K326="D1",K326="D2",K326="D3",K326="E",K326="E1",K326="E2",K326="K",K326="T",L326="A",L326="B",L326="C",L326="D",L326="D0",L326="D1",L326="D2",L326="D3",L326="E",L326="E1",L326="E2",L326="K",L326="T",M326="A",M326="B",M326="C",M326="D",M326="D0",M326="D1",M326="D2",M326="D3",M326="E",M326="E1",M326="E2",M326="K",M326="T",N326="A",N326="B",N326="C",N326="D",N326="D0",N326="D1",K326="D2",N326="D2",N326="D3",N326="E",N326="E1",N326="E2",N326="K",N326="T",),"CITAR A UPC","")))))))))</f>
        <v/>
      </c>
    </row>
    <row r="327" spans="1:19" x14ac:dyDescent="0.3">
      <c r="A327" s="9">
        <v>323</v>
      </c>
      <c r="B327" s="2" t="s">
        <v>579</v>
      </c>
      <c r="C327" s="76" t="s">
        <v>1573</v>
      </c>
      <c r="D327" s="17" t="s">
        <v>1574</v>
      </c>
      <c r="E327" s="26">
        <v>33942</v>
      </c>
      <c r="F327" s="9">
        <f t="shared" ca="1" si="40"/>
        <v>33</v>
      </c>
      <c r="G327" s="9" t="s">
        <v>8</v>
      </c>
      <c r="H327" s="29" t="s">
        <v>275</v>
      </c>
      <c r="I327" s="59">
        <v>44694</v>
      </c>
      <c r="J327" s="580" t="s">
        <v>271</v>
      </c>
      <c r="K327" s="4" t="str">
        <f t="shared" si="41"/>
        <v>I</v>
      </c>
      <c r="L327" s="7" t="str">
        <f t="shared" si="42"/>
        <v>G8</v>
      </c>
      <c r="M327" s="7" t="str">
        <f t="shared" si="43"/>
        <v>J1</v>
      </c>
      <c r="N327" s="62" t="str">
        <f t="shared" si="44"/>
        <v/>
      </c>
      <c r="O327" s="8">
        <f t="shared" si="45"/>
        <v>45790</v>
      </c>
      <c r="P327" s="9" t="str">
        <f t="shared" ca="1" si="46"/>
        <v>ATRASADO</v>
      </c>
      <c r="Q327" s="9" t="s">
        <v>1556</v>
      </c>
      <c r="R327" s="9"/>
      <c r="S327" s="9" t="str">
        <f t="shared" si="47"/>
        <v/>
      </c>
    </row>
    <row r="328" spans="1:19" x14ac:dyDescent="0.3">
      <c r="A328" s="9">
        <v>324</v>
      </c>
      <c r="B328" s="2" t="s">
        <v>346</v>
      </c>
      <c r="C328" s="76" t="s">
        <v>1575</v>
      </c>
      <c r="D328" s="17" t="s">
        <v>1576</v>
      </c>
      <c r="E328" s="26">
        <v>23361</v>
      </c>
      <c r="F328" s="9">
        <f t="shared" ca="1" si="40"/>
        <v>62</v>
      </c>
      <c r="G328" s="8">
        <v>43940</v>
      </c>
      <c r="H328" s="29" t="s">
        <v>271</v>
      </c>
      <c r="I328" s="59">
        <v>44688</v>
      </c>
      <c r="J328" s="580" t="s">
        <v>271</v>
      </c>
      <c r="K328" s="4" t="str">
        <f t="shared" si="41"/>
        <v>I</v>
      </c>
      <c r="L328" s="7" t="str">
        <f t="shared" si="42"/>
        <v>G8</v>
      </c>
      <c r="M328" s="7" t="str">
        <f t="shared" si="43"/>
        <v>J1</v>
      </c>
      <c r="N328" s="62" t="str">
        <f t="shared" si="44"/>
        <v/>
      </c>
      <c r="O328" s="8">
        <f t="shared" si="45"/>
        <v>45784</v>
      </c>
      <c r="P328" s="9" t="str">
        <f t="shared" ca="1" si="46"/>
        <v>ATRASADO</v>
      </c>
      <c r="Q328" s="9" t="s">
        <v>1556</v>
      </c>
      <c r="R328" s="9"/>
      <c r="S328" s="9" t="str">
        <f t="shared" si="47"/>
        <v/>
      </c>
    </row>
    <row r="329" spans="1:19" x14ac:dyDescent="0.3">
      <c r="A329" s="9">
        <v>325</v>
      </c>
      <c r="B329" s="2" t="s">
        <v>111</v>
      </c>
      <c r="C329" s="76" t="s">
        <v>1577</v>
      </c>
      <c r="D329" s="17" t="s">
        <v>1578</v>
      </c>
      <c r="E329" s="26">
        <v>35841</v>
      </c>
      <c r="F329" s="9">
        <f t="shared" ca="1" si="40"/>
        <v>28</v>
      </c>
      <c r="G329" s="8">
        <v>44081</v>
      </c>
      <c r="H329" s="29" t="s">
        <v>320</v>
      </c>
      <c r="I329" s="59">
        <v>44702</v>
      </c>
      <c r="J329" s="580" t="s">
        <v>275</v>
      </c>
      <c r="K329" s="4" t="str">
        <f t="shared" si="41"/>
        <v>I</v>
      </c>
      <c r="L329" s="7" t="str">
        <f t="shared" si="42"/>
        <v>G8</v>
      </c>
      <c r="M329" s="7" t="str">
        <f t="shared" si="43"/>
        <v/>
      </c>
      <c r="N329" s="62" t="str">
        <f t="shared" si="44"/>
        <v/>
      </c>
      <c r="O329" s="8">
        <f t="shared" si="45"/>
        <v>45798</v>
      </c>
      <c r="P329" s="9" t="str">
        <f t="shared" ca="1" si="46"/>
        <v>ATRASADO</v>
      </c>
      <c r="Q329" s="9" t="s">
        <v>1556</v>
      </c>
      <c r="R329" s="9"/>
      <c r="S329" s="9" t="str">
        <f t="shared" si="47"/>
        <v/>
      </c>
    </row>
    <row r="330" spans="1:19" x14ac:dyDescent="0.3">
      <c r="A330" s="9">
        <v>326</v>
      </c>
      <c r="B330" s="2" t="s">
        <v>579</v>
      </c>
      <c r="C330" s="76" t="s">
        <v>1579</v>
      </c>
      <c r="D330" s="17" t="s">
        <v>1580</v>
      </c>
      <c r="E330" s="26">
        <v>23030</v>
      </c>
      <c r="F330" s="9">
        <f t="shared" ca="1" si="40"/>
        <v>63</v>
      </c>
      <c r="G330" s="8">
        <v>44254</v>
      </c>
      <c r="H330" s="29" t="s">
        <v>275</v>
      </c>
      <c r="I330" s="59">
        <v>44711</v>
      </c>
      <c r="J330" s="580" t="s">
        <v>271</v>
      </c>
      <c r="K330" s="4" t="str">
        <f t="shared" si="41"/>
        <v>I</v>
      </c>
      <c r="L330" s="7" t="str">
        <f t="shared" si="42"/>
        <v>G8</v>
      </c>
      <c r="M330" s="7" t="str">
        <f t="shared" si="43"/>
        <v>J1</v>
      </c>
      <c r="N330" s="62" t="str">
        <f t="shared" si="44"/>
        <v/>
      </c>
      <c r="O330" s="8">
        <f t="shared" si="45"/>
        <v>45807</v>
      </c>
      <c r="P330" s="9" t="str">
        <f t="shared" ca="1" si="46"/>
        <v>ATRASADO</v>
      </c>
      <c r="Q330" s="9" t="s">
        <v>1556</v>
      </c>
      <c r="R330" s="9"/>
      <c r="S330" s="9" t="str">
        <f t="shared" si="47"/>
        <v/>
      </c>
    </row>
    <row r="331" spans="1:19" x14ac:dyDescent="0.3">
      <c r="A331" s="9">
        <v>327</v>
      </c>
      <c r="B331" s="73" t="s">
        <v>579</v>
      </c>
      <c r="C331" s="77" t="s">
        <v>1581</v>
      </c>
      <c r="D331" s="19" t="s">
        <v>1582</v>
      </c>
      <c r="E331" s="69">
        <v>22167</v>
      </c>
      <c r="F331" s="9">
        <f t="shared" ca="1" si="40"/>
        <v>66</v>
      </c>
      <c r="G331" s="29" t="s">
        <v>8</v>
      </c>
      <c r="H331" s="29" t="s">
        <v>271</v>
      </c>
      <c r="I331" s="59">
        <v>44706</v>
      </c>
      <c r="J331" s="580" t="s">
        <v>275</v>
      </c>
      <c r="K331" s="4" t="str">
        <f t="shared" si="41"/>
        <v>I</v>
      </c>
      <c r="L331" s="7" t="str">
        <f t="shared" si="42"/>
        <v>G8</v>
      </c>
      <c r="M331" s="7" t="str">
        <f t="shared" si="43"/>
        <v/>
      </c>
      <c r="N331" s="62" t="str">
        <f t="shared" si="44"/>
        <v/>
      </c>
      <c r="O331" s="8">
        <f t="shared" si="45"/>
        <v>45802</v>
      </c>
      <c r="P331" s="9" t="str">
        <f t="shared" ca="1" si="46"/>
        <v>ATRASADO</v>
      </c>
      <c r="Q331" s="12" t="s">
        <v>1556</v>
      </c>
      <c r="R331" s="9"/>
      <c r="S331" s="9" t="str">
        <f t="shared" si="47"/>
        <v/>
      </c>
    </row>
    <row r="332" spans="1:19" x14ac:dyDescent="0.3">
      <c r="A332" s="9">
        <v>328</v>
      </c>
      <c r="B332" s="2" t="s">
        <v>312</v>
      </c>
      <c r="C332" s="76" t="s">
        <v>1583</v>
      </c>
      <c r="D332" s="17" t="s">
        <v>1584</v>
      </c>
      <c r="E332" s="26">
        <v>24480</v>
      </c>
      <c r="F332" s="9">
        <f t="shared" ca="1" si="40"/>
        <v>59</v>
      </c>
      <c r="G332" s="8">
        <v>43626</v>
      </c>
      <c r="H332" s="9" t="s">
        <v>275</v>
      </c>
      <c r="I332" s="59">
        <v>44694</v>
      </c>
      <c r="J332" s="580" t="s">
        <v>275</v>
      </c>
      <c r="K332" s="4" t="str">
        <f t="shared" si="41"/>
        <v>I</v>
      </c>
      <c r="L332" s="7" t="str">
        <f t="shared" si="42"/>
        <v>G8</v>
      </c>
      <c r="M332" s="7" t="str">
        <f t="shared" si="43"/>
        <v/>
      </c>
      <c r="N332" s="62" t="str">
        <f t="shared" si="44"/>
        <v/>
      </c>
      <c r="O332" s="8">
        <f t="shared" si="45"/>
        <v>45790</v>
      </c>
      <c r="P332" s="9" t="str">
        <f t="shared" ca="1" si="46"/>
        <v>ATRASADO</v>
      </c>
      <c r="Q332" s="12" t="s">
        <v>1556</v>
      </c>
      <c r="R332" s="9"/>
      <c r="S332" s="9" t="str">
        <f t="shared" si="47"/>
        <v/>
      </c>
    </row>
    <row r="333" spans="1:19" x14ac:dyDescent="0.3">
      <c r="A333" s="9">
        <v>329</v>
      </c>
      <c r="B333" s="2" t="s">
        <v>579</v>
      </c>
      <c r="C333" s="76" t="s">
        <v>1585</v>
      </c>
      <c r="D333" s="17" t="s">
        <v>1586</v>
      </c>
      <c r="E333" s="26">
        <v>34135</v>
      </c>
      <c r="F333" s="9">
        <f t="shared" ca="1" si="40"/>
        <v>33</v>
      </c>
      <c r="G333" s="8">
        <v>43874</v>
      </c>
      <c r="H333" s="9" t="s">
        <v>275</v>
      </c>
      <c r="I333" s="59">
        <v>44708</v>
      </c>
      <c r="J333" s="580" t="s">
        <v>275</v>
      </c>
      <c r="K333" s="4" t="str">
        <f t="shared" si="41"/>
        <v>I</v>
      </c>
      <c r="L333" s="7" t="str">
        <f t="shared" si="42"/>
        <v>G8</v>
      </c>
      <c r="M333" s="7" t="str">
        <f t="shared" si="43"/>
        <v/>
      </c>
      <c r="N333" s="62" t="str">
        <f t="shared" si="44"/>
        <v/>
      </c>
      <c r="O333" s="8">
        <f t="shared" si="45"/>
        <v>45804</v>
      </c>
      <c r="P333" s="9" t="str">
        <f t="shared" ca="1" si="46"/>
        <v>ATRASADO</v>
      </c>
      <c r="Q333" s="12" t="s">
        <v>1556</v>
      </c>
      <c r="R333" s="9"/>
      <c r="S333" s="9" t="str">
        <f t="shared" si="47"/>
        <v/>
      </c>
    </row>
    <row r="334" spans="1:19" x14ac:dyDescent="0.3">
      <c r="A334" s="9">
        <v>330</v>
      </c>
      <c r="B334" s="2" t="s">
        <v>75</v>
      </c>
      <c r="C334" s="76" t="s">
        <v>1587</v>
      </c>
      <c r="D334" s="17" t="s">
        <v>1588</v>
      </c>
      <c r="E334" s="26">
        <v>24008</v>
      </c>
      <c r="F334" s="9">
        <f t="shared" ca="1" si="40"/>
        <v>61</v>
      </c>
      <c r="G334" s="9" t="s">
        <v>8</v>
      </c>
      <c r="H334" s="9" t="s">
        <v>271</v>
      </c>
      <c r="I334" s="59">
        <v>44707</v>
      </c>
      <c r="J334" s="580" t="s">
        <v>275</v>
      </c>
      <c r="K334" s="4" t="str">
        <f t="shared" si="41"/>
        <v>I</v>
      </c>
      <c r="L334" s="7" t="str">
        <f t="shared" si="42"/>
        <v>G8</v>
      </c>
      <c r="M334" s="7" t="str">
        <f t="shared" si="43"/>
        <v/>
      </c>
      <c r="N334" s="62" t="str">
        <f t="shared" si="44"/>
        <v/>
      </c>
      <c r="O334" s="8">
        <f t="shared" si="45"/>
        <v>45803</v>
      </c>
      <c r="P334" s="9" t="str">
        <f t="shared" ca="1" si="46"/>
        <v>ATRASADO</v>
      </c>
      <c r="Q334" s="12" t="s">
        <v>1556</v>
      </c>
      <c r="R334" s="9"/>
      <c r="S334" s="9" t="str">
        <f t="shared" si="47"/>
        <v/>
      </c>
    </row>
    <row r="335" spans="1:19" x14ac:dyDescent="0.3">
      <c r="A335" s="9">
        <v>331</v>
      </c>
      <c r="B335" s="2" t="s">
        <v>579</v>
      </c>
      <c r="C335" s="76" t="s">
        <v>1589</v>
      </c>
      <c r="D335" s="17" t="s">
        <v>1590</v>
      </c>
      <c r="E335" s="26">
        <v>31438</v>
      </c>
      <c r="F335" s="9">
        <f t="shared" ca="1" si="40"/>
        <v>40</v>
      </c>
      <c r="G335" s="8">
        <v>43886</v>
      </c>
      <c r="H335" s="9" t="s">
        <v>275</v>
      </c>
      <c r="I335" s="59">
        <v>44703</v>
      </c>
      <c r="J335" s="580" t="s">
        <v>271</v>
      </c>
      <c r="K335" s="4" t="str">
        <f t="shared" si="41"/>
        <v>I</v>
      </c>
      <c r="L335" s="7" t="str">
        <f t="shared" si="42"/>
        <v>G8</v>
      </c>
      <c r="M335" s="7" t="str">
        <f t="shared" si="43"/>
        <v>J1</v>
      </c>
      <c r="N335" s="62" t="str">
        <f t="shared" si="44"/>
        <v/>
      </c>
      <c r="O335" s="8">
        <f t="shared" si="45"/>
        <v>45799</v>
      </c>
      <c r="P335" s="9" t="str">
        <f t="shared" ca="1" si="46"/>
        <v>ATRASADO</v>
      </c>
      <c r="Q335" s="12" t="s">
        <v>1556</v>
      </c>
      <c r="R335" s="64"/>
      <c r="S335" s="9" t="str">
        <f t="shared" si="47"/>
        <v/>
      </c>
    </row>
    <row r="336" spans="1:19" x14ac:dyDescent="0.3">
      <c r="A336" s="9">
        <v>332</v>
      </c>
      <c r="B336" s="2" t="s">
        <v>579</v>
      </c>
      <c r="C336" s="76" t="s">
        <v>1591</v>
      </c>
      <c r="D336" s="17" t="s">
        <v>1592</v>
      </c>
      <c r="E336" s="26">
        <v>22051</v>
      </c>
      <c r="F336" s="9">
        <f t="shared" ca="1" si="40"/>
        <v>66</v>
      </c>
      <c r="G336" s="8">
        <v>44357</v>
      </c>
      <c r="H336" s="9" t="s">
        <v>275</v>
      </c>
      <c r="I336" s="59">
        <v>44698</v>
      </c>
      <c r="J336" s="580" t="s">
        <v>271</v>
      </c>
      <c r="K336" s="4" t="str">
        <f t="shared" si="41"/>
        <v>I</v>
      </c>
      <c r="L336" s="7" t="str">
        <f t="shared" si="42"/>
        <v>G8</v>
      </c>
      <c r="M336" s="7" t="str">
        <f t="shared" si="43"/>
        <v>J1</v>
      </c>
      <c r="N336" s="62" t="str">
        <f t="shared" si="44"/>
        <v/>
      </c>
      <c r="O336" s="8">
        <f t="shared" si="45"/>
        <v>45794</v>
      </c>
      <c r="P336" s="9" t="str">
        <f t="shared" ca="1" si="46"/>
        <v>ATRASADO</v>
      </c>
      <c r="Q336" s="12" t="s">
        <v>1556</v>
      </c>
      <c r="R336" s="9"/>
      <c r="S336" s="9" t="str">
        <f t="shared" si="47"/>
        <v/>
      </c>
    </row>
    <row r="337" spans="1:19" x14ac:dyDescent="0.3">
      <c r="A337" s="9">
        <v>333</v>
      </c>
      <c r="B337" s="2" t="s">
        <v>312</v>
      </c>
      <c r="C337" s="76" t="s">
        <v>1593</v>
      </c>
      <c r="D337" s="17" t="s">
        <v>1594</v>
      </c>
      <c r="E337" s="26">
        <v>21737</v>
      </c>
      <c r="F337" s="9">
        <f t="shared" ca="1" si="40"/>
        <v>67</v>
      </c>
      <c r="G337" s="8">
        <v>43862</v>
      </c>
      <c r="H337" s="9" t="s">
        <v>8</v>
      </c>
      <c r="I337" s="59">
        <v>44688</v>
      </c>
      <c r="J337" s="580" t="s">
        <v>8</v>
      </c>
      <c r="K337" s="4" t="str">
        <f t="shared" si="41"/>
        <v>SI</v>
      </c>
      <c r="L337" s="7" t="str">
        <f t="shared" si="42"/>
        <v xml:space="preserve">N </v>
      </c>
      <c r="M337" s="7" t="str">
        <f t="shared" si="43"/>
        <v>RE</v>
      </c>
      <c r="N337" s="62" t="str">
        <f t="shared" si="44"/>
        <v>GI</v>
      </c>
      <c r="O337" s="8">
        <f t="shared" si="45"/>
        <v>45784</v>
      </c>
      <c r="P337" s="9" t="str">
        <f t="shared" ca="1" si="46"/>
        <v>ATRASADO</v>
      </c>
      <c r="Q337" s="12" t="s">
        <v>1556</v>
      </c>
      <c r="R337" s="64"/>
      <c r="S337" s="9" t="str">
        <f t="shared" si="47"/>
        <v/>
      </c>
    </row>
    <row r="338" spans="1:19" x14ac:dyDescent="0.3">
      <c r="A338" s="9">
        <v>334</v>
      </c>
      <c r="B338" s="2" t="s">
        <v>312</v>
      </c>
      <c r="C338" s="76" t="s">
        <v>1595</v>
      </c>
      <c r="D338" s="17" t="s">
        <v>1596</v>
      </c>
      <c r="E338" s="26">
        <v>21400</v>
      </c>
      <c r="F338" s="9">
        <f t="shared" ca="1" si="40"/>
        <v>68</v>
      </c>
      <c r="G338" s="9" t="s">
        <v>8</v>
      </c>
      <c r="H338" s="9" t="s">
        <v>8</v>
      </c>
      <c r="I338" s="59">
        <v>44705</v>
      </c>
      <c r="J338" s="580" t="s">
        <v>275</v>
      </c>
      <c r="K338" s="4" t="str">
        <f t="shared" si="41"/>
        <v>I</v>
      </c>
      <c r="L338" s="7" t="str">
        <f t="shared" si="42"/>
        <v>G8</v>
      </c>
      <c r="M338" s="7" t="str">
        <f t="shared" si="43"/>
        <v/>
      </c>
      <c r="N338" s="62" t="str">
        <f t="shared" si="44"/>
        <v/>
      </c>
      <c r="O338" s="8">
        <f t="shared" si="45"/>
        <v>45801</v>
      </c>
      <c r="P338" s="9" t="str">
        <f t="shared" ca="1" si="46"/>
        <v>ATRASADO</v>
      </c>
      <c r="Q338" s="12" t="s">
        <v>1556</v>
      </c>
      <c r="R338" s="9"/>
      <c r="S338" s="9" t="str">
        <f t="shared" si="47"/>
        <v/>
      </c>
    </row>
    <row r="339" spans="1:19" x14ac:dyDescent="0.3">
      <c r="A339" s="9">
        <v>335</v>
      </c>
      <c r="B339" s="2" t="s">
        <v>111</v>
      </c>
      <c r="C339" s="76" t="s">
        <v>1597</v>
      </c>
      <c r="D339" s="17" t="s">
        <v>1598</v>
      </c>
      <c r="E339" s="26">
        <v>27057</v>
      </c>
      <c r="F339" s="9">
        <f t="shared" ca="1" si="40"/>
        <v>52</v>
      </c>
      <c r="G339" s="8">
        <v>43764</v>
      </c>
      <c r="H339" s="9" t="s">
        <v>271</v>
      </c>
      <c r="I339" s="59">
        <v>44688</v>
      </c>
      <c r="J339" s="580" t="s">
        <v>271</v>
      </c>
      <c r="K339" s="4" t="str">
        <f t="shared" si="41"/>
        <v>I</v>
      </c>
      <c r="L339" s="7" t="str">
        <f t="shared" si="42"/>
        <v>G8</v>
      </c>
      <c r="M339" s="7" t="str">
        <f t="shared" si="43"/>
        <v>J1</v>
      </c>
      <c r="N339" s="62" t="str">
        <f t="shared" si="44"/>
        <v/>
      </c>
      <c r="O339" s="8">
        <f t="shared" si="45"/>
        <v>45784</v>
      </c>
      <c r="P339" s="9" t="str">
        <f t="shared" ca="1" si="46"/>
        <v>ATRASADO</v>
      </c>
      <c r="Q339" s="12" t="s">
        <v>1556</v>
      </c>
      <c r="R339" s="9"/>
      <c r="S339" s="9" t="str">
        <f t="shared" si="47"/>
        <v/>
      </c>
    </row>
    <row r="340" spans="1:19" x14ac:dyDescent="0.3">
      <c r="A340" s="9">
        <v>336</v>
      </c>
      <c r="B340" s="2" t="s">
        <v>579</v>
      </c>
      <c r="C340" s="76" t="s">
        <v>1599</v>
      </c>
      <c r="D340" s="17" t="s">
        <v>1600</v>
      </c>
      <c r="E340" s="26">
        <v>24493</v>
      </c>
      <c r="F340" s="9">
        <f t="shared" ca="1" si="40"/>
        <v>59</v>
      </c>
      <c r="G340" s="8">
        <v>43549</v>
      </c>
      <c r="H340" s="35" t="s">
        <v>275</v>
      </c>
      <c r="I340" s="60">
        <v>44711</v>
      </c>
      <c r="J340" s="580" t="s">
        <v>8</v>
      </c>
      <c r="K340" s="4" t="str">
        <f t="shared" si="41"/>
        <v>SI</v>
      </c>
      <c r="L340" s="7" t="str">
        <f t="shared" si="42"/>
        <v xml:space="preserve">N </v>
      </c>
      <c r="M340" s="7" t="str">
        <f t="shared" si="43"/>
        <v>RE</v>
      </c>
      <c r="N340" s="62" t="str">
        <f t="shared" si="44"/>
        <v>GI</v>
      </c>
      <c r="O340" s="8">
        <f t="shared" si="45"/>
        <v>45807</v>
      </c>
      <c r="P340" s="9" t="str">
        <f t="shared" ca="1" si="46"/>
        <v>ATRASADO</v>
      </c>
      <c r="Q340" s="12" t="s">
        <v>1556</v>
      </c>
      <c r="R340" s="64" t="s">
        <v>1601</v>
      </c>
      <c r="S340" s="9" t="str">
        <f t="shared" si="47"/>
        <v/>
      </c>
    </row>
    <row r="341" spans="1:19" x14ac:dyDescent="0.3">
      <c r="A341" s="9">
        <v>337</v>
      </c>
      <c r="B341" s="2" t="s">
        <v>270</v>
      </c>
      <c r="C341" s="76" t="s">
        <v>1602</v>
      </c>
      <c r="D341" s="14" t="s">
        <v>1603</v>
      </c>
      <c r="E341" s="67">
        <v>35464</v>
      </c>
      <c r="F341" s="9">
        <f t="shared" ca="1" si="40"/>
        <v>29</v>
      </c>
      <c r="G341" s="9" t="s">
        <v>8</v>
      </c>
      <c r="H341" s="35" t="s">
        <v>275</v>
      </c>
      <c r="I341" s="60">
        <v>44703</v>
      </c>
      <c r="J341" s="580" t="s">
        <v>271</v>
      </c>
      <c r="K341" s="4" t="str">
        <f t="shared" si="41"/>
        <v>I</v>
      </c>
      <c r="L341" s="7" t="str">
        <f t="shared" si="42"/>
        <v>G8</v>
      </c>
      <c r="M341" s="7" t="str">
        <f t="shared" si="43"/>
        <v>J1</v>
      </c>
      <c r="N341" s="62" t="str">
        <f t="shared" si="44"/>
        <v/>
      </c>
      <c r="O341" s="8">
        <f t="shared" si="45"/>
        <v>45799</v>
      </c>
      <c r="P341" s="9" t="str">
        <f t="shared" ca="1" si="46"/>
        <v>ATRASADO</v>
      </c>
      <c r="Q341" s="12" t="s">
        <v>1556</v>
      </c>
      <c r="R341" s="9"/>
      <c r="S341" s="9" t="str">
        <f t="shared" si="47"/>
        <v/>
      </c>
    </row>
    <row r="342" spans="1:19" x14ac:dyDescent="0.3">
      <c r="A342" s="9">
        <v>338</v>
      </c>
      <c r="B342" s="2" t="s">
        <v>579</v>
      </c>
      <c r="C342" s="76" t="s">
        <v>1604</v>
      </c>
      <c r="D342" s="17" t="s">
        <v>1605</v>
      </c>
      <c r="E342" s="26">
        <v>25679</v>
      </c>
      <c r="F342" s="9">
        <f t="shared" ca="1" si="40"/>
        <v>56</v>
      </c>
      <c r="G342" s="8">
        <v>43030</v>
      </c>
      <c r="H342" s="35" t="s">
        <v>8</v>
      </c>
      <c r="I342" s="60">
        <v>44698</v>
      </c>
      <c r="J342" s="580" t="s">
        <v>275</v>
      </c>
      <c r="K342" s="4" t="str">
        <f t="shared" si="41"/>
        <v>I</v>
      </c>
      <c r="L342" s="7" t="str">
        <f t="shared" si="42"/>
        <v>G8</v>
      </c>
      <c r="M342" s="7" t="str">
        <f t="shared" si="43"/>
        <v/>
      </c>
      <c r="N342" s="62" t="str">
        <f t="shared" si="44"/>
        <v/>
      </c>
      <c r="O342" s="8">
        <f t="shared" si="45"/>
        <v>45794</v>
      </c>
      <c r="P342" s="9" t="str">
        <f t="shared" ca="1" si="46"/>
        <v>ATRASADO</v>
      </c>
      <c r="Q342" s="12" t="s">
        <v>1556</v>
      </c>
      <c r="R342" s="64"/>
      <c r="S342" s="9" t="str">
        <f t="shared" si="47"/>
        <v/>
      </c>
    </row>
    <row r="343" spans="1:19" x14ac:dyDescent="0.3">
      <c r="A343" s="9">
        <v>339</v>
      </c>
      <c r="B343" s="2" t="s">
        <v>579</v>
      </c>
      <c r="C343" s="76" t="s">
        <v>1607</v>
      </c>
      <c r="D343" s="17" t="s">
        <v>1608</v>
      </c>
      <c r="E343" s="26">
        <v>32275</v>
      </c>
      <c r="F343" s="9">
        <f t="shared" ca="1" si="40"/>
        <v>38</v>
      </c>
      <c r="G343" s="9" t="s">
        <v>8</v>
      </c>
      <c r="H343" s="35" t="s">
        <v>854</v>
      </c>
      <c r="I343" s="60">
        <v>44697</v>
      </c>
      <c r="J343" s="580" t="s">
        <v>275</v>
      </c>
      <c r="K343" s="4" t="str">
        <f t="shared" si="41"/>
        <v>I</v>
      </c>
      <c r="L343" s="7" t="str">
        <f t="shared" si="42"/>
        <v>G8</v>
      </c>
      <c r="M343" s="7" t="str">
        <f t="shared" si="43"/>
        <v/>
      </c>
      <c r="N343" s="62" t="str">
        <f t="shared" si="44"/>
        <v/>
      </c>
      <c r="O343" s="8">
        <f t="shared" si="45"/>
        <v>45793</v>
      </c>
      <c r="P343" s="9" t="str">
        <f t="shared" ca="1" si="46"/>
        <v>ATRASADO</v>
      </c>
      <c r="Q343" s="12" t="s">
        <v>1556</v>
      </c>
      <c r="R343" s="9"/>
      <c r="S343" s="9" t="str">
        <f t="shared" si="47"/>
        <v/>
      </c>
    </row>
    <row r="344" spans="1:19" x14ac:dyDescent="0.3">
      <c r="A344" s="9">
        <v>340</v>
      </c>
      <c r="B344" s="2" t="s">
        <v>312</v>
      </c>
      <c r="C344" s="76" t="s">
        <v>1609</v>
      </c>
      <c r="D344" s="17" t="s">
        <v>1610</v>
      </c>
      <c r="E344" s="26">
        <v>31482</v>
      </c>
      <c r="F344" s="9">
        <f t="shared" ca="1" si="40"/>
        <v>40</v>
      </c>
      <c r="G344" s="8">
        <v>44130</v>
      </c>
      <c r="H344" s="35" t="s">
        <v>8</v>
      </c>
      <c r="I344" s="60">
        <v>44702</v>
      </c>
      <c r="J344" s="580" t="s">
        <v>327</v>
      </c>
      <c r="K344" s="4" t="str">
        <f t="shared" si="41"/>
        <v>I</v>
      </c>
      <c r="L344" s="7" t="str">
        <f t="shared" si="42"/>
        <v>G7</v>
      </c>
      <c r="M344" s="7" t="str">
        <f t="shared" si="43"/>
        <v>S</v>
      </c>
      <c r="N344" s="62" t="str">
        <f t="shared" si="44"/>
        <v/>
      </c>
      <c r="O344" s="8">
        <f t="shared" si="45"/>
        <v>45067</v>
      </c>
      <c r="P344" s="9" t="str">
        <f t="shared" ca="1" si="46"/>
        <v>ATRASADO</v>
      </c>
      <c r="Q344" s="12" t="s">
        <v>1556</v>
      </c>
      <c r="R344" s="9"/>
      <c r="S344" s="9" t="str">
        <f t="shared" si="47"/>
        <v/>
      </c>
    </row>
    <row r="345" spans="1:19" x14ac:dyDescent="0.3">
      <c r="A345" s="9">
        <v>341</v>
      </c>
      <c r="B345" s="2" t="s">
        <v>312</v>
      </c>
      <c r="C345" s="76" t="s">
        <v>1611</v>
      </c>
      <c r="D345" s="17" t="s">
        <v>1612</v>
      </c>
      <c r="E345" s="26">
        <v>31680</v>
      </c>
      <c r="F345" s="9">
        <f t="shared" ca="1" si="40"/>
        <v>40</v>
      </c>
      <c r="G345" s="8">
        <v>44291</v>
      </c>
      <c r="H345" s="35" t="s">
        <v>271</v>
      </c>
      <c r="I345" s="60">
        <v>44686</v>
      </c>
      <c r="J345" s="580" t="s">
        <v>271</v>
      </c>
      <c r="K345" s="4" t="str">
        <f t="shared" si="41"/>
        <v>I</v>
      </c>
      <c r="L345" s="7" t="str">
        <f t="shared" si="42"/>
        <v>G8</v>
      </c>
      <c r="M345" s="7" t="str">
        <f t="shared" si="43"/>
        <v>J1</v>
      </c>
      <c r="N345" s="62" t="str">
        <f t="shared" si="44"/>
        <v/>
      </c>
      <c r="O345" s="8">
        <f t="shared" si="45"/>
        <v>45782</v>
      </c>
      <c r="P345" s="9" t="str">
        <f t="shared" ca="1" si="46"/>
        <v>ATRASADO</v>
      </c>
      <c r="Q345" s="12" t="s">
        <v>1556</v>
      </c>
      <c r="R345" s="9"/>
      <c r="S345" s="9" t="str">
        <f t="shared" si="47"/>
        <v/>
      </c>
    </row>
    <row r="346" spans="1:19" x14ac:dyDescent="0.3">
      <c r="A346" s="9">
        <v>342</v>
      </c>
      <c r="B346" s="2" t="s">
        <v>346</v>
      </c>
      <c r="C346" s="76" t="s">
        <v>1613</v>
      </c>
      <c r="D346" s="17" t="s">
        <v>1614</v>
      </c>
      <c r="E346" s="26">
        <v>35309</v>
      </c>
      <c r="F346" s="9">
        <f t="shared" ca="1" si="40"/>
        <v>30</v>
      </c>
      <c r="G346" s="8">
        <v>43954</v>
      </c>
      <c r="H346" s="36" t="s">
        <v>275</v>
      </c>
      <c r="I346" s="60">
        <v>44697</v>
      </c>
      <c r="J346" s="580" t="s">
        <v>275</v>
      </c>
      <c r="K346" s="4" t="str">
        <f t="shared" si="41"/>
        <v>I</v>
      </c>
      <c r="L346" s="7" t="str">
        <f t="shared" si="42"/>
        <v>G8</v>
      </c>
      <c r="M346" s="7" t="str">
        <f t="shared" si="43"/>
        <v/>
      </c>
      <c r="N346" s="62" t="str">
        <f t="shared" si="44"/>
        <v/>
      </c>
      <c r="O346" s="8">
        <f t="shared" si="45"/>
        <v>45793</v>
      </c>
      <c r="P346" s="9" t="str">
        <f t="shared" ca="1" si="46"/>
        <v>ATRASADO</v>
      </c>
      <c r="Q346" s="12" t="s">
        <v>1556</v>
      </c>
      <c r="R346" s="9"/>
      <c r="S346" s="9" t="str">
        <f t="shared" si="47"/>
        <v/>
      </c>
    </row>
    <row r="347" spans="1:19" x14ac:dyDescent="0.3">
      <c r="A347" s="9">
        <v>343</v>
      </c>
      <c r="B347" s="2" t="s">
        <v>312</v>
      </c>
      <c r="C347" s="76" t="s">
        <v>1615</v>
      </c>
      <c r="D347" s="17" t="s">
        <v>1616</v>
      </c>
      <c r="E347" s="26">
        <v>24321</v>
      </c>
      <c r="F347" s="9">
        <f t="shared" ca="1" si="40"/>
        <v>60</v>
      </c>
      <c r="G347" s="8">
        <v>44125</v>
      </c>
      <c r="H347" s="36" t="s">
        <v>271</v>
      </c>
      <c r="I347" s="60">
        <v>44708</v>
      </c>
      <c r="J347" s="580" t="s">
        <v>275</v>
      </c>
      <c r="K347" s="4" t="str">
        <f t="shared" si="41"/>
        <v>I</v>
      </c>
      <c r="L347" s="7" t="str">
        <f t="shared" si="42"/>
        <v>G8</v>
      </c>
      <c r="M347" s="7" t="str">
        <f t="shared" si="43"/>
        <v/>
      </c>
      <c r="N347" s="62" t="str">
        <f t="shared" si="44"/>
        <v/>
      </c>
      <c r="O347" s="8">
        <f t="shared" si="45"/>
        <v>45804</v>
      </c>
      <c r="P347" s="9" t="str">
        <f t="shared" ca="1" si="46"/>
        <v>ATRASADO</v>
      </c>
      <c r="Q347" s="12" t="s">
        <v>1556</v>
      </c>
      <c r="R347" s="9"/>
      <c r="S347" s="9" t="str">
        <f t="shared" si="47"/>
        <v/>
      </c>
    </row>
    <row r="348" spans="1:19" x14ac:dyDescent="0.3">
      <c r="A348" s="9">
        <v>344</v>
      </c>
      <c r="B348" s="2" t="s">
        <v>579</v>
      </c>
      <c r="C348" s="76" t="s">
        <v>1617</v>
      </c>
      <c r="D348" s="17" t="s">
        <v>1618</v>
      </c>
      <c r="E348" s="26">
        <v>30665</v>
      </c>
      <c r="F348" s="9">
        <f t="shared" ca="1" si="40"/>
        <v>42</v>
      </c>
      <c r="G348" s="8">
        <v>43114</v>
      </c>
      <c r="H348" s="36" t="s">
        <v>275</v>
      </c>
      <c r="I348" s="60">
        <v>44693</v>
      </c>
      <c r="J348" s="580" t="s">
        <v>271</v>
      </c>
      <c r="K348" s="4" t="str">
        <f t="shared" si="41"/>
        <v>I</v>
      </c>
      <c r="L348" s="7" t="str">
        <f t="shared" si="42"/>
        <v>G8</v>
      </c>
      <c r="M348" s="7" t="str">
        <f t="shared" si="43"/>
        <v>J1</v>
      </c>
      <c r="N348" s="62" t="str">
        <f t="shared" si="44"/>
        <v/>
      </c>
      <c r="O348" s="8">
        <f t="shared" si="45"/>
        <v>45789</v>
      </c>
      <c r="P348" s="9" t="str">
        <f t="shared" ca="1" si="46"/>
        <v>ATRASADO</v>
      </c>
      <c r="Q348" s="12" t="s">
        <v>1556</v>
      </c>
      <c r="R348" s="9"/>
      <c r="S348" s="9" t="str">
        <f t="shared" si="47"/>
        <v/>
      </c>
    </row>
    <row r="349" spans="1:19" x14ac:dyDescent="0.3">
      <c r="A349" s="9">
        <v>345</v>
      </c>
      <c r="B349" s="73" t="s">
        <v>346</v>
      </c>
      <c r="C349" s="75" t="s">
        <v>1619</v>
      </c>
      <c r="D349" s="13" t="s">
        <v>1620</v>
      </c>
      <c r="E349" s="67">
        <v>34825</v>
      </c>
      <c r="F349" s="9">
        <f t="shared" ca="1" si="40"/>
        <v>31</v>
      </c>
      <c r="G349" s="8">
        <v>43174</v>
      </c>
      <c r="H349" s="37" t="s">
        <v>275</v>
      </c>
      <c r="I349" s="60">
        <v>44708</v>
      </c>
      <c r="J349" s="580" t="s">
        <v>327</v>
      </c>
      <c r="K349" s="4" t="str">
        <f t="shared" si="41"/>
        <v>I</v>
      </c>
      <c r="L349" s="7" t="str">
        <f t="shared" si="42"/>
        <v>G7</v>
      </c>
      <c r="M349" s="7" t="str">
        <f t="shared" si="43"/>
        <v>S</v>
      </c>
      <c r="N349" s="62" t="str">
        <f t="shared" si="44"/>
        <v/>
      </c>
      <c r="O349" s="8">
        <f t="shared" si="45"/>
        <v>45073</v>
      </c>
      <c r="P349" s="9" t="str">
        <f t="shared" ca="1" si="46"/>
        <v>ATRASADO</v>
      </c>
      <c r="Q349" s="12" t="s">
        <v>919</v>
      </c>
      <c r="R349" s="9"/>
      <c r="S349" s="9" t="str">
        <f t="shared" si="47"/>
        <v/>
      </c>
    </row>
    <row r="350" spans="1:19" x14ac:dyDescent="0.3">
      <c r="A350" s="9">
        <v>346</v>
      </c>
      <c r="B350" s="73" t="s">
        <v>346</v>
      </c>
      <c r="C350" s="75" t="s">
        <v>1621</v>
      </c>
      <c r="D350" s="13" t="s">
        <v>1622</v>
      </c>
      <c r="E350" s="67">
        <v>28694</v>
      </c>
      <c r="F350" s="9">
        <f t="shared" ca="1" si="40"/>
        <v>48</v>
      </c>
      <c r="G350" s="8">
        <v>43758</v>
      </c>
      <c r="H350" s="37" t="s">
        <v>275</v>
      </c>
      <c r="I350" s="60">
        <v>44704</v>
      </c>
      <c r="J350" s="580" t="s">
        <v>275</v>
      </c>
      <c r="K350" s="4" t="str">
        <f t="shared" si="41"/>
        <v>I</v>
      </c>
      <c r="L350" s="7" t="str">
        <f t="shared" si="42"/>
        <v>G8</v>
      </c>
      <c r="M350" s="7" t="str">
        <f t="shared" si="43"/>
        <v/>
      </c>
      <c r="N350" s="62" t="str">
        <f t="shared" si="44"/>
        <v/>
      </c>
      <c r="O350" s="8">
        <f t="shared" si="45"/>
        <v>45800</v>
      </c>
      <c r="P350" s="9" t="str">
        <f t="shared" ca="1" si="46"/>
        <v>ATRASADO</v>
      </c>
      <c r="Q350" s="12" t="s">
        <v>919</v>
      </c>
      <c r="R350" s="9"/>
      <c r="S350" s="9" t="str">
        <f t="shared" si="47"/>
        <v/>
      </c>
    </row>
    <row r="351" spans="1:19" x14ac:dyDescent="0.3">
      <c r="A351" s="9">
        <v>347</v>
      </c>
      <c r="B351" s="73" t="s">
        <v>346</v>
      </c>
      <c r="C351" s="75" t="s">
        <v>1623</v>
      </c>
      <c r="D351" s="14" t="s">
        <v>1624</v>
      </c>
      <c r="E351" s="67">
        <v>26672</v>
      </c>
      <c r="F351" s="9">
        <f t="shared" ca="1" si="40"/>
        <v>53</v>
      </c>
      <c r="G351" s="8">
        <v>44056</v>
      </c>
      <c r="H351" s="37" t="s">
        <v>275</v>
      </c>
      <c r="I351" s="60">
        <v>44708</v>
      </c>
      <c r="J351" s="580" t="s">
        <v>271</v>
      </c>
      <c r="K351" s="4" t="str">
        <f t="shared" si="41"/>
        <v>I</v>
      </c>
      <c r="L351" s="7" t="str">
        <f t="shared" si="42"/>
        <v>G8</v>
      </c>
      <c r="M351" s="7" t="str">
        <f t="shared" si="43"/>
        <v>J1</v>
      </c>
      <c r="N351" s="62" t="str">
        <f t="shared" si="44"/>
        <v/>
      </c>
      <c r="O351" s="8">
        <f t="shared" si="45"/>
        <v>45804</v>
      </c>
      <c r="P351" s="9" t="str">
        <f t="shared" ca="1" si="46"/>
        <v>ATRASADO</v>
      </c>
      <c r="Q351" s="12" t="s">
        <v>919</v>
      </c>
      <c r="R351" s="9"/>
      <c r="S351" s="9" t="str">
        <f t="shared" si="47"/>
        <v/>
      </c>
    </row>
    <row r="352" spans="1:19" x14ac:dyDescent="0.3">
      <c r="A352" s="9">
        <v>348</v>
      </c>
      <c r="B352" s="73" t="s">
        <v>346</v>
      </c>
      <c r="C352" s="75" t="s">
        <v>1625</v>
      </c>
      <c r="D352" s="14" t="s">
        <v>1626</v>
      </c>
      <c r="E352" s="70">
        <v>23074</v>
      </c>
      <c r="F352" s="9">
        <f t="shared" ca="1" si="40"/>
        <v>63</v>
      </c>
      <c r="G352" s="8">
        <v>43189</v>
      </c>
      <c r="H352" s="37" t="s">
        <v>340</v>
      </c>
      <c r="I352" s="60">
        <v>44696</v>
      </c>
      <c r="J352" s="580" t="s">
        <v>275</v>
      </c>
      <c r="K352" s="4" t="str">
        <f t="shared" si="41"/>
        <v>I</v>
      </c>
      <c r="L352" s="7" t="str">
        <f t="shared" si="42"/>
        <v>G8</v>
      </c>
      <c r="M352" s="7" t="str">
        <f t="shared" si="43"/>
        <v/>
      </c>
      <c r="N352" s="62" t="str">
        <f t="shared" si="44"/>
        <v/>
      </c>
      <c r="O352" s="8">
        <f t="shared" si="45"/>
        <v>45792</v>
      </c>
      <c r="P352" s="9" t="str">
        <f t="shared" ca="1" si="46"/>
        <v>ATRASADO</v>
      </c>
      <c r="Q352" s="12" t="s">
        <v>919</v>
      </c>
      <c r="R352" s="9"/>
      <c r="S352" s="9" t="str">
        <f t="shared" si="47"/>
        <v/>
      </c>
    </row>
    <row r="353" spans="1:19" x14ac:dyDescent="0.3">
      <c r="A353" s="9">
        <v>349</v>
      </c>
      <c r="B353" s="73" t="s">
        <v>56</v>
      </c>
      <c r="C353" s="75" t="s">
        <v>1627</v>
      </c>
      <c r="D353" s="14" t="s">
        <v>1628</v>
      </c>
      <c r="E353" s="67">
        <v>35009</v>
      </c>
      <c r="F353" s="9">
        <f t="shared" ca="1" si="40"/>
        <v>30</v>
      </c>
      <c r="G353" s="8">
        <v>43754</v>
      </c>
      <c r="H353" s="37" t="s">
        <v>275</v>
      </c>
      <c r="I353" s="60">
        <v>44703</v>
      </c>
      <c r="J353" s="580" t="s">
        <v>275</v>
      </c>
      <c r="K353" s="4" t="str">
        <f t="shared" si="41"/>
        <v>I</v>
      </c>
      <c r="L353" s="7" t="str">
        <f t="shared" si="42"/>
        <v>G8</v>
      </c>
      <c r="M353" s="7" t="str">
        <f t="shared" si="43"/>
        <v/>
      </c>
      <c r="N353" s="62" t="str">
        <f t="shared" si="44"/>
        <v/>
      </c>
      <c r="O353" s="8">
        <f t="shared" si="45"/>
        <v>45799</v>
      </c>
      <c r="P353" s="9" t="str">
        <f t="shared" ca="1" si="46"/>
        <v>ATRASADO</v>
      </c>
      <c r="Q353" s="12" t="s">
        <v>919</v>
      </c>
      <c r="R353" s="9"/>
      <c r="S353" s="9" t="str">
        <f t="shared" si="47"/>
        <v/>
      </c>
    </row>
    <row r="354" spans="1:19" x14ac:dyDescent="0.3">
      <c r="A354" s="9">
        <v>350</v>
      </c>
      <c r="B354" s="73" t="s">
        <v>346</v>
      </c>
      <c r="C354" s="75" t="s">
        <v>1629</v>
      </c>
      <c r="D354" s="13" t="s">
        <v>1630</v>
      </c>
      <c r="E354" s="67">
        <v>36443</v>
      </c>
      <c r="F354" s="9">
        <f t="shared" ca="1" si="40"/>
        <v>26</v>
      </c>
      <c r="G354" s="8">
        <v>43141</v>
      </c>
      <c r="H354" s="37" t="s">
        <v>8</v>
      </c>
      <c r="I354" s="60">
        <v>44707</v>
      </c>
      <c r="J354" s="580" t="s">
        <v>275</v>
      </c>
      <c r="K354" s="4" t="str">
        <f t="shared" si="41"/>
        <v>I</v>
      </c>
      <c r="L354" s="7" t="str">
        <f t="shared" si="42"/>
        <v>G8</v>
      </c>
      <c r="M354" s="7" t="str">
        <f t="shared" si="43"/>
        <v/>
      </c>
      <c r="N354" s="62" t="str">
        <f t="shared" si="44"/>
        <v/>
      </c>
      <c r="O354" s="8">
        <f t="shared" si="45"/>
        <v>45803</v>
      </c>
      <c r="P354" s="9" t="str">
        <f t="shared" ca="1" si="46"/>
        <v>ATRASADO</v>
      </c>
      <c r="Q354" s="12" t="s">
        <v>919</v>
      </c>
      <c r="R354" s="9"/>
      <c r="S354" s="9" t="str">
        <f t="shared" si="47"/>
        <v/>
      </c>
    </row>
    <row r="355" spans="1:19" x14ac:dyDescent="0.3">
      <c r="A355" s="9">
        <v>351</v>
      </c>
      <c r="B355" s="2" t="s">
        <v>579</v>
      </c>
      <c r="C355" s="76" t="s">
        <v>1631</v>
      </c>
      <c r="D355" s="17" t="s">
        <v>1632</v>
      </c>
      <c r="E355" s="26">
        <v>30299</v>
      </c>
      <c r="F355" s="9">
        <f t="shared" ca="1" si="40"/>
        <v>43</v>
      </c>
      <c r="G355" s="8">
        <v>43507</v>
      </c>
      <c r="H355" s="9" t="s">
        <v>275</v>
      </c>
      <c r="I355" s="60">
        <v>44708</v>
      </c>
      <c r="J355" s="580" t="s">
        <v>363</v>
      </c>
      <c r="K355" s="4" t="str">
        <f t="shared" si="41"/>
        <v>I</v>
      </c>
      <c r="L355" s="7" t="str">
        <f t="shared" si="42"/>
        <v>G8</v>
      </c>
      <c r="M355" s="7" t="str">
        <f t="shared" si="43"/>
        <v>J2</v>
      </c>
      <c r="N355" s="62" t="str">
        <f t="shared" si="44"/>
        <v/>
      </c>
      <c r="O355" s="8">
        <f t="shared" si="45"/>
        <v>45804</v>
      </c>
      <c r="P355" s="9" t="str">
        <f t="shared" ca="1" si="46"/>
        <v>ATRASADO</v>
      </c>
      <c r="Q355" s="12" t="s">
        <v>1556</v>
      </c>
      <c r="R355" s="9"/>
      <c r="S355" s="9" t="str">
        <f t="shared" si="47"/>
        <v>TRICOMONAS</v>
      </c>
    </row>
    <row r="356" spans="1:19" x14ac:dyDescent="0.3">
      <c r="A356" s="9">
        <v>352</v>
      </c>
      <c r="B356" s="2" t="s">
        <v>270</v>
      </c>
      <c r="C356" s="76" t="s">
        <v>1633</v>
      </c>
      <c r="D356" s="17" t="s">
        <v>1634</v>
      </c>
      <c r="E356" s="26">
        <v>26036</v>
      </c>
      <c r="F356" s="9">
        <f t="shared" ca="1" si="40"/>
        <v>55</v>
      </c>
      <c r="G356" s="8">
        <v>43767</v>
      </c>
      <c r="H356" s="9" t="s">
        <v>320</v>
      </c>
      <c r="I356" s="60">
        <v>44712</v>
      </c>
      <c r="J356" s="580" t="s">
        <v>275</v>
      </c>
      <c r="K356" s="4" t="str">
        <f t="shared" si="41"/>
        <v>I</v>
      </c>
      <c r="L356" s="7" t="str">
        <f t="shared" si="42"/>
        <v>G8</v>
      </c>
      <c r="M356" s="7" t="str">
        <f t="shared" si="43"/>
        <v/>
      </c>
      <c r="N356" s="62" t="str">
        <f t="shared" si="44"/>
        <v/>
      </c>
      <c r="O356" s="8">
        <f t="shared" si="45"/>
        <v>45808</v>
      </c>
      <c r="P356" s="9" t="str">
        <f t="shared" ca="1" si="46"/>
        <v>ATRASADO</v>
      </c>
      <c r="Q356" s="12" t="s">
        <v>1556</v>
      </c>
      <c r="R356" s="9"/>
      <c r="S356" s="9" t="str">
        <f t="shared" si="47"/>
        <v/>
      </c>
    </row>
    <row r="357" spans="1:19" x14ac:dyDescent="0.3">
      <c r="A357" s="9">
        <v>353</v>
      </c>
      <c r="B357" s="2" t="s">
        <v>270</v>
      </c>
      <c r="C357" s="76" t="s">
        <v>1635</v>
      </c>
      <c r="D357" s="17" t="s">
        <v>1636</v>
      </c>
      <c r="E357" s="26">
        <v>26500</v>
      </c>
      <c r="F357" s="9">
        <f t="shared" ca="1" si="40"/>
        <v>54</v>
      </c>
      <c r="G357" s="8">
        <v>44286</v>
      </c>
      <c r="H357" s="9" t="s">
        <v>324</v>
      </c>
      <c r="I357" s="60">
        <v>44687</v>
      </c>
      <c r="J357" s="580" t="s">
        <v>8</v>
      </c>
      <c r="K357" s="4" t="str">
        <f t="shared" si="41"/>
        <v>SI</v>
      </c>
      <c r="L357" s="7" t="str">
        <f t="shared" si="42"/>
        <v xml:space="preserve">N </v>
      </c>
      <c r="M357" s="7" t="str">
        <f t="shared" si="43"/>
        <v>RE</v>
      </c>
      <c r="N357" s="62" t="str">
        <f t="shared" si="44"/>
        <v>GI</v>
      </c>
      <c r="O357" s="8">
        <f t="shared" si="45"/>
        <v>45783</v>
      </c>
      <c r="P357" s="9" t="str">
        <f t="shared" ca="1" si="46"/>
        <v>ATRASADO</v>
      </c>
      <c r="Q357" s="12" t="s">
        <v>1556</v>
      </c>
      <c r="R357" s="9"/>
      <c r="S357" s="9" t="str">
        <f t="shared" si="47"/>
        <v/>
      </c>
    </row>
    <row r="358" spans="1:19" x14ac:dyDescent="0.3">
      <c r="A358" s="9">
        <v>354</v>
      </c>
      <c r="B358" s="2" t="s">
        <v>270</v>
      </c>
      <c r="C358" s="76" t="s">
        <v>1637</v>
      </c>
      <c r="D358" s="17" t="s">
        <v>1638</v>
      </c>
      <c r="E358" s="26">
        <v>24253</v>
      </c>
      <c r="F358" s="9">
        <f t="shared" ca="1" si="40"/>
        <v>60</v>
      </c>
      <c r="G358" s="8">
        <v>44094</v>
      </c>
      <c r="H358" s="9" t="s">
        <v>271</v>
      </c>
      <c r="I358" s="60">
        <v>44692</v>
      </c>
      <c r="J358" s="580" t="s">
        <v>275</v>
      </c>
      <c r="K358" s="4" t="str">
        <f t="shared" si="41"/>
        <v>I</v>
      </c>
      <c r="L358" s="7" t="str">
        <f t="shared" si="42"/>
        <v>G8</v>
      </c>
      <c r="M358" s="7" t="str">
        <f t="shared" si="43"/>
        <v/>
      </c>
      <c r="N358" s="62" t="str">
        <f t="shared" si="44"/>
        <v/>
      </c>
      <c r="O358" s="8">
        <f t="shared" si="45"/>
        <v>45788</v>
      </c>
      <c r="P358" s="9" t="str">
        <f t="shared" ca="1" si="46"/>
        <v>ATRASADO</v>
      </c>
      <c r="Q358" s="12" t="s">
        <v>1556</v>
      </c>
      <c r="R358" s="9"/>
      <c r="S358" s="9" t="str">
        <f t="shared" si="47"/>
        <v/>
      </c>
    </row>
    <row r="359" spans="1:19" x14ac:dyDescent="0.3">
      <c r="A359" s="9">
        <v>355</v>
      </c>
      <c r="B359" s="73" t="s">
        <v>312</v>
      </c>
      <c r="C359" s="78" t="s">
        <v>1639</v>
      </c>
      <c r="D359" s="20" t="s">
        <v>1640</v>
      </c>
      <c r="E359" s="71">
        <v>22333</v>
      </c>
      <c r="F359" s="9">
        <f t="shared" ca="1" si="40"/>
        <v>65</v>
      </c>
      <c r="G359" s="25">
        <v>43495</v>
      </c>
      <c r="H359" s="37" t="s">
        <v>291</v>
      </c>
      <c r="I359" s="60">
        <v>44704</v>
      </c>
      <c r="J359" s="580" t="s">
        <v>271</v>
      </c>
      <c r="K359" s="4" t="str">
        <f t="shared" si="41"/>
        <v>I</v>
      </c>
      <c r="L359" s="7" t="str">
        <f t="shared" si="42"/>
        <v>G8</v>
      </c>
      <c r="M359" s="7" t="str">
        <f t="shared" si="43"/>
        <v>J1</v>
      </c>
      <c r="N359" s="62" t="str">
        <f t="shared" si="44"/>
        <v/>
      </c>
      <c r="O359" s="8">
        <f t="shared" si="45"/>
        <v>45800</v>
      </c>
      <c r="P359" s="9" t="str">
        <f t="shared" ca="1" si="46"/>
        <v>ATRASADO</v>
      </c>
      <c r="Q359" s="12" t="s">
        <v>1556</v>
      </c>
      <c r="R359" s="9"/>
      <c r="S359" s="9" t="str">
        <f t="shared" si="47"/>
        <v/>
      </c>
    </row>
    <row r="360" spans="1:19" x14ac:dyDescent="0.3">
      <c r="A360" s="9">
        <v>356</v>
      </c>
      <c r="B360" s="2" t="s">
        <v>270</v>
      </c>
      <c r="C360" s="76" t="s">
        <v>1641</v>
      </c>
      <c r="D360" s="17" t="s">
        <v>1642</v>
      </c>
      <c r="E360" s="26">
        <v>21861</v>
      </c>
      <c r="F360" s="9">
        <f t="shared" ca="1" si="40"/>
        <v>66</v>
      </c>
      <c r="G360" s="8">
        <v>43528</v>
      </c>
      <c r="H360" s="37" t="s">
        <v>8</v>
      </c>
      <c r="I360" s="60">
        <v>44698</v>
      </c>
      <c r="J360" s="580" t="s">
        <v>271</v>
      </c>
      <c r="K360" s="4" t="str">
        <f t="shared" si="41"/>
        <v>I</v>
      </c>
      <c r="L360" s="7" t="str">
        <f t="shared" si="42"/>
        <v>G8</v>
      </c>
      <c r="M360" s="7" t="str">
        <f t="shared" si="43"/>
        <v>J1</v>
      </c>
      <c r="N360" s="62" t="str">
        <f t="shared" si="44"/>
        <v/>
      </c>
      <c r="O360" s="8">
        <f t="shared" si="45"/>
        <v>45794</v>
      </c>
      <c r="P360" s="9" t="str">
        <f t="shared" ca="1" si="46"/>
        <v>ATRASADO</v>
      </c>
      <c r="Q360" s="12" t="s">
        <v>1556</v>
      </c>
      <c r="R360" s="9"/>
      <c r="S360" s="9" t="str">
        <f t="shared" si="47"/>
        <v/>
      </c>
    </row>
    <row r="361" spans="1:19" x14ac:dyDescent="0.3">
      <c r="A361" s="9">
        <v>357</v>
      </c>
      <c r="B361" s="2" t="s">
        <v>579</v>
      </c>
      <c r="C361" s="76" t="s">
        <v>1643</v>
      </c>
      <c r="D361" s="17" t="s">
        <v>1644</v>
      </c>
      <c r="E361" s="26">
        <v>35887</v>
      </c>
      <c r="F361" s="9">
        <f t="shared" ca="1" si="40"/>
        <v>28</v>
      </c>
      <c r="G361" s="8">
        <v>44144</v>
      </c>
      <c r="H361" s="37" t="s">
        <v>275</v>
      </c>
      <c r="I361" s="60">
        <v>44684</v>
      </c>
      <c r="J361" s="580" t="s">
        <v>275</v>
      </c>
      <c r="K361" s="4" t="str">
        <f t="shared" si="41"/>
        <v>I</v>
      </c>
      <c r="L361" s="7" t="str">
        <f t="shared" si="42"/>
        <v>G8</v>
      </c>
      <c r="M361" s="7" t="str">
        <f t="shared" si="43"/>
        <v/>
      </c>
      <c r="N361" s="62" t="str">
        <f t="shared" si="44"/>
        <v/>
      </c>
      <c r="O361" s="8">
        <f t="shared" si="45"/>
        <v>45780</v>
      </c>
      <c r="P361" s="9" t="str">
        <f t="shared" ca="1" si="46"/>
        <v>ATRASADO</v>
      </c>
      <c r="Q361" s="12" t="s">
        <v>1556</v>
      </c>
      <c r="R361" s="9"/>
      <c r="S361" s="9" t="str">
        <f t="shared" si="47"/>
        <v/>
      </c>
    </row>
    <row r="362" spans="1:19" x14ac:dyDescent="0.3">
      <c r="A362" s="9">
        <v>358</v>
      </c>
      <c r="B362" s="2" t="s">
        <v>346</v>
      </c>
      <c r="C362" s="76" t="s">
        <v>1645</v>
      </c>
      <c r="D362" s="17" t="s">
        <v>1646</v>
      </c>
      <c r="E362" s="26">
        <v>34827</v>
      </c>
      <c r="F362" s="9">
        <f t="shared" ca="1" si="40"/>
        <v>31</v>
      </c>
      <c r="G362" s="8">
        <v>43821</v>
      </c>
      <c r="H362" s="37" t="s">
        <v>271</v>
      </c>
      <c r="I362" s="60">
        <v>44695</v>
      </c>
      <c r="J362" s="580" t="s">
        <v>291</v>
      </c>
      <c r="K362" s="4" t="str">
        <f t="shared" si="41"/>
        <v>I</v>
      </c>
      <c r="L362" s="7" t="str">
        <f t="shared" si="42"/>
        <v>G8</v>
      </c>
      <c r="M362" s="7" t="str">
        <f t="shared" si="43"/>
        <v>J5</v>
      </c>
      <c r="N362" s="62" t="str">
        <f t="shared" si="44"/>
        <v/>
      </c>
      <c r="O362" s="8">
        <f t="shared" si="45"/>
        <v>45791</v>
      </c>
      <c r="P362" s="9" t="str">
        <f t="shared" ca="1" si="46"/>
        <v>ATRASADO</v>
      </c>
      <c r="Q362" s="12" t="s">
        <v>1556</v>
      </c>
      <c r="R362" s="64"/>
      <c r="S362" s="9" t="str">
        <f t="shared" si="47"/>
        <v>CANDIDA</v>
      </c>
    </row>
    <row r="363" spans="1:19" x14ac:dyDescent="0.3">
      <c r="A363" s="9">
        <v>359</v>
      </c>
      <c r="B363" s="2" t="s">
        <v>270</v>
      </c>
      <c r="C363" s="76" t="s">
        <v>1647</v>
      </c>
      <c r="D363" s="17" t="s">
        <v>1648</v>
      </c>
      <c r="E363" s="26">
        <v>34945</v>
      </c>
      <c r="F363" s="9">
        <f t="shared" ca="1" si="40"/>
        <v>31</v>
      </c>
      <c r="G363" s="9" t="s">
        <v>8</v>
      </c>
      <c r="H363" s="37" t="s">
        <v>275</v>
      </c>
      <c r="I363" s="60">
        <v>44703</v>
      </c>
      <c r="J363" s="580" t="s">
        <v>271</v>
      </c>
      <c r="K363" s="4" t="str">
        <f t="shared" si="41"/>
        <v>I</v>
      </c>
      <c r="L363" s="7" t="str">
        <f t="shared" si="42"/>
        <v>G8</v>
      </c>
      <c r="M363" s="7" t="str">
        <f t="shared" si="43"/>
        <v>J1</v>
      </c>
      <c r="N363" s="62" t="str">
        <f t="shared" si="44"/>
        <v/>
      </c>
      <c r="O363" s="8">
        <f t="shared" si="45"/>
        <v>45799</v>
      </c>
      <c r="P363" s="9" t="str">
        <f t="shared" ca="1" si="46"/>
        <v>ATRASADO</v>
      </c>
      <c r="Q363" s="12" t="s">
        <v>1556</v>
      </c>
      <c r="R363" s="9"/>
      <c r="S363" s="9" t="str">
        <f t="shared" si="47"/>
        <v/>
      </c>
    </row>
    <row r="364" spans="1:19" x14ac:dyDescent="0.3">
      <c r="A364" s="9">
        <v>360</v>
      </c>
      <c r="B364" s="2" t="s">
        <v>270</v>
      </c>
      <c r="C364" s="76" t="s">
        <v>1649</v>
      </c>
      <c r="D364" s="17" t="s">
        <v>1650</v>
      </c>
      <c r="E364" s="26">
        <v>28236</v>
      </c>
      <c r="F364" s="9">
        <f t="shared" ca="1" si="40"/>
        <v>49</v>
      </c>
      <c r="G364" s="8">
        <v>43730</v>
      </c>
      <c r="H364" s="37" t="s">
        <v>275</v>
      </c>
      <c r="I364" s="60">
        <v>44707</v>
      </c>
      <c r="J364" s="580" t="s">
        <v>275</v>
      </c>
      <c r="K364" s="4" t="str">
        <f t="shared" si="41"/>
        <v>I</v>
      </c>
      <c r="L364" s="7" t="str">
        <f t="shared" si="42"/>
        <v>G8</v>
      </c>
      <c r="M364" s="7" t="str">
        <f t="shared" si="43"/>
        <v/>
      </c>
      <c r="N364" s="62" t="str">
        <f t="shared" si="44"/>
        <v/>
      </c>
      <c r="O364" s="8">
        <f t="shared" si="45"/>
        <v>45803</v>
      </c>
      <c r="P364" s="9" t="str">
        <f t="shared" ca="1" si="46"/>
        <v>ATRASADO</v>
      </c>
      <c r="Q364" s="12" t="s">
        <v>1556</v>
      </c>
      <c r="R364" s="64"/>
      <c r="S364" s="9" t="str">
        <f t="shared" si="47"/>
        <v/>
      </c>
    </row>
    <row r="365" spans="1:19" x14ac:dyDescent="0.3">
      <c r="A365" s="9">
        <v>361</v>
      </c>
      <c r="B365" s="73" t="s">
        <v>312</v>
      </c>
      <c r="C365" s="76" t="s">
        <v>1651</v>
      </c>
      <c r="D365" s="17" t="s">
        <v>1652</v>
      </c>
      <c r="E365" s="26">
        <v>22817</v>
      </c>
      <c r="F365" s="9">
        <f t="shared" ca="1" si="40"/>
        <v>64</v>
      </c>
      <c r="G365" s="8">
        <v>42884</v>
      </c>
      <c r="H365" s="37" t="s">
        <v>305</v>
      </c>
      <c r="I365" s="60">
        <v>44693</v>
      </c>
      <c r="J365" s="580" t="s">
        <v>271</v>
      </c>
      <c r="K365" s="4" t="str">
        <f t="shared" si="41"/>
        <v>I</v>
      </c>
      <c r="L365" s="7" t="str">
        <f t="shared" si="42"/>
        <v>G8</v>
      </c>
      <c r="M365" s="7" t="str">
        <f t="shared" si="43"/>
        <v>J1</v>
      </c>
      <c r="N365" s="62" t="str">
        <f t="shared" si="44"/>
        <v/>
      </c>
      <c r="O365" s="8">
        <f t="shared" si="45"/>
        <v>45789</v>
      </c>
      <c r="P365" s="9" t="str">
        <f t="shared" ca="1" si="46"/>
        <v>ATRASADO</v>
      </c>
      <c r="Q365" s="12" t="s">
        <v>1556</v>
      </c>
      <c r="R365" s="9"/>
      <c r="S365" s="9" t="str">
        <f t="shared" si="47"/>
        <v/>
      </c>
    </row>
    <row r="366" spans="1:19" x14ac:dyDescent="0.3">
      <c r="A366" s="9">
        <v>362</v>
      </c>
      <c r="B366" s="2" t="s">
        <v>579</v>
      </c>
      <c r="C366" s="76" t="s">
        <v>1653</v>
      </c>
      <c r="D366" s="17" t="s">
        <v>1654</v>
      </c>
      <c r="E366" s="26">
        <v>36302</v>
      </c>
      <c r="F366" s="9">
        <f t="shared" ca="1" si="40"/>
        <v>27</v>
      </c>
      <c r="G366" s="8">
        <v>43945</v>
      </c>
      <c r="H366" s="38" t="s">
        <v>275</v>
      </c>
      <c r="I366" s="60">
        <v>44695</v>
      </c>
      <c r="J366" s="580" t="s">
        <v>300</v>
      </c>
      <c r="K366" s="4" t="str">
        <f t="shared" si="41"/>
        <v>G4</v>
      </c>
      <c r="L366" s="7" t="str">
        <f t="shared" si="42"/>
        <v>O5</v>
      </c>
      <c r="M366" s="7" t="str">
        <f t="shared" si="43"/>
        <v/>
      </c>
      <c r="N366" s="62" t="str">
        <f t="shared" si="44"/>
        <v/>
      </c>
      <c r="O366" s="8">
        <f t="shared" si="45"/>
        <v>44787</v>
      </c>
      <c r="P366" s="9" t="str">
        <f t="shared" ca="1" si="46"/>
        <v>ATRASADO</v>
      </c>
      <c r="Q366" s="12" t="s">
        <v>1556</v>
      </c>
      <c r="R366" s="9"/>
      <c r="S366" s="9" t="str">
        <f t="shared" si="47"/>
        <v/>
      </c>
    </row>
    <row r="367" spans="1:19" x14ac:dyDescent="0.3">
      <c r="A367" s="9">
        <v>363</v>
      </c>
      <c r="B367" s="2" t="s">
        <v>56</v>
      </c>
      <c r="C367" s="76" t="s">
        <v>1655</v>
      </c>
      <c r="D367" s="17" t="s">
        <v>1656</v>
      </c>
      <c r="E367" s="26">
        <v>21992</v>
      </c>
      <c r="F367" s="9">
        <f t="shared" ca="1" si="40"/>
        <v>66</v>
      </c>
      <c r="G367" s="8">
        <v>43336</v>
      </c>
      <c r="H367" s="38" t="s">
        <v>8</v>
      </c>
      <c r="I367" s="60">
        <v>44690</v>
      </c>
      <c r="J367" s="580" t="s">
        <v>275</v>
      </c>
      <c r="K367" s="4" t="str">
        <f t="shared" si="41"/>
        <v>I</v>
      </c>
      <c r="L367" s="7" t="str">
        <f t="shared" si="42"/>
        <v>G8</v>
      </c>
      <c r="M367" s="7" t="str">
        <f t="shared" si="43"/>
        <v/>
      </c>
      <c r="N367" s="62" t="str">
        <f t="shared" si="44"/>
        <v/>
      </c>
      <c r="O367" s="8">
        <f t="shared" si="45"/>
        <v>45786</v>
      </c>
      <c r="P367" s="9" t="str">
        <f t="shared" ca="1" si="46"/>
        <v>ATRASADO</v>
      </c>
      <c r="Q367" s="12" t="s">
        <v>1556</v>
      </c>
      <c r="R367" s="9"/>
      <c r="S367" s="9" t="str">
        <f t="shared" si="47"/>
        <v/>
      </c>
    </row>
    <row r="368" spans="1:19" x14ac:dyDescent="0.3">
      <c r="A368" s="9">
        <v>364</v>
      </c>
      <c r="B368" s="2" t="s">
        <v>270</v>
      </c>
      <c r="C368" s="76" t="s">
        <v>1657</v>
      </c>
      <c r="D368" s="17" t="s">
        <v>1658</v>
      </c>
      <c r="E368" s="26">
        <v>25438</v>
      </c>
      <c r="F368" s="9">
        <f t="shared" ca="1" si="40"/>
        <v>57</v>
      </c>
      <c r="G368" s="9" t="s">
        <v>8</v>
      </c>
      <c r="H368" s="38" t="s">
        <v>300</v>
      </c>
      <c r="I368" s="60">
        <v>44703</v>
      </c>
      <c r="J368" s="580" t="s">
        <v>1274</v>
      </c>
      <c r="K368" s="4" t="str">
        <f t="shared" si="41"/>
        <v>G3</v>
      </c>
      <c r="L368" s="7" t="str">
        <f t="shared" si="42"/>
        <v>05</v>
      </c>
      <c r="M368" s="7" t="str">
        <f t="shared" si="43"/>
        <v/>
      </c>
      <c r="N368" s="62" t="str">
        <f t="shared" si="44"/>
        <v/>
      </c>
      <c r="O368" s="8">
        <f t="shared" si="45"/>
        <v>45799</v>
      </c>
      <c r="P368" s="9" t="str">
        <f t="shared" ca="1" si="46"/>
        <v>ATRASADO</v>
      </c>
      <c r="Q368" s="12" t="s">
        <v>1556</v>
      </c>
      <c r="R368" s="9"/>
      <c r="S368" s="9" t="str">
        <f t="shared" si="47"/>
        <v/>
      </c>
    </row>
    <row r="369" spans="1:19" x14ac:dyDescent="0.3">
      <c r="A369" s="9">
        <v>365</v>
      </c>
      <c r="B369" s="2" t="s">
        <v>312</v>
      </c>
      <c r="C369" s="76" t="s">
        <v>1659</v>
      </c>
      <c r="D369" s="17" t="s">
        <v>1660</v>
      </c>
      <c r="E369" s="26">
        <v>31493</v>
      </c>
      <c r="F369" s="9">
        <f t="shared" ca="1" si="40"/>
        <v>40</v>
      </c>
      <c r="G369" s="8">
        <v>43322</v>
      </c>
      <c r="H369" s="38" t="s">
        <v>271</v>
      </c>
      <c r="I369" s="60">
        <v>44706</v>
      </c>
      <c r="J369" s="580" t="s">
        <v>275</v>
      </c>
      <c r="K369" s="4" t="str">
        <f t="shared" si="41"/>
        <v>I</v>
      </c>
      <c r="L369" s="7" t="str">
        <f t="shared" si="42"/>
        <v>G8</v>
      </c>
      <c r="M369" s="7" t="str">
        <f t="shared" si="43"/>
        <v/>
      </c>
      <c r="N369" s="62" t="str">
        <f t="shared" si="44"/>
        <v/>
      </c>
      <c r="O369" s="8">
        <f t="shared" si="45"/>
        <v>45802</v>
      </c>
      <c r="P369" s="9" t="str">
        <f t="shared" ca="1" si="46"/>
        <v>ATRASADO</v>
      </c>
      <c r="Q369" s="12" t="s">
        <v>1556</v>
      </c>
      <c r="R369" s="9"/>
      <c r="S369" s="9" t="str">
        <f t="shared" si="47"/>
        <v/>
      </c>
    </row>
    <row r="370" spans="1:19" x14ac:dyDescent="0.3">
      <c r="A370" s="9">
        <v>366</v>
      </c>
      <c r="B370" s="2" t="s">
        <v>56</v>
      </c>
      <c r="C370" s="76" t="s">
        <v>1662</v>
      </c>
      <c r="D370" s="17" t="s">
        <v>1663</v>
      </c>
      <c r="E370" s="26">
        <v>29369</v>
      </c>
      <c r="F370" s="9">
        <f t="shared" ca="1" si="40"/>
        <v>46</v>
      </c>
      <c r="G370" s="8">
        <v>44134</v>
      </c>
      <c r="H370" s="38" t="s">
        <v>327</v>
      </c>
      <c r="I370" s="60">
        <v>44711</v>
      </c>
      <c r="J370" s="580" t="s">
        <v>275</v>
      </c>
      <c r="K370" s="4" t="str">
        <f t="shared" si="41"/>
        <v>I</v>
      </c>
      <c r="L370" s="7" t="str">
        <f t="shared" si="42"/>
        <v>G8</v>
      </c>
      <c r="M370" s="7" t="str">
        <f t="shared" si="43"/>
        <v/>
      </c>
      <c r="N370" s="62" t="str">
        <f t="shared" si="44"/>
        <v/>
      </c>
      <c r="O370" s="8">
        <f t="shared" si="45"/>
        <v>45807</v>
      </c>
      <c r="P370" s="9" t="str">
        <f t="shared" ca="1" si="46"/>
        <v>ATRASADO</v>
      </c>
      <c r="Q370" s="12" t="s">
        <v>1556</v>
      </c>
      <c r="R370" s="64"/>
      <c r="S370" s="9" t="str">
        <f t="shared" si="47"/>
        <v/>
      </c>
    </row>
    <row r="371" spans="1:19" x14ac:dyDescent="0.3">
      <c r="A371" s="9">
        <v>367</v>
      </c>
      <c r="B371" s="2" t="s">
        <v>312</v>
      </c>
      <c r="C371" s="76" t="s">
        <v>1664</v>
      </c>
      <c r="D371" s="17" t="s">
        <v>1665</v>
      </c>
      <c r="E371" s="26">
        <v>23249</v>
      </c>
      <c r="F371" s="9">
        <f t="shared" ca="1" si="40"/>
        <v>63</v>
      </c>
      <c r="G371" s="8">
        <v>43699</v>
      </c>
      <c r="H371" s="38" t="s">
        <v>275</v>
      </c>
      <c r="I371" s="60">
        <v>44690</v>
      </c>
      <c r="J371" s="580" t="s">
        <v>275</v>
      </c>
      <c r="K371" s="4" t="str">
        <f t="shared" si="41"/>
        <v>I</v>
      </c>
      <c r="L371" s="7" t="str">
        <f t="shared" si="42"/>
        <v>G8</v>
      </c>
      <c r="M371" s="7" t="str">
        <f t="shared" si="43"/>
        <v/>
      </c>
      <c r="N371" s="62" t="str">
        <f t="shared" si="44"/>
        <v/>
      </c>
      <c r="O371" s="8">
        <f t="shared" si="45"/>
        <v>45786</v>
      </c>
      <c r="P371" s="9" t="str">
        <f t="shared" ca="1" si="46"/>
        <v>ATRASADO</v>
      </c>
      <c r="Q371" s="12" t="s">
        <v>1556</v>
      </c>
      <c r="R371" s="9"/>
      <c r="S371" s="9" t="str">
        <f t="shared" si="47"/>
        <v/>
      </c>
    </row>
    <row r="372" spans="1:19" x14ac:dyDescent="0.3">
      <c r="A372" s="9">
        <v>368</v>
      </c>
      <c r="B372" s="2" t="s">
        <v>270</v>
      </c>
      <c r="C372" s="76" t="s">
        <v>1666</v>
      </c>
      <c r="D372" s="17" t="s">
        <v>1667</v>
      </c>
      <c r="E372" s="26">
        <v>26247</v>
      </c>
      <c r="F372" s="9">
        <f t="shared" ca="1" si="40"/>
        <v>54</v>
      </c>
      <c r="G372" s="30">
        <v>43872</v>
      </c>
      <c r="H372" s="38" t="s">
        <v>271</v>
      </c>
      <c r="I372" s="60">
        <v>44696</v>
      </c>
      <c r="J372" s="580" t="s">
        <v>275</v>
      </c>
      <c r="K372" s="4" t="str">
        <f t="shared" si="41"/>
        <v>I</v>
      </c>
      <c r="L372" s="7" t="str">
        <f t="shared" si="42"/>
        <v>G8</v>
      </c>
      <c r="M372" s="7" t="str">
        <f t="shared" si="43"/>
        <v/>
      </c>
      <c r="N372" s="62" t="str">
        <f t="shared" si="44"/>
        <v/>
      </c>
      <c r="O372" s="8">
        <f t="shared" si="45"/>
        <v>45792</v>
      </c>
      <c r="P372" s="9" t="str">
        <f t="shared" ca="1" si="46"/>
        <v>ATRASADO</v>
      </c>
      <c r="Q372" s="12" t="s">
        <v>1556</v>
      </c>
      <c r="R372" s="9"/>
      <c r="S372" s="9" t="str">
        <f t="shared" si="47"/>
        <v/>
      </c>
    </row>
    <row r="373" spans="1:19" x14ac:dyDescent="0.3">
      <c r="A373" s="9">
        <v>369</v>
      </c>
      <c r="B373" s="2" t="s">
        <v>111</v>
      </c>
      <c r="C373" s="76" t="s">
        <v>1668</v>
      </c>
      <c r="D373" s="17" t="s">
        <v>1669</v>
      </c>
      <c r="E373" s="26">
        <v>23938</v>
      </c>
      <c r="F373" s="9">
        <f t="shared" ca="1" si="40"/>
        <v>61</v>
      </c>
      <c r="G373" s="9" t="s">
        <v>8</v>
      </c>
      <c r="H373" s="38" t="s">
        <v>275</v>
      </c>
      <c r="I373" s="60">
        <v>44693</v>
      </c>
      <c r="J373" s="580" t="s">
        <v>327</v>
      </c>
      <c r="K373" s="4" t="str">
        <f t="shared" si="41"/>
        <v>I</v>
      </c>
      <c r="L373" s="7" t="str">
        <f t="shared" si="42"/>
        <v>G7</v>
      </c>
      <c r="M373" s="7" t="str">
        <f t="shared" si="43"/>
        <v>S</v>
      </c>
      <c r="N373" s="62" t="str">
        <f t="shared" si="44"/>
        <v/>
      </c>
      <c r="O373" s="8">
        <f t="shared" si="45"/>
        <v>45058</v>
      </c>
      <c r="P373" s="9" t="str">
        <f t="shared" ca="1" si="46"/>
        <v>ATRASADO</v>
      </c>
      <c r="Q373" s="12" t="s">
        <v>1556</v>
      </c>
      <c r="R373" s="9"/>
      <c r="S373" s="9" t="str">
        <f t="shared" si="47"/>
        <v/>
      </c>
    </row>
    <row r="374" spans="1:19" x14ac:dyDescent="0.3">
      <c r="A374" s="9">
        <v>370</v>
      </c>
      <c r="B374" s="2" t="s">
        <v>270</v>
      </c>
      <c r="C374" s="76" t="s">
        <v>1670</v>
      </c>
      <c r="D374" s="17" t="s">
        <v>1671</v>
      </c>
      <c r="E374" s="26">
        <v>34502</v>
      </c>
      <c r="F374" s="9">
        <f t="shared" ca="1" si="40"/>
        <v>32</v>
      </c>
      <c r="G374" s="8">
        <v>43123</v>
      </c>
      <c r="H374" s="38" t="s">
        <v>275</v>
      </c>
      <c r="I374" s="60">
        <v>44694</v>
      </c>
      <c r="J374" s="580" t="s">
        <v>271</v>
      </c>
      <c r="K374" s="4" t="str">
        <f t="shared" si="41"/>
        <v>I</v>
      </c>
      <c r="L374" s="7" t="str">
        <f t="shared" si="42"/>
        <v>G8</v>
      </c>
      <c r="M374" s="7" t="str">
        <f t="shared" si="43"/>
        <v>J1</v>
      </c>
      <c r="N374" s="62" t="str">
        <f t="shared" si="44"/>
        <v/>
      </c>
      <c r="O374" s="8">
        <f t="shared" si="45"/>
        <v>45790</v>
      </c>
      <c r="P374" s="9" t="str">
        <f t="shared" ca="1" si="46"/>
        <v>ATRASADO</v>
      </c>
      <c r="Q374" s="12" t="s">
        <v>1556</v>
      </c>
      <c r="R374" s="64"/>
      <c r="S374" s="9" t="str">
        <f t="shared" si="47"/>
        <v/>
      </c>
    </row>
    <row r="375" spans="1:19" x14ac:dyDescent="0.3">
      <c r="A375" s="9">
        <v>371</v>
      </c>
      <c r="B375" s="2" t="s">
        <v>312</v>
      </c>
      <c r="C375" s="76" t="s">
        <v>1672</v>
      </c>
      <c r="D375" s="17" t="s">
        <v>1673</v>
      </c>
      <c r="E375" s="26">
        <v>29269</v>
      </c>
      <c r="F375" s="9">
        <f t="shared" ca="1" si="40"/>
        <v>46</v>
      </c>
      <c r="G375" s="8">
        <v>43076</v>
      </c>
      <c r="H375" s="39" t="s">
        <v>275</v>
      </c>
      <c r="I375" s="60">
        <v>44703</v>
      </c>
      <c r="J375" s="580" t="s">
        <v>8</v>
      </c>
      <c r="K375" s="4" t="str">
        <f t="shared" si="41"/>
        <v>SI</v>
      </c>
      <c r="L375" s="7" t="str">
        <f t="shared" si="42"/>
        <v xml:space="preserve">N </v>
      </c>
      <c r="M375" s="7" t="str">
        <f t="shared" si="43"/>
        <v>RE</v>
      </c>
      <c r="N375" s="62" t="str">
        <f t="shared" si="44"/>
        <v>GI</v>
      </c>
      <c r="O375" s="8">
        <f t="shared" si="45"/>
        <v>45799</v>
      </c>
      <c r="P375" s="9" t="str">
        <f t="shared" ca="1" si="46"/>
        <v>ATRASADO</v>
      </c>
      <c r="Q375" s="12" t="s">
        <v>1556</v>
      </c>
      <c r="R375" s="9"/>
      <c r="S375" s="9" t="str">
        <f t="shared" si="47"/>
        <v/>
      </c>
    </row>
    <row r="376" spans="1:19" x14ac:dyDescent="0.3">
      <c r="A376" s="9">
        <v>372</v>
      </c>
      <c r="B376" s="2" t="s">
        <v>270</v>
      </c>
      <c r="C376" s="76" t="s">
        <v>1674</v>
      </c>
      <c r="D376" s="17" t="s">
        <v>1675</v>
      </c>
      <c r="E376" s="26">
        <v>35870</v>
      </c>
      <c r="F376" s="9">
        <f t="shared" ca="1" si="40"/>
        <v>28</v>
      </c>
      <c r="G376" s="8">
        <v>44081</v>
      </c>
      <c r="H376" s="39" t="s">
        <v>271</v>
      </c>
      <c r="I376" s="60">
        <v>44702</v>
      </c>
      <c r="J376" s="580" t="s">
        <v>8</v>
      </c>
      <c r="K376" s="4" t="str">
        <f t="shared" si="41"/>
        <v>SI</v>
      </c>
      <c r="L376" s="7" t="str">
        <f t="shared" si="42"/>
        <v xml:space="preserve">N </v>
      </c>
      <c r="M376" s="7" t="str">
        <f t="shared" si="43"/>
        <v>RE</v>
      </c>
      <c r="N376" s="62" t="str">
        <f t="shared" si="44"/>
        <v>GI</v>
      </c>
      <c r="O376" s="8">
        <f t="shared" si="45"/>
        <v>45798</v>
      </c>
      <c r="P376" s="9" t="str">
        <f t="shared" ca="1" si="46"/>
        <v>ATRASADO</v>
      </c>
      <c r="Q376" s="12" t="s">
        <v>1556</v>
      </c>
      <c r="R376" s="9"/>
      <c r="S376" s="9" t="str">
        <f t="shared" si="47"/>
        <v/>
      </c>
    </row>
    <row r="377" spans="1:19" x14ac:dyDescent="0.3">
      <c r="A377" s="9">
        <v>373</v>
      </c>
      <c r="B377" s="2" t="s">
        <v>45</v>
      </c>
      <c r="C377" s="76" t="s">
        <v>1676</v>
      </c>
      <c r="D377" s="17" t="s">
        <v>1677</v>
      </c>
      <c r="E377" s="26">
        <v>32626</v>
      </c>
      <c r="F377" s="9">
        <f t="shared" ca="1" si="40"/>
        <v>37</v>
      </c>
      <c r="G377" s="8">
        <v>43026</v>
      </c>
      <c r="H377" s="39" t="s">
        <v>8</v>
      </c>
      <c r="I377" s="60">
        <v>44705</v>
      </c>
      <c r="J377" s="580" t="s">
        <v>275</v>
      </c>
      <c r="K377" s="4" t="str">
        <f t="shared" si="41"/>
        <v>I</v>
      </c>
      <c r="L377" s="7" t="str">
        <f t="shared" si="42"/>
        <v>G8</v>
      </c>
      <c r="M377" s="7" t="str">
        <f t="shared" si="43"/>
        <v/>
      </c>
      <c r="N377" s="62" t="str">
        <f t="shared" si="44"/>
        <v/>
      </c>
      <c r="O377" s="8">
        <f t="shared" si="45"/>
        <v>45801</v>
      </c>
      <c r="P377" s="9" t="str">
        <f t="shared" ca="1" si="46"/>
        <v>ATRASADO</v>
      </c>
      <c r="Q377" s="12" t="s">
        <v>1556</v>
      </c>
      <c r="R377" s="9"/>
      <c r="S377" s="9" t="str">
        <f t="shared" si="47"/>
        <v/>
      </c>
    </row>
    <row r="378" spans="1:19" x14ac:dyDescent="0.3">
      <c r="A378" s="9">
        <v>374</v>
      </c>
      <c r="B378" s="2" t="s">
        <v>270</v>
      </c>
      <c r="C378" s="76" t="s">
        <v>1678</v>
      </c>
      <c r="D378" s="17" t="s">
        <v>1679</v>
      </c>
      <c r="E378" s="26">
        <v>33287</v>
      </c>
      <c r="F378" s="9">
        <f t="shared" ca="1" si="40"/>
        <v>35</v>
      </c>
      <c r="G378" s="8">
        <v>42957</v>
      </c>
      <c r="H378" s="39" t="s">
        <v>275</v>
      </c>
      <c r="I378" s="60">
        <v>44686</v>
      </c>
      <c r="J378" s="580" t="s">
        <v>340</v>
      </c>
      <c r="K378" s="4" t="str">
        <f t="shared" si="41"/>
        <v>I</v>
      </c>
      <c r="L378" s="7" t="str">
        <f t="shared" si="42"/>
        <v>G8</v>
      </c>
      <c r="M378" s="7" t="str">
        <f t="shared" si="43"/>
        <v>S</v>
      </c>
      <c r="N378" s="62" t="str">
        <f t="shared" si="44"/>
        <v/>
      </c>
      <c r="O378" s="8">
        <f t="shared" si="45"/>
        <v>45051</v>
      </c>
      <c r="P378" s="9" t="str">
        <f t="shared" ca="1" si="46"/>
        <v>ATRASADO</v>
      </c>
      <c r="Q378" s="12" t="s">
        <v>1556</v>
      </c>
      <c r="R378" s="9"/>
      <c r="S378" s="9" t="str">
        <f t="shared" si="47"/>
        <v/>
      </c>
    </row>
    <row r="379" spans="1:19" x14ac:dyDescent="0.3">
      <c r="A379" s="9">
        <v>375</v>
      </c>
      <c r="B379" s="2" t="s">
        <v>312</v>
      </c>
      <c r="C379" s="76" t="s">
        <v>1680</v>
      </c>
      <c r="D379" s="17" t="s">
        <v>1681</v>
      </c>
      <c r="E379" s="26">
        <v>29199</v>
      </c>
      <c r="F379" s="9">
        <f t="shared" ca="1" si="40"/>
        <v>46</v>
      </c>
      <c r="G379" s="8">
        <v>44015</v>
      </c>
      <c r="H379" s="39" t="s">
        <v>8</v>
      </c>
      <c r="I379" s="60">
        <v>44701</v>
      </c>
      <c r="J379" s="580" t="s">
        <v>8</v>
      </c>
      <c r="K379" s="4" t="str">
        <f t="shared" si="41"/>
        <v>SI</v>
      </c>
      <c r="L379" s="7" t="str">
        <f t="shared" si="42"/>
        <v xml:space="preserve">N </v>
      </c>
      <c r="M379" s="7" t="str">
        <f t="shared" si="43"/>
        <v>RE</v>
      </c>
      <c r="N379" s="62" t="str">
        <f t="shared" si="44"/>
        <v>GI</v>
      </c>
      <c r="O379" s="8">
        <f t="shared" si="45"/>
        <v>45797</v>
      </c>
      <c r="P379" s="9" t="str">
        <f t="shared" ca="1" si="46"/>
        <v>ATRASADO</v>
      </c>
      <c r="Q379" s="12" t="s">
        <v>1556</v>
      </c>
      <c r="R379" s="9"/>
      <c r="S379" s="9" t="str">
        <f t="shared" si="47"/>
        <v/>
      </c>
    </row>
    <row r="380" spans="1:19" x14ac:dyDescent="0.3">
      <c r="A380" s="9">
        <v>376</v>
      </c>
      <c r="B380" s="2" t="s">
        <v>45</v>
      </c>
      <c r="C380" s="76" t="s">
        <v>1682</v>
      </c>
      <c r="D380" s="17" t="s">
        <v>1683</v>
      </c>
      <c r="E380" s="26">
        <v>33970</v>
      </c>
      <c r="F380" s="9">
        <f t="shared" ca="1" si="40"/>
        <v>33</v>
      </c>
      <c r="G380" s="8">
        <v>43929</v>
      </c>
      <c r="H380" s="39" t="s">
        <v>275</v>
      </c>
      <c r="I380" s="60">
        <v>44704</v>
      </c>
      <c r="J380" s="580" t="s">
        <v>275</v>
      </c>
      <c r="K380" s="4" t="str">
        <f t="shared" si="41"/>
        <v>I</v>
      </c>
      <c r="L380" s="7" t="str">
        <f t="shared" si="42"/>
        <v>G8</v>
      </c>
      <c r="M380" s="7" t="str">
        <f t="shared" si="43"/>
        <v/>
      </c>
      <c r="N380" s="62" t="str">
        <f t="shared" si="44"/>
        <v/>
      </c>
      <c r="O380" s="8">
        <f t="shared" si="45"/>
        <v>45800</v>
      </c>
      <c r="P380" s="9" t="str">
        <f t="shared" ca="1" si="46"/>
        <v>ATRASADO</v>
      </c>
      <c r="Q380" s="12" t="s">
        <v>1556</v>
      </c>
      <c r="R380" s="9"/>
      <c r="S380" s="9" t="str">
        <f t="shared" si="47"/>
        <v/>
      </c>
    </row>
    <row r="381" spans="1:19" x14ac:dyDescent="0.3">
      <c r="A381" s="9">
        <v>377</v>
      </c>
      <c r="B381" s="2" t="s">
        <v>312</v>
      </c>
      <c r="C381" s="76" t="s">
        <v>1684</v>
      </c>
      <c r="D381" s="17" t="s">
        <v>1685</v>
      </c>
      <c r="E381" s="26">
        <v>31447</v>
      </c>
      <c r="F381" s="9">
        <f t="shared" ca="1" si="40"/>
        <v>40</v>
      </c>
      <c r="G381" s="8">
        <v>44349</v>
      </c>
      <c r="H381" s="39" t="s">
        <v>271</v>
      </c>
      <c r="I381" s="60">
        <v>44708</v>
      </c>
      <c r="J381" s="580" t="s">
        <v>271</v>
      </c>
      <c r="K381" s="4" t="str">
        <f t="shared" si="41"/>
        <v>I</v>
      </c>
      <c r="L381" s="7" t="str">
        <f t="shared" si="42"/>
        <v>G8</v>
      </c>
      <c r="M381" s="7" t="str">
        <f t="shared" si="43"/>
        <v>J1</v>
      </c>
      <c r="N381" s="62" t="str">
        <f t="shared" si="44"/>
        <v/>
      </c>
      <c r="O381" s="8">
        <f t="shared" si="45"/>
        <v>45804</v>
      </c>
      <c r="P381" s="9" t="str">
        <f t="shared" ca="1" si="46"/>
        <v>ATRASADO</v>
      </c>
      <c r="Q381" s="12" t="s">
        <v>1556</v>
      </c>
      <c r="R381" s="9"/>
      <c r="S381" s="9" t="str">
        <f t="shared" si="47"/>
        <v/>
      </c>
    </row>
    <row r="382" spans="1:19" x14ac:dyDescent="0.3">
      <c r="A382" s="9">
        <v>378</v>
      </c>
      <c r="B382" s="2" t="s">
        <v>270</v>
      </c>
      <c r="C382" s="76" t="s">
        <v>1686</v>
      </c>
      <c r="D382" s="17" t="s">
        <v>1687</v>
      </c>
      <c r="E382" s="26">
        <v>29965</v>
      </c>
      <c r="F382" s="9">
        <f t="shared" ca="1" si="40"/>
        <v>44</v>
      </c>
      <c r="G382" s="8">
        <v>43134</v>
      </c>
      <c r="H382" s="39" t="s">
        <v>275</v>
      </c>
      <c r="I382" s="60">
        <v>44705</v>
      </c>
      <c r="J382" s="580" t="s">
        <v>340</v>
      </c>
      <c r="K382" s="4" t="str">
        <f t="shared" si="41"/>
        <v>I</v>
      </c>
      <c r="L382" s="7" t="str">
        <f t="shared" si="42"/>
        <v>G8</v>
      </c>
      <c r="M382" s="7" t="str">
        <f t="shared" si="43"/>
        <v>S</v>
      </c>
      <c r="N382" s="62" t="str">
        <f t="shared" si="44"/>
        <v/>
      </c>
      <c r="O382" s="8">
        <f t="shared" si="45"/>
        <v>45070</v>
      </c>
      <c r="P382" s="9" t="str">
        <f t="shared" ca="1" si="46"/>
        <v>ATRASADO</v>
      </c>
      <c r="Q382" s="12" t="s">
        <v>1556</v>
      </c>
      <c r="R382" s="9"/>
      <c r="S382" s="9" t="str">
        <f t="shared" si="47"/>
        <v/>
      </c>
    </row>
    <row r="383" spans="1:19" x14ac:dyDescent="0.3">
      <c r="A383" s="9">
        <v>379</v>
      </c>
      <c r="B383" s="2" t="s">
        <v>270</v>
      </c>
      <c r="C383" s="76" t="s">
        <v>1688</v>
      </c>
      <c r="D383" s="17" t="s">
        <v>1689</v>
      </c>
      <c r="E383" s="26">
        <v>24705</v>
      </c>
      <c r="F383" s="9">
        <f t="shared" ca="1" si="40"/>
        <v>59</v>
      </c>
      <c r="G383" s="8">
        <v>43392</v>
      </c>
      <c r="H383" s="39" t="s">
        <v>275</v>
      </c>
      <c r="I383" s="60">
        <v>44706</v>
      </c>
      <c r="J383" s="580" t="s">
        <v>275</v>
      </c>
      <c r="K383" s="4" t="str">
        <f t="shared" si="41"/>
        <v>I</v>
      </c>
      <c r="L383" s="7" t="str">
        <f t="shared" si="42"/>
        <v>G8</v>
      </c>
      <c r="M383" s="7" t="str">
        <f t="shared" si="43"/>
        <v/>
      </c>
      <c r="N383" s="62" t="str">
        <f t="shared" si="44"/>
        <v/>
      </c>
      <c r="O383" s="8">
        <f t="shared" si="45"/>
        <v>45802</v>
      </c>
      <c r="P383" s="9" t="str">
        <f t="shared" ca="1" si="46"/>
        <v>ATRASADO</v>
      </c>
      <c r="Q383" s="12" t="s">
        <v>1556</v>
      </c>
      <c r="R383" s="9"/>
      <c r="S383" s="9" t="str">
        <f t="shared" si="47"/>
        <v/>
      </c>
    </row>
    <row r="384" spans="1:19" x14ac:dyDescent="0.3">
      <c r="A384" s="9">
        <v>380</v>
      </c>
      <c r="B384" s="2" t="s">
        <v>579</v>
      </c>
      <c r="C384" s="76" t="s">
        <v>1690</v>
      </c>
      <c r="D384" s="17" t="s">
        <v>1691</v>
      </c>
      <c r="E384" s="26">
        <v>28512</v>
      </c>
      <c r="F384" s="9">
        <f t="shared" ca="1" si="40"/>
        <v>48</v>
      </c>
      <c r="G384" s="8">
        <v>43472</v>
      </c>
      <c r="H384" s="39" t="s">
        <v>8</v>
      </c>
      <c r="I384" s="60">
        <v>44690</v>
      </c>
      <c r="J384" s="580" t="s">
        <v>271</v>
      </c>
      <c r="K384" s="4" t="str">
        <f t="shared" si="41"/>
        <v>I</v>
      </c>
      <c r="L384" s="7" t="str">
        <f t="shared" si="42"/>
        <v>G8</v>
      </c>
      <c r="M384" s="7" t="str">
        <f t="shared" si="43"/>
        <v>J1</v>
      </c>
      <c r="N384" s="62" t="str">
        <f t="shared" si="44"/>
        <v/>
      </c>
      <c r="O384" s="8">
        <f t="shared" si="45"/>
        <v>45786</v>
      </c>
      <c r="P384" s="9" t="str">
        <f t="shared" ca="1" si="46"/>
        <v>ATRASADO</v>
      </c>
      <c r="Q384" s="12" t="s">
        <v>1556</v>
      </c>
      <c r="R384" s="9"/>
      <c r="S384" s="9" t="str">
        <f t="shared" si="47"/>
        <v/>
      </c>
    </row>
    <row r="385" spans="1:19" x14ac:dyDescent="0.3">
      <c r="A385" s="9">
        <v>381</v>
      </c>
      <c r="B385" s="2" t="s">
        <v>270</v>
      </c>
      <c r="C385" s="76" t="s">
        <v>1692</v>
      </c>
      <c r="D385" s="17" t="s">
        <v>1693</v>
      </c>
      <c r="E385" s="26">
        <v>26981</v>
      </c>
      <c r="F385" s="9">
        <f t="shared" ca="1" si="40"/>
        <v>52</v>
      </c>
      <c r="G385" s="8">
        <v>43208</v>
      </c>
      <c r="H385" s="39" t="s">
        <v>271</v>
      </c>
      <c r="I385" s="60">
        <v>44695</v>
      </c>
      <c r="J385" s="580" t="s">
        <v>271</v>
      </c>
      <c r="K385" s="4" t="str">
        <f t="shared" si="41"/>
        <v>I</v>
      </c>
      <c r="L385" s="7" t="str">
        <f t="shared" si="42"/>
        <v>G8</v>
      </c>
      <c r="M385" s="7" t="str">
        <f t="shared" si="43"/>
        <v>J1</v>
      </c>
      <c r="N385" s="62" t="str">
        <f t="shared" si="44"/>
        <v/>
      </c>
      <c r="O385" s="8">
        <f t="shared" si="45"/>
        <v>45791</v>
      </c>
      <c r="P385" s="9" t="str">
        <f t="shared" ca="1" si="46"/>
        <v>ATRASADO</v>
      </c>
      <c r="Q385" s="12" t="s">
        <v>1556</v>
      </c>
      <c r="R385" s="9"/>
      <c r="S385" s="9" t="str">
        <f t="shared" si="47"/>
        <v/>
      </c>
    </row>
    <row r="386" spans="1:19" x14ac:dyDescent="0.3">
      <c r="A386" s="9">
        <v>382</v>
      </c>
      <c r="B386" s="2" t="s">
        <v>56</v>
      </c>
      <c r="C386" s="76" t="s">
        <v>1694</v>
      </c>
      <c r="D386" s="17" t="s">
        <v>1695</v>
      </c>
      <c r="E386" s="26">
        <v>20363</v>
      </c>
      <c r="F386" s="9">
        <f t="shared" ca="1" si="40"/>
        <v>71</v>
      </c>
      <c r="G386" s="8">
        <v>43860</v>
      </c>
      <c r="H386" s="40" t="s">
        <v>271</v>
      </c>
      <c r="I386" s="60">
        <v>44708</v>
      </c>
      <c r="J386" s="580" t="s">
        <v>271</v>
      </c>
      <c r="K386" s="4" t="str">
        <f t="shared" si="41"/>
        <v>I</v>
      </c>
      <c r="L386" s="7" t="str">
        <f t="shared" si="42"/>
        <v>G8</v>
      </c>
      <c r="M386" s="7" t="str">
        <f t="shared" si="43"/>
        <v>J1</v>
      </c>
      <c r="N386" s="62" t="str">
        <f t="shared" si="44"/>
        <v/>
      </c>
      <c r="O386" s="8">
        <f t="shared" si="45"/>
        <v>45804</v>
      </c>
      <c r="P386" s="9" t="str">
        <f t="shared" ca="1" si="46"/>
        <v>ATRASADO</v>
      </c>
      <c r="Q386" s="12" t="s">
        <v>1556</v>
      </c>
      <c r="R386" s="9"/>
      <c r="S386" s="9" t="str">
        <f t="shared" si="47"/>
        <v/>
      </c>
    </row>
    <row r="387" spans="1:19" x14ac:dyDescent="0.3">
      <c r="A387" s="9">
        <v>383</v>
      </c>
      <c r="B387" s="2" t="s">
        <v>312</v>
      </c>
      <c r="C387" s="76" t="s">
        <v>1696</v>
      </c>
      <c r="D387" s="17" t="s">
        <v>1697</v>
      </c>
      <c r="E387" s="26">
        <v>22350</v>
      </c>
      <c r="F387" s="9">
        <f t="shared" ca="1" si="40"/>
        <v>65</v>
      </c>
      <c r="G387" s="8">
        <v>42826</v>
      </c>
      <c r="H387" s="40" t="s">
        <v>275</v>
      </c>
      <c r="I387" s="60">
        <v>44702</v>
      </c>
      <c r="J387" s="580" t="s">
        <v>607</v>
      </c>
      <c r="K387" s="4" t="str">
        <f t="shared" si="41"/>
        <v>A1</v>
      </c>
      <c r="L387" s="7" t="str">
        <f t="shared" si="42"/>
        <v>J1</v>
      </c>
      <c r="M387" s="7" t="str">
        <f t="shared" si="43"/>
        <v>S</v>
      </c>
      <c r="N387" s="62" t="str">
        <f t="shared" si="44"/>
        <v/>
      </c>
      <c r="O387" s="8">
        <f t="shared" si="45"/>
        <v>45067</v>
      </c>
      <c r="P387" s="9" t="str">
        <f t="shared" ca="1" si="46"/>
        <v>ATRASADO</v>
      </c>
      <c r="Q387" s="12" t="s">
        <v>1556</v>
      </c>
      <c r="R387" s="9"/>
      <c r="S387" s="9" t="str">
        <f t="shared" si="47"/>
        <v>VPH</v>
      </c>
    </row>
    <row r="388" spans="1:19" x14ac:dyDescent="0.3">
      <c r="A388" s="9">
        <v>384</v>
      </c>
      <c r="B388" s="2" t="s">
        <v>56</v>
      </c>
      <c r="C388" s="76" t="s">
        <v>1698</v>
      </c>
      <c r="D388" s="17" t="s">
        <v>1699</v>
      </c>
      <c r="E388" s="26">
        <v>34608</v>
      </c>
      <c r="F388" s="9">
        <f t="shared" ca="1" si="40"/>
        <v>32</v>
      </c>
      <c r="G388" s="9" t="s">
        <v>8</v>
      </c>
      <c r="H388" s="40" t="s">
        <v>271</v>
      </c>
      <c r="I388" s="60">
        <v>44686</v>
      </c>
      <c r="J388" s="580" t="s">
        <v>275</v>
      </c>
      <c r="K388" s="4" t="str">
        <f t="shared" si="41"/>
        <v>I</v>
      </c>
      <c r="L388" s="7" t="str">
        <f t="shared" si="42"/>
        <v>G8</v>
      </c>
      <c r="M388" s="7" t="str">
        <f t="shared" si="43"/>
        <v/>
      </c>
      <c r="N388" s="62" t="str">
        <f t="shared" si="44"/>
        <v/>
      </c>
      <c r="O388" s="8">
        <f t="shared" si="45"/>
        <v>45782</v>
      </c>
      <c r="P388" s="9" t="str">
        <f t="shared" ca="1" si="46"/>
        <v>ATRASADO</v>
      </c>
      <c r="Q388" s="12" t="s">
        <v>1556</v>
      </c>
      <c r="R388" s="9"/>
      <c r="S388" s="9" t="str">
        <f t="shared" si="47"/>
        <v/>
      </c>
    </row>
    <row r="389" spans="1:19" x14ac:dyDescent="0.3">
      <c r="A389" s="9">
        <v>385</v>
      </c>
      <c r="B389" s="2" t="s">
        <v>312</v>
      </c>
      <c r="C389" s="76" t="s">
        <v>1700</v>
      </c>
      <c r="D389" s="17" t="s">
        <v>1701</v>
      </c>
      <c r="E389" s="26">
        <v>35972</v>
      </c>
      <c r="F389" s="9">
        <f t="shared" ref="F389:F452" ca="1" si="48">IF(E389="","",DATEDIF(E389,TODAY(),"Y"))</f>
        <v>28</v>
      </c>
      <c r="G389" s="8">
        <v>43906</v>
      </c>
      <c r="H389" s="40" t="s">
        <v>275</v>
      </c>
      <c r="I389" s="60">
        <v>44702</v>
      </c>
      <c r="J389" s="580" t="s">
        <v>275</v>
      </c>
      <c r="K389" s="4" t="str">
        <f t="shared" ref="K389:K452" si="49">IF(OR(LEFT(J389,2)="T1",LEFT(J389,2)="T2",LEFT(J389,2)="A1",LEFT(J389,2)="D0",LEFT(J389,2)="D1",LEFT(J389,2)="D2",LEFT(J389,2)="D3",LEFT(J389,2)="E1",LEFT(J389,2)="E2"),LEFT(J389,2),IF(OR(LEFT(J389,1)="A",LEFT(J389,1)="B",LEFT(J389,1)="C",LEFT(J389,1)="D",LEFT(J389,1)="I",LEFT(J389,1)="E",LEFT(J389,1)="K",LEFT(J389,1)="T"),LEFT(J389,1),LEFT(J389,2)))</f>
        <v>I</v>
      </c>
      <c r="L389" s="7" t="str">
        <f t="shared" ref="L389:L452" si="50">IF(AND(OR(LEFT(J389,2)="A1",LEFT(J389,2)="D0",LEFT(J389,2)="D1",LEFT(J389,2)="D2",LEFT(J389,2)="D3",LEFT(J389,2)="E1",LEFT(J389,2)="E2",LEFT(J389,2)="T1",LEFT(J389,2)="T2"),OR(MID(J389,3,1)="A",MID(J389,3,1)="B",MID(J389,3,1)="C",MID(J389,3,1)="D",MID(J389,3,1)="E",MID(J389,3,1)="I",MID(J389,3,1)="K",MID(J389,3,1)="T",MID(J389,3,1)="N",)),MID(J389,3,1),IF(OR(LEFT(J389,2)="A1",LEFT(J389,2)="D0",LEFT(J389,2)="D1",LEFT(J389,2)="D2",LEFT(J389,2)="D3",LEFT(J389,2)="E1",LEFT(J389,2)="E2",LEFT(J389,2)="T1",LEFT(J389,2)="T2"),MID(J389,3,2),IF(AND(OR(LEFT(J389,1)="A",LEFT(J389,1)="B",LEFT(J389,1)="C",LEFT(J389,1)="D",LEFT(J389,1)="E",LEFT(J389,1)="I",LEFT(J389,1)="K",LEFT(J389,1)="T",LEFT(J389,1)="N"),OR(MID(J389,2,1)="A",MID(J389,2,1)="B",MID(J389,2,1)="C",MID(J389,2,1)="D",MID(J389,2,1)="E",MID(J389,2,1)="I",MID(J389,2,1)="K",MID(J389,2,1)="T",MID(J389,2,1)="N")),MID(J389,2,2),IF(OR(LEFT(J389,1)="A",LEFT(J389,1)="B",LEFT(J389,1)="C",LEFT(J389,1)="D",LEFT(J389,1)="E",LEFT(J389,1)="I",LEFT(J389,1)="K",LEFT(J389,1)="T",LEFT(J389,1)="N"),MID(J389,2,2),MID(J389,3,2)))))</f>
        <v>G8</v>
      </c>
      <c r="M389" s="7" t="str">
        <f t="shared" ref="M389:M452" si="51">IF(AND(OR(LEFT(J389,2)="A1",LEFT(J389,2)="D0",LEFT(J389,2)="D1",LEFT(J389,2)="D2",LEFT(J389,2)="D3",LEFT(J389,2)="E1",LEFT(J389,2)="E2",LEFT(J389,2)="T1",LEFT(J389,2)="T2"),OR(MID(J389,3,1)="A",MID(J389,3,1)="B",MID(J389,3,1)="C",MID(J389,3,1)="D",MID(J389,3,1)="E",MID(J389,3,1)="I",MID(J389,3,1)="K",MID(J389,3,1)="T",MID(J389,3,1)="N",)),MID(J389,4,2),IF(OR(LEFT(J389,2)="A1",LEFT(J389,2)="D0",LEFT(J389,2)="D1",LEFT(J389,2)="D2",LEFT(J389,2)="D3",LEFT(J389,2)="E1",LEFT(J389,2)="E2",LEFT(J389,2)="T1",LEFT(J389,2)="T2"),MID(J389,5,2),IF(AND(OR(LEFT(J389,1)="A",LEFT(J389,1)="B",LEFT(J389,1)="C",LEFT(J389,1)="D",LEFT(J389,1)="E",LEFT(J389,1)="I",LEFT(J389,1)="K",LEFT(J389,1)="T",LEFT(J389,1)="N"),OR(MID(J389,2,1)="A",MID(J389,2,1)="B",MID(J389,2,1)="C",MID(J389,2,1)="D",MID(J389,2,1)="E",MID(J389,2,1)="I",MID(J389,2,1)="K",MID(J389,2,1)="T",MID(J389,2,1)="N")),MID(J389,3,2),IF(OR(LEFT(J389,1)="A",LEFT(J389,1)="B",LEFT(J389,1)="C",LEFT(J389,1)="D",LEFT(J389,1)="E",LEFT(J389,1)="I",LEFT(J389,1)="K",LEFT(J389,1)="T",LEFT(J389,1)="N"),MID(J389,4,2),MID(J389,5,2)))))</f>
        <v/>
      </c>
      <c r="N389" s="62" t="str">
        <f t="shared" ref="N389:N452" si="52">IF(AND(OR(LEFT(J389,1)="I",LEFT(J389,1)="T",LEFT(J389,1)="A",LEFT(J389,1)="B",LEFT(J389,1)="C",LEFT(J389,1)="D",LEFT(J389,1)="E"),OR(MID(J389,2,1)="I",MID(J389,2,1)="T",MID(J389,2,1)="A",MID(J389,2,1)="B",MID(J389,2,1)="C",MID(J389,2,1)="D",MID(J389,2,1)="E")),MID(J389,5,2),IF(OR(LEFT(J389,1)="I",LEFT(J389,1)="T",LEFT(J389,1)="A",LEFT(J389,1)="B",LEFT(J389,1)="C",LEFT(J389,1)="D",LEFT(J389,1)="E"),MID(J389,6,2),MID(J389,7,2)))</f>
        <v/>
      </c>
      <c r="O389" s="8">
        <f t="shared" ref="O389:O414" si="53">IF(I389="","",IF(OR(K389="S",L389="S",M389="S",N389="S",K389="G7",L389="G7",M389="G7",N389="G7",),DATE(YEAR(I389)+1,MONTH(I389),DAY(I389)),IF(OR(K389="O3",L389="O3",M389="O3",N389="O3",K389="ASCUS",L389="ASCUS",M389="ASCUS",N389="ASCUS"),DATE(YEAR(I389),MONTH(I389)+6,DAY(I389)),IF(OR(K389="O5",L389="O5",M389="O5",N389="O5"),DATE(YEAR(I389),MONTH(I389)+3,DAY(I389)),IF(OR(K389="T",L389="T",M389="T",N389="T"),DATE(YEAR(I389),MONTH(I389)+1,DAY(I389)+10),DATE(YEAR(I389)+3,MONTH(I389),DAY(I389)))))))</f>
        <v>45798</v>
      </c>
      <c r="P389" s="9" t="str">
        <f t="shared" ref="P389:P452" ca="1" si="54">IF(O389="","",IF(YEAR(O389)&gt;YEAR(TODAY()),"VIGENTE",IF(AND(YEAR(O389)&gt;=YEAR(TODAY()),MONTH(O389)&gt;=MONTH(TODAY())),"VIGENTE","ATRASADO")))</f>
        <v>ATRASADO</v>
      </c>
      <c r="Q389" s="12" t="s">
        <v>1556</v>
      </c>
      <c r="R389" s="9"/>
      <c r="S389" s="9" t="str">
        <f t="shared" si="47"/>
        <v/>
      </c>
    </row>
    <row r="390" spans="1:19" x14ac:dyDescent="0.3">
      <c r="A390" s="9">
        <v>386</v>
      </c>
      <c r="B390" s="2" t="s">
        <v>45</v>
      </c>
      <c r="C390" s="76" t="s">
        <v>1702</v>
      </c>
      <c r="D390" s="17" t="s">
        <v>1703</v>
      </c>
      <c r="E390" s="26">
        <v>32743</v>
      </c>
      <c r="F390" s="9">
        <f t="shared" ca="1" si="48"/>
        <v>37</v>
      </c>
      <c r="G390" s="9" t="s">
        <v>8</v>
      </c>
      <c r="H390" s="40" t="s">
        <v>271</v>
      </c>
      <c r="I390" s="60">
        <v>44709</v>
      </c>
      <c r="J390" s="580" t="s">
        <v>271</v>
      </c>
      <c r="K390" s="4" t="str">
        <f t="shared" si="49"/>
        <v>I</v>
      </c>
      <c r="L390" s="7" t="str">
        <f t="shared" si="50"/>
        <v>G8</v>
      </c>
      <c r="M390" s="7" t="str">
        <f t="shared" si="51"/>
        <v>J1</v>
      </c>
      <c r="N390" s="62" t="str">
        <f t="shared" si="52"/>
        <v/>
      </c>
      <c r="O390" s="8">
        <f t="shared" si="53"/>
        <v>45805</v>
      </c>
      <c r="P390" s="9" t="str">
        <f t="shared" ca="1" si="54"/>
        <v>ATRASADO</v>
      </c>
      <c r="Q390" s="12" t="s">
        <v>1556</v>
      </c>
      <c r="R390" s="9"/>
      <c r="S390" s="9" t="str">
        <f t="shared" ref="S390:S453" si="55">IF(OR(K390="T1",L390="T1",M390="T1",N390="T1",),"LESION SOSPECHOSA A UPC",IF(OR(K390="T2",L390="T2",M390="T2",N390="T2",),"DERIVAR A UPC POR SEGUNDO ATIPICO",IF(OR(K390="J2",L390="J2",M390="J2",N390="J2",),"TRICOMONAS",IF(OR(K390="J3",L390="J3",M390="J3",N390="J3",),"HERPES SIMPLEX",IF(OR(K390="J5",L390="J5",M390="J5",N390="J5",),"CANDIDA",IF(OR(K390="J6",L390="J6",M390="J6",N390="J6",),"ACTINOMYCES",IF(OR(K390="A1",L390="A1",M390="A1",N390="A1",),"VPH",IF(OR(K390="ASC-H",L390="ASC-H",M390="ASC-H",K390="H2",K390="H3",K390="H4",N390="ASC-H",K390="AGUS",L390="AGUS",L390="H2",L390="H3",L390="H4",M390="AGUS",M390="H2",M390="H3",M390="H4",N390="AGUS",N390="H2",N390="H3",N390="H4"),"MANDAR A UPC / COLPOSCOPIA",IF(OR(K390="A",K390="B",K390="C",K390="D",K390="D0",K390="D1",K390="D2",K390="D3",K390="E",K390="E1",K390="E2",K390="K",K390="T",L390="A",L390="B",L390="C",L390="D",L390="D0",L390="D1",L390="D2",L390="D3",L390="E",L390="E1",L390="E2",L390="K",L390="T",M390="A",M390="B",M390="C",M390="D",M390="D0",M390="D1",M390="D2",M390="D3",M390="E",M390="E1",M390="E2",M390="K",M390="T",N390="A",N390="B",N390="C",N390="D",N390="D0",N390="D1",K390="D2",N390="D2",N390="D3",N390="E",N390="E1",N390="E2",N390="K",N390="T",),"CITAR A UPC","")))))))))</f>
        <v/>
      </c>
    </row>
    <row r="391" spans="1:19" x14ac:dyDescent="0.3">
      <c r="A391" s="9">
        <v>387</v>
      </c>
      <c r="B391" s="2" t="s">
        <v>111</v>
      </c>
      <c r="C391" s="76" t="s">
        <v>1704</v>
      </c>
      <c r="D391" s="17" t="s">
        <v>1705</v>
      </c>
      <c r="E391" s="26">
        <v>24552</v>
      </c>
      <c r="F391" s="9">
        <f t="shared" ca="1" si="48"/>
        <v>59</v>
      </c>
      <c r="G391" s="8">
        <v>43457</v>
      </c>
      <c r="H391" s="40" t="s">
        <v>271</v>
      </c>
      <c r="I391" s="60">
        <v>44691</v>
      </c>
      <c r="J391" s="580" t="s">
        <v>271</v>
      </c>
      <c r="K391" s="4" t="str">
        <f t="shared" si="49"/>
        <v>I</v>
      </c>
      <c r="L391" s="7" t="str">
        <f t="shared" si="50"/>
        <v>G8</v>
      </c>
      <c r="M391" s="7" t="str">
        <f t="shared" si="51"/>
        <v>J1</v>
      </c>
      <c r="N391" s="62" t="str">
        <f t="shared" si="52"/>
        <v/>
      </c>
      <c r="O391" s="8">
        <f t="shared" si="53"/>
        <v>45787</v>
      </c>
      <c r="P391" s="9" t="str">
        <f t="shared" ca="1" si="54"/>
        <v>ATRASADO</v>
      </c>
      <c r="Q391" s="12" t="s">
        <v>1556</v>
      </c>
      <c r="R391" s="9"/>
      <c r="S391" s="9" t="str">
        <f t="shared" si="55"/>
        <v/>
      </c>
    </row>
    <row r="392" spans="1:19" x14ac:dyDescent="0.3">
      <c r="A392" s="9">
        <v>388</v>
      </c>
      <c r="B392" s="73" t="s">
        <v>45</v>
      </c>
      <c r="C392" s="76" t="s">
        <v>1706</v>
      </c>
      <c r="D392" s="17" t="s">
        <v>1707</v>
      </c>
      <c r="E392" s="26">
        <v>28506</v>
      </c>
      <c r="F392" s="9">
        <f t="shared" ca="1" si="48"/>
        <v>48</v>
      </c>
      <c r="G392" s="8">
        <v>43982</v>
      </c>
      <c r="H392" s="41" t="s">
        <v>594</v>
      </c>
      <c r="I392" s="60">
        <v>44687</v>
      </c>
      <c r="J392" s="580" t="s">
        <v>8</v>
      </c>
      <c r="K392" s="4" t="str">
        <f t="shared" si="49"/>
        <v>SI</v>
      </c>
      <c r="L392" s="7" t="str">
        <f t="shared" si="50"/>
        <v xml:space="preserve">N </v>
      </c>
      <c r="M392" s="7" t="str">
        <f t="shared" si="51"/>
        <v>RE</v>
      </c>
      <c r="N392" s="62" t="str">
        <f t="shared" si="52"/>
        <v>GI</v>
      </c>
      <c r="O392" s="8">
        <f t="shared" si="53"/>
        <v>45783</v>
      </c>
      <c r="P392" s="9" t="str">
        <f t="shared" ca="1" si="54"/>
        <v>ATRASADO</v>
      </c>
      <c r="Q392" s="12" t="s">
        <v>1556</v>
      </c>
      <c r="R392" s="9"/>
      <c r="S392" s="9" t="str">
        <f t="shared" si="55"/>
        <v/>
      </c>
    </row>
    <row r="393" spans="1:19" x14ac:dyDescent="0.3">
      <c r="A393" s="9">
        <v>389</v>
      </c>
      <c r="B393" s="73" t="s">
        <v>45</v>
      </c>
      <c r="C393" s="76" t="s">
        <v>1708</v>
      </c>
      <c r="D393" s="17" t="s">
        <v>1709</v>
      </c>
      <c r="E393" s="26">
        <v>33368</v>
      </c>
      <c r="F393" s="9">
        <f t="shared" ca="1" si="48"/>
        <v>35</v>
      </c>
      <c r="G393" s="8">
        <v>43550</v>
      </c>
      <c r="H393" s="41" t="s">
        <v>271</v>
      </c>
      <c r="I393" s="60">
        <v>44711</v>
      </c>
      <c r="J393" s="580" t="s">
        <v>8</v>
      </c>
      <c r="K393" s="4" t="str">
        <f t="shared" si="49"/>
        <v>SI</v>
      </c>
      <c r="L393" s="7" t="str">
        <f t="shared" si="50"/>
        <v xml:space="preserve">N </v>
      </c>
      <c r="M393" s="7" t="str">
        <f t="shared" si="51"/>
        <v>RE</v>
      </c>
      <c r="N393" s="62" t="str">
        <f t="shared" si="52"/>
        <v>GI</v>
      </c>
      <c r="O393" s="8">
        <f t="shared" si="53"/>
        <v>45807</v>
      </c>
      <c r="P393" s="9" t="str">
        <f t="shared" ca="1" si="54"/>
        <v>ATRASADO</v>
      </c>
      <c r="Q393" s="12" t="s">
        <v>1556</v>
      </c>
      <c r="R393" s="9"/>
      <c r="S393" s="9" t="str">
        <f t="shared" si="55"/>
        <v/>
      </c>
    </row>
    <row r="394" spans="1:19" x14ac:dyDescent="0.3">
      <c r="A394" s="9">
        <v>390</v>
      </c>
      <c r="B394" s="73" t="s">
        <v>45</v>
      </c>
      <c r="C394" s="76" t="s">
        <v>1710</v>
      </c>
      <c r="D394" s="17" t="s">
        <v>1711</v>
      </c>
      <c r="E394" s="26">
        <v>22541</v>
      </c>
      <c r="F394" s="9">
        <f t="shared" ca="1" si="48"/>
        <v>65</v>
      </c>
      <c r="G394" s="8">
        <v>43254</v>
      </c>
      <c r="H394" s="41" t="s">
        <v>4280</v>
      </c>
      <c r="I394" s="60">
        <v>44692</v>
      </c>
      <c r="J394" s="580" t="s">
        <v>8</v>
      </c>
      <c r="K394" s="4" t="str">
        <f t="shared" si="49"/>
        <v>SI</v>
      </c>
      <c r="L394" s="7" t="str">
        <f t="shared" si="50"/>
        <v xml:space="preserve">N </v>
      </c>
      <c r="M394" s="7" t="str">
        <f t="shared" si="51"/>
        <v>RE</v>
      </c>
      <c r="N394" s="62" t="str">
        <f t="shared" si="52"/>
        <v>GI</v>
      </c>
      <c r="O394" s="8">
        <f t="shared" si="53"/>
        <v>45788</v>
      </c>
      <c r="P394" s="9" t="str">
        <f t="shared" ca="1" si="54"/>
        <v>ATRASADO</v>
      </c>
      <c r="Q394" s="12" t="s">
        <v>1556</v>
      </c>
      <c r="R394" s="65"/>
      <c r="S394" s="9" t="str">
        <f t="shared" si="55"/>
        <v/>
      </c>
    </row>
    <row r="395" spans="1:19" x14ac:dyDescent="0.3">
      <c r="A395" s="9">
        <v>391</v>
      </c>
      <c r="B395" s="73" t="s">
        <v>45</v>
      </c>
      <c r="C395" s="76" t="s">
        <v>1712</v>
      </c>
      <c r="D395" s="17" t="s">
        <v>1713</v>
      </c>
      <c r="E395" s="26">
        <v>24246</v>
      </c>
      <c r="F395" s="9">
        <f t="shared" ca="1" si="48"/>
        <v>60</v>
      </c>
      <c r="G395" s="8">
        <v>43019</v>
      </c>
      <c r="H395" s="41" t="s">
        <v>275</v>
      </c>
      <c r="I395" s="60">
        <v>44703</v>
      </c>
      <c r="J395" s="580" t="s">
        <v>275</v>
      </c>
      <c r="K395" s="4" t="str">
        <f t="shared" si="49"/>
        <v>I</v>
      </c>
      <c r="L395" s="7" t="str">
        <f t="shared" si="50"/>
        <v>G8</v>
      </c>
      <c r="M395" s="7" t="str">
        <f t="shared" si="51"/>
        <v/>
      </c>
      <c r="N395" s="62" t="str">
        <f t="shared" si="52"/>
        <v/>
      </c>
      <c r="O395" s="8">
        <f t="shared" si="53"/>
        <v>45799</v>
      </c>
      <c r="P395" s="9" t="str">
        <f t="shared" ca="1" si="54"/>
        <v>ATRASADO</v>
      </c>
      <c r="Q395" s="12" t="s">
        <v>1556</v>
      </c>
      <c r="R395" s="9"/>
      <c r="S395" s="9" t="str">
        <f t="shared" si="55"/>
        <v/>
      </c>
    </row>
    <row r="396" spans="1:19" x14ac:dyDescent="0.3">
      <c r="A396" s="9">
        <v>392</v>
      </c>
      <c r="B396" s="73" t="s">
        <v>45</v>
      </c>
      <c r="C396" s="76" t="s">
        <v>1714</v>
      </c>
      <c r="D396" s="17" t="s">
        <v>1715</v>
      </c>
      <c r="E396" s="26">
        <v>27383</v>
      </c>
      <c r="F396" s="9">
        <f t="shared" ca="1" si="48"/>
        <v>51</v>
      </c>
      <c r="G396" s="8">
        <v>43578</v>
      </c>
      <c r="H396" s="41" t="s">
        <v>275</v>
      </c>
      <c r="I396" s="60">
        <v>44699</v>
      </c>
      <c r="J396" s="580" t="s">
        <v>271</v>
      </c>
      <c r="K396" s="4" t="str">
        <f t="shared" si="49"/>
        <v>I</v>
      </c>
      <c r="L396" s="7" t="str">
        <f t="shared" si="50"/>
        <v>G8</v>
      </c>
      <c r="M396" s="7" t="str">
        <f t="shared" si="51"/>
        <v>J1</v>
      </c>
      <c r="N396" s="62" t="str">
        <f t="shared" si="52"/>
        <v/>
      </c>
      <c r="O396" s="8">
        <f t="shared" si="53"/>
        <v>45795</v>
      </c>
      <c r="P396" s="9" t="str">
        <f t="shared" ca="1" si="54"/>
        <v>ATRASADO</v>
      </c>
      <c r="Q396" s="12" t="s">
        <v>1556</v>
      </c>
      <c r="R396" s="9"/>
      <c r="S396" s="9" t="str">
        <f t="shared" si="55"/>
        <v/>
      </c>
    </row>
    <row r="397" spans="1:19" x14ac:dyDescent="0.3">
      <c r="A397" s="9">
        <v>393</v>
      </c>
      <c r="B397" s="73" t="s">
        <v>45</v>
      </c>
      <c r="C397" s="76" t="s">
        <v>1716</v>
      </c>
      <c r="D397" s="17" t="s">
        <v>1717</v>
      </c>
      <c r="E397" s="26">
        <v>23045</v>
      </c>
      <c r="F397" s="9">
        <f t="shared" ca="1" si="48"/>
        <v>63</v>
      </c>
      <c r="G397" s="8">
        <v>42990</v>
      </c>
      <c r="H397" s="42" t="s">
        <v>8</v>
      </c>
      <c r="I397" s="60">
        <v>44688</v>
      </c>
      <c r="J397" s="580" t="s">
        <v>340</v>
      </c>
      <c r="K397" s="4" t="str">
        <f t="shared" si="49"/>
        <v>I</v>
      </c>
      <c r="L397" s="7" t="str">
        <f t="shared" si="50"/>
        <v>G8</v>
      </c>
      <c r="M397" s="7" t="str">
        <f t="shared" si="51"/>
        <v>S</v>
      </c>
      <c r="N397" s="62" t="str">
        <f t="shared" si="52"/>
        <v/>
      </c>
      <c r="O397" s="8">
        <f t="shared" si="53"/>
        <v>45053</v>
      </c>
      <c r="P397" s="9" t="str">
        <f t="shared" ca="1" si="54"/>
        <v>ATRASADO</v>
      </c>
      <c r="Q397" s="12" t="s">
        <v>1556</v>
      </c>
      <c r="R397" s="9"/>
      <c r="S397" s="9" t="str">
        <f t="shared" si="55"/>
        <v/>
      </c>
    </row>
    <row r="398" spans="1:19" x14ac:dyDescent="0.3">
      <c r="A398" s="9">
        <v>394</v>
      </c>
      <c r="B398" s="73" t="s">
        <v>45</v>
      </c>
      <c r="C398" s="76" t="s">
        <v>1718</v>
      </c>
      <c r="D398" s="17" t="s">
        <v>1719</v>
      </c>
      <c r="E398" s="26">
        <v>22517</v>
      </c>
      <c r="F398" s="9">
        <f t="shared" ca="1" si="48"/>
        <v>65</v>
      </c>
      <c r="G398" s="8">
        <v>42847</v>
      </c>
      <c r="H398" s="42" t="s">
        <v>275</v>
      </c>
      <c r="I398" s="60">
        <v>44682</v>
      </c>
      <c r="J398" s="580" t="s">
        <v>275</v>
      </c>
      <c r="K398" s="4" t="str">
        <f t="shared" si="49"/>
        <v>I</v>
      </c>
      <c r="L398" s="7" t="str">
        <f t="shared" si="50"/>
        <v>G8</v>
      </c>
      <c r="M398" s="7" t="str">
        <f t="shared" si="51"/>
        <v/>
      </c>
      <c r="N398" s="62" t="str">
        <f t="shared" si="52"/>
        <v/>
      </c>
      <c r="O398" s="8">
        <f t="shared" si="53"/>
        <v>45778</v>
      </c>
      <c r="P398" s="9" t="str">
        <f t="shared" ca="1" si="54"/>
        <v>ATRASADO</v>
      </c>
      <c r="Q398" s="12" t="s">
        <v>1556</v>
      </c>
      <c r="R398" s="9"/>
      <c r="S398" s="9" t="str">
        <f t="shared" si="55"/>
        <v/>
      </c>
    </row>
    <row r="399" spans="1:19" x14ac:dyDescent="0.3">
      <c r="A399" s="9">
        <v>395</v>
      </c>
      <c r="B399" s="73" t="s">
        <v>45</v>
      </c>
      <c r="C399" s="76" t="s">
        <v>1720</v>
      </c>
      <c r="D399" s="17" t="s">
        <v>1721</v>
      </c>
      <c r="E399" s="26">
        <v>21319</v>
      </c>
      <c r="F399" s="9">
        <f t="shared" ca="1" si="48"/>
        <v>68</v>
      </c>
      <c r="G399" s="8">
        <v>43427</v>
      </c>
      <c r="H399" s="42" t="s">
        <v>275</v>
      </c>
      <c r="I399" s="60">
        <v>44712</v>
      </c>
      <c r="J399" s="580" t="s">
        <v>271</v>
      </c>
      <c r="K399" s="4" t="str">
        <f t="shared" si="49"/>
        <v>I</v>
      </c>
      <c r="L399" s="7" t="str">
        <f t="shared" si="50"/>
        <v>G8</v>
      </c>
      <c r="M399" s="7" t="str">
        <f t="shared" si="51"/>
        <v>J1</v>
      </c>
      <c r="N399" s="62" t="str">
        <f t="shared" si="52"/>
        <v/>
      </c>
      <c r="O399" s="8">
        <f t="shared" si="53"/>
        <v>45808</v>
      </c>
      <c r="P399" s="9" t="str">
        <f t="shared" ca="1" si="54"/>
        <v>ATRASADO</v>
      </c>
      <c r="Q399" s="12" t="s">
        <v>1556</v>
      </c>
      <c r="R399" s="65"/>
      <c r="S399" s="9" t="str">
        <f t="shared" si="55"/>
        <v/>
      </c>
    </row>
    <row r="400" spans="1:19" x14ac:dyDescent="0.3">
      <c r="A400" s="9">
        <v>396</v>
      </c>
      <c r="B400" s="73" t="s">
        <v>45</v>
      </c>
      <c r="C400" s="76" t="s">
        <v>1722</v>
      </c>
      <c r="D400" s="17" t="s">
        <v>1723</v>
      </c>
      <c r="E400" s="26">
        <v>22235</v>
      </c>
      <c r="F400" s="9">
        <f t="shared" ca="1" si="48"/>
        <v>65</v>
      </c>
      <c r="G400" s="8">
        <v>44102</v>
      </c>
      <c r="H400" s="42" t="s">
        <v>271</v>
      </c>
      <c r="I400" s="60">
        <v>44696</v>
      </c>
      <c r="J400" s="580" t="s">
        <v>271</v>
      </c>
      <c r="K400" s="4" t="str">
        <f t="shared" si="49"/>
        <v>I</v>
      </c>
      <c r="L400" s="7" t="str">
        <f t="shared" si="50"/>
        <v>G8</v>
      </c>
      <c r="M400" s="7" t="str">
        <f t="shared" si="51"/>
        <v>J1</v>
      </c>
      <c r="N400" s="62" t="str">
        <f t="shared" si="52"/>
        <v/>
      </c>
      <c r="O400" s="8">
        <f t="shared" si="53"/>
        <v>45792</v>
      </c>
      <c r="P400" s="9" t="str">
        <f t="shared" ca="1" si="54"/>
        <v>ATRASADO</v>
      </c>
      <c r="Q400" s="12" t="s">
        <v>1556</v>
      </c>
      <c r="R400" s="9"/>
      <c r="S400" s="9" t="str">
        <f t="shared" si="55"/>
        <v/>
      </c>
    </row>
    <row r="401" spans="1:19" x14ac:dyDescent="0.3">
      <c r="A401" s="9">
        <v>397</v>
      </c>
      <c r="B401" s="73" t="s">
        <v>45</v>
      </c>
      <c r="C401" s="76" t="s">
        <v>1724</v>
      </c>
      <c r="D401" s="17" t="s">
        <v>1725</v>
      </c>
      <c r="E401" s="26">
        <v>35757</v>
      </c>
      <c r="F401" s="9">
        <f t="shared" ca="1" si="48"/>
        <v>28</v>
      </c>
      <c r="G401" s="8">
        <v>43313</v>
      </c>
      <c r="H401" s="33" t="s">
        <v>271</v>
      </c>
      <c r="I401" s="60">
        <v>44684</v>
      </c>
      <c r="J401" s="580" t="s">
        <v>8</v>
      </c>
      <c r="K401" s="4" t="str">
        <f t="shared" si="49"/>
        <v>SI</v>
      </c>
      <c r="L401" s="7" t="str">
        <f t="shared" si="50"/>
        <v xml:space="preserve">N </v>
      </c>
      <c r="M401" s="7" t="str">
        <f t="shared" si="51"/>
        <v>RE</v>
      </c>
      <c r="N401" s="62" t="str">
        <f t="shared" si="52"/>
        <v>GI</v>
      </c>
      <c r="O401" s="8">
        <f t="shared" si="53"/>
        <v>45780</v>
      </c>
      <c r="P401" s="9" t="str">
        <f t="shared" ca="1" si="54"/>
        <v>ATRASADO</v>
      </c>
      <c r="Q401" s="12" t="s">
        <v>1556</v>
      </c>
      <c r="R401" s="9"/>
      <c r="S401" s="9" t="str">
        <f t="shared" si="55"/>
        <v/>
      </c>
    </row>
    <row r="402" spans="1:19" x14ac:dyDescent="0.3">
      <c r="A402" s="9">
        <v>398</v>
      </c>
      <c r="B402" s="73" t="s">
        <v>45</v>
      </c>
      <c r="C402" s="76" t="s">
        <v>1726</v>
      </c>
      <c r="D402" s="17" t="s">
        <v>1727</v>
      </c>
      <c r="E402" s="26">
        <v>26563</v>
      </c>
      <c r="F402" s="9">
        <f t="shared" ca="1" si="48"/>
        <v>54</v>
      </c>
      <c r="G402" s="8">
        <v>43467</v>
      </c>
      <c r="H402" s="33" t="s">
        <v>271</v>
      </c>
      <c r="I402" s="60">
        <v>44700</v>
      </c>
      <c r="J402" s="580" t="s">
        <v>327</v>
      </c>
      <c r="K402" s="4" t="str">
        <f t="shared" si="49"/>
        <v>I</v>
      </c>
      <c r="L402" s="7" t="str">
        <f t="shared" si="50"/>
        <v>G7</v>
      </c>
      <c r="M402" s="7" t="str">
        <f t="shared" si="51"/>
        <v>S</v>
      </c>
      <c r="N402" s="62" t="str">
        <f t="shared" si="52"/>
        <v/>
      </c>
      <c r="O402" s="8">
        <f t="shared" si="53"/>
        <v>45065</v>
      </c>
      <c r="P402" s="9" t="str">
        <f t="shared" ca="1" si="54"/>
        <v>ATRASADO</v>
      </c>
      <c r="Q402" s="12" t="s">
        <v>1556</v>
      </c>
      <c r="R402" s="9"/>
      <c r="S402" s="9" t="str">
        <f t="shared" si="55"/>
        <v/>
      </c>
    </row>
    <row r="403" spans="1:19" x14ac:dyDescent="0.3">
      <c r="A403" s="9">
        <v>399</v>
      </c>
      <c r="B403" s="73" t="s">
        <v>45</v>
      </c>
      <c r="C403" s="76" t="s">
        <v>1728</v>
      </c>
      <c r="D403" s="17" t="s">
        <v>1729</v>
      </c>
      <c r="E403" s="26">
        <v>26109</v>
      </c>
      <c r="F403" s="9">
        <f t="shared" ca="1" si="48"/>
        <v>55</v>
      </c>
      <c r="G403" s="25">
        <v>44054</v>
      </c>
      <c r="H403" s="33" t="s">
        <v>8</v>
      </c>
      <c r="I403" s="60">
        <v>44710</v>
      </c>
      <c r="J403" s="580" t="s">
        <v>8</v>
      </c>
      <c r="K403" s="4" t="str">
        <f t="shared" si="49"/>
        <v>SI</v>
      </c>
      <c r="L403" s="7" t="str">
        <f t="shared" si="50"/>
        <v xml:space="preserve">N </v>
      </c>
      <c r="M403" s="7" t="str">
        <f t="shared" si="51"/>
        <v>RE</v>
      </c>
      <c r="N403" s="62" t="str">
        <f t="shared" si="52"/>
        <v>GI</v>
      </c>
      <c r="O403" s="8">
        <f t="shared" si="53"/>
        <v>45806</v>
      </c>
      <c r="P403" s="9" t="str">
        <f t="shared" ca="1" si="54"/>
        <v>ATRASADO</v>
      </c>
      <c r="Q403" s="12" t="s">
        <v>1556</v>
      </c>
      <c r="R403" s="9"/>
      <c r="S403" s="9" t="str">
        <f t="shared" si="55"/>
        <v/>
      </c>
    </row>
    <row r="404" spans="1:19" x14ac:dyDescent="0.3">
      <c r="A404" s="9">
        <v>400</v>
      </c>
      <c r="B404" s="73" t="s">
        <v>45</v>
      </c>
      <c r="C404" s="76" t="s">
        <v>1730</v>
      </c>
      <c r="D404" s="17" t="s">
        <v>1731</v>
      </c>
      <c r="E404" s="26">
        <v>25859</v>
      </c>
      <c r="F404" s="9">
        <f t="shared" ca="1" si="48"/>
        <v>55</v>
      </c>
      <c r="G404" s="8">
        <v>43706</v>
      </c>
      <c r="H404" s="31" t="s">
        <v>275</v>
      </c>
      <c r="I404" s="60">
        <v>44708</v>
      </c>
      <c r="J404" s="580" t="s">
        <v>275</v>
      </c>
      <c r="K404" s="4" t="str">
        <f t="shared" si="49"/>
        <v>I</v>
      </c>
      <c r="L404" s="7" t="str">
        <f t="shared" si="50"/>
        <v>G8</v>
      </c>
      <c r="M404" s="7" t="str">
        <f t="shared" si="51"/>
        <v/>
      </c>
      <c r="N404" s="62" t="str">
        <f t="shared" si="52"/>
        <v/>
      </c>
      <c r="O404" s="8">
        <f t="shared" si="53"/>
        <v>45804</v>
      </c>
      <c r="P404" s="9" t="str">
        <f t="shared" ca="1" si="54"/>
        <v>ATRASADO</v>
      </c>
      <c r="Q404" s="12" t="s">
        <v>1556</v>
      </c>
      <c r="R404" s="64"/>
      <c r="S404" s="9" t="str">
        <f t="shared" si="55"/>
        <v/>
      </c>
    </row>
    <row r="405" spans="1:19" x14ac:dyDescent="0.3">
      <c r="A405" s="9">
        <v>401</v>
      </c>
      <c r="B405" s="73" t="s">
        <v>45</v>
      </c>
      <c r="C405" s="76" t="s">
        <v>1732</v>
      </c>
      <c r="D405" s="17" t="s">
        <v>1733</v>
      </c>
      <c r="E405" s="26">
        <v>26070</v>
      </c>
      <c r="F405" s="9">
        <f t="shared" ca="1" si="48"/>
        <v>55</v>
      </c>
      <c r="G405" s="8">
        <v>43169</v>
      </c>
      <c r="H405" s="43" t="s">
        <v>340</v>
      </c>
      <c r="I405" s="60">
        <v>44694</v>
      </c>
      <c r="J405" s="580" t="s">
        <v>327</v>
      </c>
      <c r="K405" s="4" t="str">
        <f t="shared" si="49"/>
        <v>I</v>
      </c>
      <c r="L405" s="7" t="str">
        <f t="shared" si="50"/>
        <v>G7</v>
      </c>
      <c r="M405" s="7" t="str">
        <f t="shared" si="51"/>
        <v>S</v>
      </c>
      <c r="N405" s="62" t="str">
        <f t="shared" si="52"/>
        <v/>
      </c>
      <c r="O405" s="8">
        <f t="shared" si="53"/>
        <v>45059</v>
      </c>
      <c r="P405" s="9" t="str">
        <f t="shared" ca="1" si="54"/>
        <v>ATRASADO</v>
      </c>
      <c r="Q405" s="12" t="s">
        <v>1556</v>
      </c>
      <c r="R405" s="9"/>
      <c r="S405" s="9" t="str">
        <f t="shared" si="55"/>
        <v/>
      </c>
    </row>
    <row r="406" spans="1:19" x14ac:dyDescent="0.3">
      <c r="A406" s="9">
        <v>402</v>
      </c>
      <c r="B406" s="73" t="s">
        <v>45</v>
      </c>
      <c r="C406" s="76" t="s">
        <v>1734</v>
      </c>
      <c r="D406" s="17" t="s">
        <v>1735</v>
      </c>
      <c r="E406" s="26">
        <v>33607</v>
      </c>
      <c r="F406" s="9">
        <f t="shared" ca="1" si="48"/>
        <v>34</v>
      </c>
      <c r="G406" s="31" t="s">
        <v>8</v>
      </c>
      <c r="H406" s="31" t="s">
        <v>8</v>
      </c>
      <c r="I406" s="60">
        <v>44709</v>
      </c>
      <c r="J406" s="580" t="s">
        <v>275</v>
      </c>
      <c r="K406" s="4" t="str">
        <f t="shared" si="49"/>
        <v>I</v>
      </c>
      <c r="L406" s="7" t="str">
        <f t="shared" si="50"/>
        <v>G8</v>
      </c>
      <c r="M406" s="7" t="str">
        <f t="shared" si="51"/>
        <v/>
      </c>
      <c r="N406" s="62" t="str">
        <f t="shared" si="52"/>
        <v/>
      </c>
      <c r="O406" s="8">
        <f t="shared" si="53"/>
        <v>45805</v>
      </c>
      <c r="P406" s="9" t="str">
        <f t="shared" ca="1" si="54"/>
        <v>ATRASADO</v>
      </c>
      <c r="Q406" s="12" t="s">
        <v>1556</v>
      </c>
      <c r="R406" s="9"/>
      <c r="S406" s="9" t="str">
        <f t="shared" si="55"/>
        <v/>
      </c>
    </row>
    <row r="407" spans="1:19" x14ac:dyDescent="0.3">
      <c r="A407" s="9">
        <v>403</v>
      </c>
      <c r="B407" s="73" t="s">
        <v>56</v>
      </c>
      <c r="C407" s="76" t="s">
        <v>1736</v>
      </c>
      <c r="D407" s="17" t="s">
        <v>1737</v>
      </c>
      <c r="E407" s="26">
        <v>34645</v>
      </c>
      <c r="F407" s="9">
        <f t="shared" ca="1" si="48"/>
        <v>31</v>
      </c>
      <c r="G407" s="8">
        <v>43870</v>
      </c>
      <c r="H407" s="44" t="s">
        <v>8</v>
      </c>
      <c r="I407" s="60">
        <v>44686</v>
      </c>
      <c r="J407" s="580" t="s">
        <v>271</v>
      </c>
      <c r="K407" s="4" t="str">
        <f t="shared" si="49"/>
        <v>I</v>
      </c>
      <c r="L407" s="7" t="str">
        <f t="shared" si="50"/>
        <v>G8</v>
      </c>
      <c r="M407" s="7" t="str">
        <f t="shared" si="51"/>
        <v>J1</v>
      </c>
      <c r="N407" s="62" t="str">
        <f t="shared" si="52"/>
        <v/>
      </c>
      <c r="O407" s="8">
        <f t="shared" si="53"/>
        <v>45782</v>
      </c>
      <c r="P407" s="9" t="str">
        <f t="shared" ca="1" si="54"/>
        <v>ATRASADO</v>
      </c>
      <c r="Q407" s="12" t="s">
        <v>1556</v>
      </c>
      <c r="R407" s="9"/>
      <c r="S407" s="9" t="str">
        <f t="shared" si="55"/>
        <v/>
      </c>
    </row>
    <row r="408" spans="1:19" x14ac:dyDescent="0.3">
      <c r="A408" s="9">
        <v>404</v>
      </c>
      <c r="B408" s="73" t="s">
        <v>45</v>
      </c>
      <c r="C408" s="76" t="s">
        <v>1738</v>
      </c>
      <c r="D408" s="17" t="s">
        <v>1739</v>
      </c>
      <c r="E408" s="26">
        <v>26523</v>
      </c>
      <c r="F408" s="9">
        <f t="shared" ca="1" si="48"/>
        <v>54</v>
      </c>
      <c r="G408" s="9" t="s">
        <v>8</v>
      </c>
      <c r="H408" s="44" t="s">
        <v>271</v>
      </c>
      <c r="I408" s="60">
        <v>44683</v>
      </c>
      <c r="J408" s="580" t="s">
        <v>8</v>
      </c>
      <c r="K408" s="4" t="str">
        <f t="shared" si="49"/>
        <v>SI</v>
      </c>
      <c r="L408" s="7" t="str">
        <f t="shared" si="50"/>
        <v xml:space="preserve">N </v>
      </c>
      <c r="M408" s="7" t="str">
        <f t="shared" si="51"/>
        <v>RE</v>
      </c>
      <c r="N408" s="62" t="str">
        <f t="shared" si="52"/>
        <v>GI</v>
      </c>
      <c r="O408" s="8">
        <f t="shared" si="53"/>
        <v>45779</v>
      </c>
      <c r="P408" s="9" t="str">
        <f t="shared" ca="1" si="54"/>
        <v>ATRASADO</v>
      </c>
      <c r="Q408" s="12" t="s">
        <v>1556</v>
      </c>
      <c r="R408" s="9"/>
      <c r="S408" s="9" t="str">
        <f t="shared" si="55"/>
        <v/>
      </c>
    </row>
    <row r="409" spans="1:19" x14ac:dyDescent="0.3">
      <c r="A409" s="9">
        <v>405</v>
      </c>
      <c r="B409" s="73" t="s">
        <v>45</v>
      </c>
      <c r="C409" s="76" t="s">
        <v>1740</v>
      </c>
      <c r="D409" s="17" t="s">
        <v>1741</v>
      </c>
      <c r="E409" s="26">
        <v>25235</v>
      </c>
      <c r="F409" s="9">
        <f t="shared" ca="1" si="48"/>
        <v>57</v>
      </c>
      <c r="G409" s="8">
        <v>43030</v>
      </c>
      <c r="H409" s="44" t="s">
        <v>275</v>
      </c>
      <c r="I409" s="60">
        <v>44696</v>
      </c>
      <c r="J409" s="580" t="s">
        <v>340</v>
      </c>
      <c r="K409" s="4" t="str">
        <f t="shared" si="49"/>
        <v>I</v>
      </c>
      <c r="L409" s="7" t="str">
        <f t="shared" si="50"/>
        <v>G8</v>
      </c>
      <c r="M409" s="7" t="str">
        <f t="shared" si="51"/>
        <v>S</v>
      </c>
      <c r="N409" s="62" t="str">
        <f t="shared" si="52"/>
        <v/>
      </c>
      <c r="O409" s="8">
        <f t="shared" si="53"/>
        <v>45061</v>
      </c>
      <c r="P409" s="9" t="str">
        <f t="shared" ca="1" si="54"/>
        <v>ATRASADO</v>
      </c>
      <c r="Q409" s="12" t="s">
        <v>1556</v>
      </c>
      <c r="R409" s="9"/>
      <c r="S409" s="9" t="str">
        <f t="shared" si="55"/>
        <v/>
      </c>
    </row>
    <row r="410" spans="1:19" x14ac:dyDescent="0.3">
      <c r="A410" s="9">
        <v>406</v>
      </c>
      <c r="B410" s="73" t="s">
        <v>45</v>
      </c>
      <c r="C410" s="76" t="s">
        <v>1742</v>
      </c>
      <c r="D410" s="17" t="s">
        <v>1743</v>
      </c>
      <c r="E410" s="26">
        <v>25204</v>
      </c>
      <c r="F410" s="9">
        <f t="shared" ca="1" si="48"/>
        <v>57</v>
      </c>
      <c r="G410" s="9" t="s">
        <v>8</v>
      </c>
      <c r="H410" s="44" t="s">
        <v>275</v>
      </c>
      <c r="I410" s="60">
        <v>44698</v>
      </c>
      <c r="J410" s="580" t="s">
        <v>271</v>
      </c>
      <c r="K410" s="4" t="str">
        <f t="shared" si="49"/>
        <v>I</v>
      </c>
      <c r="L410" s="7" t="str">
        <f t="shared" si="50"/>
        <v>G8</v>
      </c>
      <c r="M410" s="7" t="str">
        <f t="shared" si="51"/>
        <v>J1</v>
      </c>
      <c r="N410" s="62" t="str">
        <f t="shared" si="52"/>
        <v/>
      </c>
      <c r="O410" s="8">
        <f t="shared" si="53"/>
        <v>45794</v>
      </c>
      <c r="P410" s="9" t="str">
        <f t="shared" ca="1" si="54"/>
        <v>ATRASADO</v>
      </c>
      <c r="Q410" s="12" t="s">
        <v>1556</v>
      </c>
      <c r="R410" s="64"/>
      <c r="S410" s="9" t="str">
        <f t="shared" si="55"/>
        <v/>
      </c>
    </row>
    <row r="411" spans="1:19" x14ac:dyDescent="0.3">
      <c r="A411" s="9">
        <v>407</v>
      </c>
      <c r="B411" s="2" t="s">
        <v>346</v>
      </c>
      <c r="C411" s="76" t="s">
        <v>1744</v>
      </c>
      <c r="D411" s="17" t="s">
        <v>1745</v>
      </c>
      <c r="E411" s="70">
        <v>33190</v>
      </c>
      <c r="F411" s="9">
        <f t="shared" ca="1" si="48"/>
        <v>35</v>
      </c>
      <c r="G411" s="8">
        <v>43502</v>
      </c>
      <c r="H411" s="9" t="s">
        <v>271</v>
      </c>
      <c r="I411" s="60">
        <v>44702</v>
      </c>
      <c r="J411" s="580" t="s">
        <v>275</v>
      </c>
      <c r="K411" s="4" t="str">
        <f t="shared" si="49"/>
        <v>I</v>
      </c>
      <c r="L411" s="7" t="str">
        <f t="shared" si="50"/>
        <v>G8</v>
      </c>
      <c r="M411" s="7" t="str">
        <f t="shared" si="51"/>
        <v/>
      </c>
      <c r="N411" s="62" t="str">
        <f t="shared" si="52"/>
        <v/>
      </c>
      <c r="O411" s="8">
        <f t="shared" si="53"/>
        <v>45798</v>
      </c>
      <c r="P411" s="9" t="str">
        <f t="shared" ca="1" si="54"/>
        <v>ATRASADO</v>
      </c>
      <c r="Q411" s="12" t="s">
        <v>919</v>
      </c>
      <c r="R411" s="9"/>
      <c r="S411" s="9" t="str">
        <f t="shared" si="55"/>
        <v/>
      </c>
    </row>
    <row r="412" spans="1:19" x14ac:dyDescent="0.3">
      <c r="A412" s="9">
        <v>408</v>
      </c>
      <c r="B412" s="2" t="s">
        <v>346</v>
      </c>
      <c r="C412" s="76" t="s">
        <v>1746</v>
      </c>
      <c r="D412" s="17" t="s">
        <v>1747</v>
      </c>
      <c r="E412" s="26">
        <v>33929</v>
      </c>
      <c r="F412" s="9">
        <f t="shared" ca="1" si="48"/>
        <v>33</v>
      </c>
      <c r="G412" s="8">
        <v>44008</v>
      </c>
      <c r="H412" s="9" t="s">
        <v>8</v>
      </c>
      <c r="I412" s="60">
        <v>44683</v>
      </c>
      <c r="J412" s="580" t="s">
        <v>275</v>
      </c>
      <c r="K412" s="4" t="str">
        <f t="shared" si="49"/>
        <v>I</v>
      </c>
      <c r="L412" s="7" t="str">
        <f t="shared" si="50"/>
        <v>G8</v>
      </c>
      <c r="M412" s="7" t="str">
        <f t="shared" si="51"/>
        <v/>
      </c>
      <c r="N412" s="62" t="str">
        <f t="shared" si="52"/>
        <v/>
      </c>
      <c r="O412" s="8">
        <f t="shared" si="53"/>
        <v>45779</v>
      </c>
      <c r="P412" s="9" t="str">
        <f t="shared" ca="1" si="54"/>
        <v>ATRASADO</v>
      </c>
      <c r="Q412" s="12" t="s">
        <v>919</v>
      </c>
      <c r="R412" s="9"/>
      <c r="S412" s="9" t="str">
        <f t="shared" si="55"/>
        <v/>
      </c>
    </row>
    <row r="413" spans="1:19" x14ac:dyDescent="0.3">
      <c r="A413" s="9">
        <v>409</v>
      </c>
      <c r="B413" s="2" t="s">
        <v>346</v>
      </c>
      <c r="C413" s="76" t="s">
        <v>1748</v>
      </c>
      <c r="D413" s="17" t="s">
        <v>1749</v>
      </c>
      <c r="E413" s="26">
        <v>31873</v>
      </c>
      <c r="F413" s="9">
        <f t="shared" ca="1" si="48"/>
        <v>39</v>
      </c>
      <c r="G413" s="8">
        <v>43017</v>
      </c>
      <c r="H413" s="9" t="s">
        <v>320</v>
      </c>
      <c r="I413" s="60">
        <v>44712</v>
      </c>
      <c r="J413" s="580" t="s">
        <v>271</v>
      </c>
      <c r="K413" s="4" t="str">
        <f t="shared" si="49"/>
        <v>I</v>
      </c>
      <c r="L413" s="7" t="str">
        <f t="shared" si="50"/>
        <v>G8</v>
      </c>
      <c r="M413" s="7" t="str">
        <f t="shared" si="51"/>
        <v>J1</v>
      </c>
      <c r="N413" s="62" t="str">
        <f t="shared" si="52"/>
        <v/>
      </c>
      <c r="O413" s="8">
        <f t="shared" si="53"/>
        <v>45808</v>
      </c>
      <c r="P413" s="9" t="str">
        <f t="shared" ca="1" si="54"/>
        <v>ATRASADO</v>
      </c>
      <c r="Q413" s="9" t="s">
        <v>919</v>
      </c>
      <c r="R413" s="9"/>
      <c r="S413" s="9" t="str">
        <f t="shared" si="55"/>
        <v/>
      </c>
    </row>
    <row r="414" spans="1:19" x14ac:dyDescent="0.3">
      <c r="A414" s="9">
        <v>410</v>
      </c>
      <c r="B414" s="2" t="s">
        <v>346</v>
      </c>
      <c r="C414" s="76" t="s">
        <v>1750</v>
      </c>
      <c r="D414" s="17" t="s">
        <v>1751</v>
      </c>
      <c r="E414" s="26">
        <v>26310</v>
      </c>
      <c r="F414" s="9">
        <f t="shared" ca="1" si="48"/>
        <v>54</v>
      </c>
      <c r="G414" s="8">
        <v>44247</v>
      </c>
      <c r="H414" s="9" t="s">
        <v>271</v>
      </c>
      <c r="I414" s="60">
        <v>44692</v>
      </c>
      <c r="J414" s="580" t="s">
        <v>324</v>
      </c>
      <c r="K414" s="4" t="str">
        <f t="shared" si="49"/>
        <v>G1</v>
      </c>
      <c r="L414" s="7" t="str">
        <f t="shared" si="50"/>
        <v>O5</v>
      </c>
      <c r="M414" s="7" t="str">
        <f t="shared" si="51"/>
        <v/>
      </c>
      <c r="N414" s="62" t="str">
        <f t="shared" si="52"/>
        <v/>
      </c>
      <c r="O414" s="8">
        <f t="shared" si="53"/>
        <v>44784</v>
      </c>
      <c r="P414" s="9" t="str">
        <f t="shared" ca="1" si="54"/>
        <v>ATRASADO</v>
      </c>
      <c r="Q414" s="9" t="s">
        <v>919</v>
      </c>
      <c r="R414" s="9"/>
      <c r="S414" s="9" t="str">
        <f t="shared" si="55"/>
        <v/>
      </c>
    </row>
    <row r="415" spans="1:19" x14ac:dyDescent="0.3">
      <c r="A415" s="9">
        <v>411</v>
      </c>
      <c r="B415" s="2" t="s">
        <v>346</v>
      </c>
      <c r="C415" s="76" t="s">
        <v>1752</v>
      </c>
      <c r="D415" s="21" t="s">
        <v>1753</v>
      </c>
      <c r="E415" s="26">
        <v>21417</v>
      </c>
      <c r="F415" s="9">
        <f t="shared" ca="1" si="48"/>
        <v>68</v>
      </c>
      <c r="G415" s="8">
        <v>44039</v>
      </c>
      <c r="H415" s="9" t="s">
        <v>271</v>
      </c>
      <c r="I415" s="60">
        <v>44682</v>
      </c>
      <c r="J415" s="580" t="s">
        <v>291</v>
      </c>
      <c r="K415" s="4" t="str">
        <f t="shared" si="49"/>
        <v>I</v>
      </c>
      <c r="L415" s="7" t="str">
        <f t="shared" si="50"/>
        <v>G8</v>
      </c>
      <c r="M415" s="7" t="str">
        <f t="shared" si="51"/>
        <v>J5</v>
      </c>
      <c r="N415" s="62" t="str">
        <f t="shared" si="52"/>
        <v/>
      </c>
      <c r="O415" s="8">
        <f>IF(I415="","",IF(OR(K415="S",L415="S",M415="S",N415="S",K415="G7",L415="G7",M415="G7",N415="G7",),DATE(YEAR(I415)+1,MONTH(I415),DAY(I415)),IF(OR(K415="O3",L415="O3",M415="O3",N415="O3",K415="ASCUS",L415="ASCUS",M415="ASCUS",N415="ASCUS"),DATE(YEAR(I415),MONTH(I415)+6,DAY(I415)),IF(OR(K415="O5",L415="O5",M415="O5",N415="O5"),DATE(YEAR(I415),MONTH(I415)+3,DAY(I415)),IF(OR(K415="T",L415="T",M415="T",N415="T"),DATE(YEAR(I415),MONTH(I415)+1,DAY(I415)+10),DATE(YEAR(I415)+3,MONTH(I415),DAY(I415)))))))</f>
        <v>45778</v>
      </c>
      <c r="P415" s="9" t="str">
        <f t="shared" ca="1" si="54"/>
        <v>ATRASADO</v>
      </c>
      <c r="Q415" s="9" t="s">
        <v>919</v>
      </c>
      <c r="R415" s="9"/>
      <c r="S415" s="9" t="str">
        <f t="shared" si="55"/>
        <v>CANDIDA</v>
      </c>
    </row>
    <row r="416" spans="1:19" x14ac:dyDescent="0.3">
      <c r="A416" s="9">
        <v>412</v>
      </c>
      <c r="B416" s="2" t="s">
        <v>346</v>
      </c>
      <c r="C416" s="76" t="s">
        <v>1754</v>
      </c>
      <c r="D416" s="17" t="s">
        <v>1755</v>
      </c>
      <c r="E416" s="70">
        <v>25467</v>
      </c>
      <c r="F416" s="9">
        <f t="shared" ca="1" si="48"/>
        <v>57</v>
      </c>
      <c r="G416" s="8">
        <v>43651</v>
      </c>
      <c r="H416" s="9" t="s">
        <v>340</v>
      </c>
      <c r="I416" s="60">
        <v>44705</v>
      </c>
      <c r="J416" s="580" t="s">
        <v>275</v>
      </c>
      <c r="K416" s="4" t="str">
        <f t="shared" si="49"/>
        <v>I</v>
      </c>
      <c r="L416" s="7" t="str">
        <f t="shared" si="50"/>
        <v>G8</v>
      </c>
      <c r="M416" s="7" t="str">
        <f t="shared" si="51"/>
        <v/>
      </c>
      <c r="N416" s="62" t="str">
        <f t="shared" si="52"/>
        <v/>
      </c>
      <c r="O416" s="8">
        <f t="shared" ref="O416:O479" si="56">IF(I416="","",IF(OR(K416="S",L416="S",M416="S",N416="S",K416="G7",L416="G7",M416="G7",N416="G7",),DATE(YEAR(I416)+1,MONTH(I416),DAY(I416)),IF(OR(K416="O3",L416="O3",M416="O3",N416="O3",K416="ASCUS",L416="ASCUS",M416="ASCUS",N416="ASCUS"),DATE(YEAR(I416),MONTH(I416)+6,DAY(I416)),IF(OR(K416="O5",L416="O5",M416="O5",N416="O5"),DATE(YEAR(I416),MONTH(I416)+3,DAY(I416)),IF(OR(K416="T",L416="T",M416="T",N416="T"),DATE(YEAR(I416),MONTH(I416)+1,DAY(I416)+10),DATE(YEAR(I416)+3,MONTH(I416),DAY(I416)))))))</f>
        <v>45801</v>
      </c>
      <c r="P416" s="9" t="str">
        <f t="shared" ca="1" si="54"/>
        <v>ATRASADO</v>
      </c>
      <c r="Q416" s="9" t="s">
        <v>919</v>
      </c>
      <c r="R416" s="9"/>
      <c r="S416" s="9" t="str">
        <f t="shared" si="55"/>
        <v/>
      </c>
    </row>
    <row r="417" spans="1:19" x14ac:dyDescent="0.3">
      <c r="A417" s="9">
        <v>413</v>
      </c>
      <c r="B417" s="2" t="s">
        <v>346</v>
      </c>
      <c r="C417" s="79" t="s">
        <v>1756</v>
      </c>
      <c r="D417" s="22" t="s">
        <v>1757</v>
      </c>
      <c r="E417" s="72">
        <v>21732</v>
      </c>
      <c r="F417" s="9">
        <f t="shared" ca="1" si="48"/>
        <v>67</v>
      </c>
      <c r="G417" s="8">
        <v>44083</v>
      </c>
      <c r="H417" s="9" t="s">
        <v>271</v>
      </c>
      <c r="I417" s="60">
        <v>44687</v>
      </c>
      <c r="J417" s="580" t="s">
        <v>275</v>
      </c>
      <c r="K417" s="4" t="str">
        <f t="shared" si="49"/>
        <v>I</v>
      </c>
      <c r="L417" s="7" t="str">
        <f t="shared" si="50"/>
        <v>G8</v>
      </c>
      <c r="M417" s="7" t="str">
        <f t="shared" si="51"/>
        <v/>
      </c>
      <c r="N417" s="62" t="str">
        <f t="shared" si="52"/>
        <v/>
      </c>
      <c r="O417" s="8">
        <f t="shared" si="56"/>
        <v>45783</v>
      </c>
      <c r="P417" s="9" t="str">
        <f t="shared" ca="1" si="54"/>
        <v>ATRASADO</v>
      </c>
      <c r="Q417" s="9" t="s">
        <v>919</v>
      </c>
      <c r="R417" s="65"/>
      <c r="S417" s="9" t="str">
        <f t="shared" si="55"/>
        <v/>
      </c>
    </row>
    <row r="418" spans="1:19" x14ac:dyDescent="0.3">
      <c r="A418" s="9">
        <v>414</v>
      </c>
      <c r="B418" s="2" t="s">
        <v>346</v>
      </c>
      <c r="C418" s="76" t="s">
        <v>1758</v>
      </c>
      <c r="D418" s="17" t="s">
        <v>1759</v>
      </c>
      <c r="E418" s="26">
        <v>22150</v>
      </c>
      <c r="F418" s="9">
        <f t="shared" ca="1" si="48"/>
        <v>66</v>
      </c>
      <c r="G418" s="8">
        <v>43712</v>
      </c>
      <c r="H418" s="9" t="s">
        <v>594</v>
      </c>
      <c r="I418" s="60">
        <v>44712</v>
      </c>
      <c r="J418" s="580" t="s">
        <v>275</v>
      </c>
      <c r="K418" s="4" t="str">
        <f t="shared" si="49"/>
        <v>I</v>
      </c>
      <c r="L418" s="7" t="str">
        <f t="shared" si="50"/>
        <v>G8</v>
      </c>
      <c r="M418" s="7" t="str">
        <f t="shared" si="51"/>
        <v/>
      </c>
      <c r="N418" s="62" t="str">
        <f t="shared" si="52"/>
        <v/>
      </c>
      <c r="O418" s="8">
        <f t="shared" si="56"/>
        <v>45808</v>
      </c>
      <c r="P418" s="9" t="str">
        <f t="shared" ca="1" si="54"/>
        <v>ATRASADO</v>
      </c>
      <c r="Q418" s="9" t="s">
        <v>919</v>
      </c>
      <c r="R418" s="9"/>
      <c r="S418" s="9" t="str">
        <f t="shared" si="55"/>
        <v/>
      </c>
    </row>
    <row r="419" spans="1:19" x14ac:dyDescent="0.3">
      <c r="A419" s="9">
        <v>415</v>
      </c>
      <c r="B419" s="2" t="s">
        <v>45</v>
      </c>
      <c r="C419" s="76" t="s">
        <v>1760</v>
      </c>
      <c r="D419" s="17" t="s">
        <v>1761</v>
      </c>
      <c r="E419" s="26">
        <v>23281</v>
      </c>
      <c r="F419" s="9">
        <f t="shared" ca="1" si="48"/>
        <v>63</v>
      </c>
      <c r="G419" s="8">
        <v>43177</v>
      </c>
      <c r="H419" s="45" t="s">
        <v>340</v>
      </c>
      <c r="I419" s="60">
        <v>44688</v>
      </c>
      <c r="J419" s="580" t="s">
        <v>271</v>
      </c>
      <c r="K419" s="4" t="str">
        <f t="shared" si="49"/>
        <v>I</v>
      </c>
      <c r="L419" s="7" t="str">
        <f t="shared" si="50"/>
        <v>G8</v>
      </c>
      <c r="M419" s="7" t="str">
        <f t="shared" si="51"/>
        <v>J1</v>
      </c>
      <c r="N419" s="62" t="str">
        <f t="shared" si="52"/>
        <v/>
      </c>
      <c r="O419" s="8">
        <f t="shared" si="56"/>
        <v>45784</v>
      </c>
      <c r="P419" s="9" t="str">
        <f t="shared" ca="1" si="54"/>
        <v>ATRASADO</v>
      </c>
      <c r="Q419" s="12" t="s">
        <v>1556</v>
      </c>
      <c r="R419" s="9"/>
      <c r="S419" s="9" t="str">
        <f t="shared" si="55"/>
        <v/>
      </c>
    </row>
    <row r="420" spans="1:19" x14ac:dyDescent="0.3">
      <c r="A420" s="9">
        <v>416</v>
      </c>
      <c r="B420" s="2" t="s">
        <v>56</v>
      </c>
      <c r="C420" s="76" t="s">
        <v>1762</v>
      </c>
      <c r="D420" s="17" t="s">
        <v>1763</v>
      </c>
      <c r="E420" s="26">
        <v>34351</v>
      </c>
      <c r="F420" s="9">
        <f t="shared" ca="1" si="48"/>
        <v>32</v>
      </c>
      <c r="G420" s="8">
        <v>44105</v>
      </c>
      <c r="H420" s="45" t="s">
        <v>271</v>
      </c>
      <c r="I420" s="60">
        <v>44712</v>
      </c>
      <c r="J420" s="580" t="s">
        <v>320</v>
      </c>
      <c r="K420" s="4" t="str">
        <f t="shared" si="49"/>
        <v>I</v>
      </c>
      <c r="L420" s="7" t="str">
        <f t="shared" si="50"/>
        <v>G8</v>
      </c>
      <c r="M420" s="7" t="str">
        <f t="shared" si="51"/>
        <v>J1</v>
      </c>
      <c r="N420" s="62" t="str">
        <f t="shared" si="52"/>
        <v>S</v>
      </c>
      <c r="O420" s="8">
        <f t="shared" si="56"/>
        <v>45077</v>
      </c>
      <c r="P420" s="9" t="str">
        <f t="shared" ca="1" si="54"/>
        <v>ATRASADO</v>
      </c>
      <c r="Q420" s="12" t="s">
        <v>1556</v>
      </c>
      <c r="R420" s="9"/>
      <c r="S420" s="9" t="str">
        <f t="shared" si="55"/>
        <v/>
      </c>
    </row>
    <row r="421" spans="1:19" x14ac:dyDescent="0.3">
      <c r="A421" s="9">
        <v>417</v>
      </c>
      <c r="B421" s="2" t="s">
        <v>56</v>
      </c>
      <c r="C421" s="76" t="s">
        <v>1764</v>
      </c>
      <c r="D421" s="17" t="s">
        <v>1765</v>
      </c>
      <c r="E421" s="26">
        <v>28831</v>
      </c>
      <c r="F421" s="9">
        <f t="shared" ca="1" si="48"/>
        <v>47</v>
      </c>
      <c r="G421" s="8">
        <v>43679</v>
      </c>
      <c r="H421" s="45" t="s">
        <v>275</v>
      </c>
      <c r="I421" s="60">
        <v>44712</v>
      </c>
      <c r="J421" s="580" t="s">
        <v>275</v>
      </c>
      <c r="K421" s="4" t="str">
        <f t="shared" si="49"/>
        <v>I</v>
      </c>
      <c r="L421" s="7" t="str">
        <f t="shared" si="50"/>
        <v>G8</v>
      </c>
      <c r="M421" s="7" t="str">
        <f t="shared" si="51"/>
        <v/>
      </c>
      <c r="N421" s="62" t="str">
        <f t="shared" si="52"/>
        <v/>
      </c>
      <c r="O421" s="8">
        <f t="shared" si="56"/>
        <v>45808</v>
      </c>
      <c r="P421" s="9" t="str">
        <f t="shared" ca="1" si="54"/>
        <v>ATRASADO</v>
      </c>
      <c r="Q421" s="12" t="s">
        <v>1556</v>
      </c>
      <c r="R421" s="9"/>
      <c r="S421" s="9" t="str">
        <f t="shared" si="55"/>
        <v/>
      </c>
    </row>
    <row r="422" spans="1:19" x14ac:dyDescent="0.3">
      <c r="A422" s="9">
        <v>418</v>
      </c>
      <c r="B422" s="73" t="s">
        <v>56</v>
      </c>
      <c r="C422" s="76" t="s">
        <v>1766</v>
      </c>
      <c r="D422" s="17" t="s">
        <v>1767</v>
      </c>
      <c r="E422" s="26">
        <v>21576</v>
      </c>
      <c r="F422" s="9">
        <f t="shared" ca="1" si="48"/>
        <v>67</v>
      </c>
      <c r="G422" s="8">
        <v>43150</v>
      </c>
      <c r="H422" s="45" t="s">
        <v>8</v>
      </c>
      <c r="I422" s="60">
        <v>44702</v>
      </c>
      <c r="J422" s="580" t="s">
        <v>1060</v>
      </c>
      <c r="K422" s="4" t="str">
        <f t="shared" si="49"/>
        <v>H1</v>
      </c>
      <c r="L422" s="7" t="str">
        <f t="shared" si="50"/>
        <v>O3</v>
      </c>
      <c r="M422" s="7" t="str">
        <f t="shared" si="51"/>
        <v/>
      </c>
      <c r="N422" s="62" t="str">
        <f t="shared" si="52"/>
        <v/>
      </c>
      <c r="O422" s="8">
        <f t="shared" si="56"/>
        <v>44886</v>
      </c>
      <c r="P422" s="9" t="str">
        <f t="shared" ca="1" si="54"/>
        <v>ATRASADO</v>
      </c>
      <c r="Q422" s="12" t="s">
        <v>1556</v>
      </c>
      <c r="R422" s="9"/>
      <c r="S422" s="9" t="str">
        <f t="shared" si="55"/>
        <v/>
      </c>
    </row>
    <row r="423" spans="1:19" x14ac:dyDescent="0.3">
      <c r="A423" s="9">
        <v>419</v>
      </c>
      <c r="B423" s="73" t="s">
        <v>312</v>
      </c>
      <c r="C423" s="76" t="s">
        <v>1768</v>
      </c>
      <c r="D423" s="17" t="s">
        <v>1769</v>
      </c>
      <c r="E423" s="26">
        <v>26121</v>
      </c>
      <c r="F423" s="9">
        <f t="shared" ca="1" si="48"/>
        <v>55</v>
      </c>
      <c r="G423" s="32">
        <v>43393</v>
      </c>
      <c r="H423" s="46" t="s">
        <v>271</v>
      </c>
      <c r="I423" s="60">
        <v>44712</v>
      </c>
      <c r="J423" s="580" t="s">
        <v>275</v>
      </c>
      <c r="K423" s="4" t="str">
        <f t="shared" si="49"/>
        <v>I</v>
      </c>
      <c r="L423" s="7" t="str">
        <f t="shared" si="50"/>
        <v>G8</v>
      </c>
      <c r="M423" s="7" t="str">
        <f t="shared" si="51"/>
        <v/>
      </c>
      <c r="N423" s="62" t="str">
        <f t="shared" si="52"/>
        <v/>
      </c>
      <c r="O423" s="8">
        <f t="shared" si="56"/>
        <v>45808</v>
      </c>
      <c r="P423" s="9" t="str">
        <f t="shared" ca="1" si="54"/>
        <v>ATRASADO</v>
      </c>
      <c r="Q423" s="12" t="s">
        <v>1556</v>
      </c>
      <c r="R423" s="9"/>
      <c r="S423" s="9" t="str">
        <f t="shared" si="55"/>
        <v/>
      </c>
    </row>
    <row r="424" spans="1:19" x14ac:dyDescent="0.3">
      <c r="A424" s="9">
        <v>420</v>
      </c>
      <c r="B424" s="73" t="s">
        <v>75</v>
      </c>
      <c r="C424" s="76" t="s">
        <v>1770</v>
      </c>
      <c r="D424" s="17" t="s">
        <v>1771</v>
      </c>
      <c r="E424" s="26">
        <v>31220</v>
      </c>
      <c r="F424" s="9">
        <f t="shared" ca="1" si="48"/>
        <v>41</v>
      </c>
      <c r="G424" s="32" t="s">
        <v>8</v>
      </c>
      <c r="H424" s="46" t="s">
        <v>271</v>
      </c>
      <c r="I424" s="60">
        <v>44706</v>
      </c>
      <c r="J424" s="580" t="s">
        <v>275</v>
      </c>
      <c r="K424" s="4" t="str">
        <f t="shared" si="49"/>
        <v>I</v>
      </c>
      <c r="L424" s="7" t="str">
        <f t="shared" si="50"/>
        <v>G8</v>
      </c>
      <c r="M424" s="7" t="str">
        <f t="shared" si="51"/>
        <v/>
      </c>
      <c r="N424" s="62" t="str">
        <f t="shared" si="52"/>
        <v/>
      </c>
      <c r="O424" s="8">
        <f t="shared" si="56"/>
        <v>45802</v>
      </c>
      <c r="P424" s="9" t="str">
        <f t="shared" ca="1" si="54"/>
        <v>ATRASADO</v>
      </c>
      <c r="Q424" s="12" t="s">
        <v>1556</v>
      </c>
      <c r="R424" s="9"/>
      <c r="S424" s="9" t="str">
        <f t="shared" si="55"/>
        <v/>
      </c>
    </row>
    <row r="425" spans="1:19" x14ac:dyDescent="0.3">
      <c r="A425" s="9">
        <v>421</v>
      </c>
      <c r="B425" s="73" t="s">
        <v>75</v>
      </c>
      <c r="C425" s="76" t="s">
        <v>1772</v>
      </c>
      <c r="D425" s="17" t="s">
        <v>1773</v>
      </c>
      <c r="E425" s="26">
        <v>36074</v>
      </c>
      <c r="F425" s="9">
        <f t="shared" ca="1" si="48"/>
        <v>27</v>
      </c>
      <c r="G425" s="32" t="s">
        <v>8</v>
      </c>
      <c r="H425" s="46" t="s">
        <v>275</v>
      </c>
      <c r="I425" s="60">
        <v>44700</v>
      </c>
      <c r="J425" s="580" t="s">
        <v>275</v>
      </c>
      <c r="K425" s="4" t="str">
        <f t="shared" si="49"/>
        <v>I</v>
      </c>
      <c r="L425" s="7" t="str">
        <f t="shared" si="50"/>
        <v>G8</v>
      </c>
      <c r="M425" s="7" t="str">
        <f t="shared" si="51"/>
        <v/>
      </c>
      <c r="N425" s="62" t="str">
        <f t="shared" si="52"/>
        <v/>
      </c>
      <c r="O425" s="8">
        <f t="shared" si="56"/>
        <v>45796</v>
      </c>
      <c r="P425" s="9" t="str">
        <f t="shared" ca="1" si="54"/>
        <v>ATRASADO</v>
      </c>
      <c r="Q425" s="12" t="s">
        <v>1556</v>
      </c>
      <c r="R425" s="9"/>
      <c r="S425" s="9" t="str">
        <f t="shared" si="55"/>
        <v/>
      </c>
    </row>
    <row r="426" spans="1:19" x14ac:dyDescent="0.3">
      <c r="A426" s="9">
        <v>422</v>
      </c>
      <c r="B426" s="2" t="s">
        <v>45</v>
      </c>
      <c r="C426" s="76" t="s">
        <v>1774</v>
      </c>
      <c r="D426" s="17" t="s">
        <v>1775</v>
      </c>
      <c r="E426" s="26">
        <v>35221</v>
      </c>
      <c r="F426" s="9">
        <f t="shared" ca="1" si="48"/>
        <v>30</v>
      </c>
      <c r="G426" s="8" t="s">
        <v>8</v>
      </c>
      <c r="H426" s="47" t="s">
        <v>275</v>
      </c>
      <c r="I426" s="60">
        <v>44720</v>
      </c>
      <c r="J426" s="580" t="s">
        <v>275</v>
      </c>
      <c r="K426" s="4" t="str">
        <f t="shared" si="49"/>
        <v>I</v>
      </c>
      <c r="L426" s="7" t="str">
        <f t="shared" si="50"/>
        <v>G8</v>
      </c>
      <c r="M426" s="7" t="str">
        <f t="shared" si="51"/>
        <v/>
      </c>
      <c r="N426" s="62" t="str">
        <f t="shared" si="52"/>
        <v/>
      </c>
      <c r="O426" s="8">
        <f t="shared" si="56"/>
        <v>45816</v>
      </c>
      <c r="P426" s="9" t="str">
        <f t="shared" ca="1" si="54"/>
        <v>ATRASADO</v>
      </c>
      <c r="Q426" s="12" t="s">
        <v>1556</v>
      </c>
      <c r="R426" s="9"/>
      <c r="S426" s="9" t="str">
        <f t="shared" si="55"/>
        <v/>
      </c>
    </row>
    <row r="427" spans="1:19" x14ac:dyDescent="0.3">
      <c r="A427" s="9">
        <v>423</v>
      </c>
      <c r="B427" s="2" t="s">
        <v>56</v>
      </c>
      <c r="C427" s="76" t="s">
        <v>1776</v>
      </c>
      <c r="D427" s="17" t="s">
        <v>1777</v>
      </c>
      <c r="E427" s="26">
        <v>30676</v>
      </c>
      <c r="F427" s="9">
        <f t="shared" ca="1" si="48"/>
        <v>42</v>
      </c>
      <c r="G427" s="8">
        <v>44291</v>
      </c>
      <c r="H427" s="47" t="s">
        <v>8</v>
      </c>
      <c r="I427" s="60">
        <v>44722</v>
      </c>
      <c r="J427" s="580" t="s">
        <v>275</v>
      </c>
      <c r="K427" s="4" t="str">
        <f t="shared" si="49"/>
        <v>I</v>
      </c>
      <c r="L427" s="7" t="str">
        <f t="shared" si="50"/>
        <v>G8</v>
      </c>
      <c r="M427" s="7" t="str">
        <f t="shared" si="51"/>
        <v/>
      </c>
      <c r="N427" s="62" t="str">
        <f t="shared" si="52"/>
        <v/>
      </c>
      <c r="O427" s="8">
        <f t="shared" si="56"/>
        <v>45818</v>
      </c>
      <c r="P427" s="9" t="str">
        <f t="shared" ca="1" si="54"/>
        <v>ATRASADO</v>
      </c>
      <c r="Q427" s="12" t="s">
        <v>1556</v>
      </c>
      <c r="R427" s="9"/>
      <c r="S427" s="9" t="str">
        <f t="shared" si="55"/>
        <v/>
      </c>
    </row>
    <row r="428" spans="1:19" x14ac:dyDescent="0.3">
      <c r="A428" s="9">
        <v>424</v>
      </c>
      <c r="B428" s="2" t="s">
        <v>111</v>
      </c>
      <c r="C428" s="76" t="s">
        <v>1778</v>
      </c>
      <c r="D428" s="17" t="s">
        <v>1779</v>
      </c>
      <c r="E428" s="26">
        <v>24140</v>
      </c>
      <c r="F428" s="9">
        <f t="shared" ca="1" si="48"/>
        <v>60</v>
      </c>
      <c r="G428" s="8">
        <v>44269</v>
      </c>
      <c r="H428" s="47" t="s">
        <v>275</v>
      </c>
      <c r="I428" s="60">
        <v>44742</v>
      </c>
      <c r="J428" s="580" t="s">
        <v>8</v>
      </c>
      <c r="K428" s="4" t="str">
        <f t="shared" si="49"/>
        <v>SI</v>
      </c>
      <c r="L428" s="7" t="str">
        <f t="shared" si="50"/>
        <v xml:space="preserve">N </v>
      </c>
      <c r="M428" s="7" t="str">
        <f t="shared" si="51"/>
        <v>RE</v>
      </c>
      <c r="N428" s="62" t="str">
        <f t="shared" si="52"/>
        <v>GI</v>
      </c>
      <c r="O428" s="8">
        <f t="shared" si="56"/>
        <v>45838</v>
      </c>
      <c r="P428" s="9" t="str">
        <f t="shared" ca="1" si="54"/>
        <v>ATRASADO</v>
      </c>
      <c r="Q428" s="12" t="s">
        <v>1556</v>
      </c>
      <c r="R428" s="64"/>
      <c r="S428" s="9" t="str">
        <f t="shared" si="55"/>
        <v/>
      </c>
    </row>
    <row r="429" spans="1:19" x14ac:dyDescent="0.3">
      <c r="A429" s="9">
        <v>425</v>
      </c>
      <c r="B429" s="2" t="s">
        <v>56</v>
      </c>
      <c r="C429" s="76" t="s">
        <v>1780</v>
      </c>
      <c r="D429" s="17" t="s">
        <v>1781</v>
      </c>
      <c r="E429" s="26">
        <v>24140</v>
      </c>
      <c r="F429" s="9">
        <f t="shared" ca="1" si="48"/>
        <v>60</v>
      </c>
      <c r="G429" s="8">
        <v>43153</v>
      </c>
      <c r="H429" s="47" t="s">
        <v>275</v>
      </c>
      <c r="I429" s="60">
        <v>44720</v>
      </c>
      <c r="J429" s="580" t="s">
        <v>8</v>
      </c>
      <c r="K429" s="4" t="str">
        <f t="shared" si="49"/>
        <v>SI</v>
      </c>
      <c r="L429" s="7" t="str">
        <f t="shared" si="50"/>
        <v xml:space="preserve">N </v>
      </c>
      <c r="M429" s="7" t="str">
        <f t="shared" si="51"/>
        <v>RE</v>
      </c>
      <c r="N429" s="62" t="str">
        <f t="shared" si="52"/>
        <v>GI</v>
      </c>
      <c r="O429" s="8">
        <f t="shared" si="56"/>
        <v>45816</v>
      </c>
      <c r="P429" s="9" t="str">
        <f t="shared" ca="1" si="54"/>
        <v>ATRASADO</v>
      </c>
      <c r="Q429" s="12" t="s">
        <v>1556</v>
      </c>
      <c r="R429" s="9"/>
      <c r="S429" s="9" t="str">
        <f t="shared" si="55"/>
        <v/>
      </c>
    </row>
    <row r="430" spans="1:19" x14ac:dyDescent="0.3">
      <c r="A430" s="9">
        <v>426</v>
      </c>
      <c r="B430" s="2" t="s">
        <v>56</v>
      </c>
      <c r="C430" s="76" t="s">
        <v>1782</v>
      </c>
      <c r="D430" s="17" t="s">
        <v>1783</v>
      </c>
      <c r="E430" s="26">
        <v>31663</v>
      </c>
      <c r="F430" s="9">
        <f t="shared" ca="1" si="48"/>
        <v>40</v>
      </c>
      <c r="G430" s="8">
        <v>44104</v>
      </c>
      <c r="H430" s="47" t="s">
        <v>275</v>
      </c>
      <c r="I430" s="60">
        <v>44718</v>
      </c>
      <c r="J430" s="580" t="s">
        <v>271</v>
      </c>
      <c r="K430" s="4" t="str">
        <f t="shared" si="49"/>
        <v>I</v>
      </c>
      <c r="L430" s="7" t="str">
        <f t="shared" si="50"/>
        <v>G8</v>
      </c>
      <c r="M430" s="7" t="str">
        <f t="shared" si="51"/>
        <v>J1</v>
      </c>
      <c r="N430" s="62" t="str">
        <f t="shared" si="52"/>
        <v/>
      </c>
      <c r="O430" s="8">
        <f t="shared" si="56"/>
        <v>45814</v>
      </c>
      <c r="P430" s="9" t="str">
        <f t="shared" ca="1" si="54"/>
        <v>ATRASADO</v>
      </c>
      <c r="Q430" s="12" t="s">
        <v>1556</v>
      </c>
      <c r="R430" s="9"/>
      <c r="S430" s="9" t="str">
        <f t="shared" si="55"/>
        <v/>
      </c>
    </row>
    <row r="431" spans="1:19" x14ac:dyDescent="0.3">
      <c r="A431" s="9">
        <v>427</v>
      </c>
      <c r="B431" s="2" t="s">
        <v>56</v>
      </c>
      <c r="C431" s="76" t="s">
        <v>1784</v>
      </c>
      <c r="D431" s="17" t="s">
        <v>1785</v>
      </c>
      <c r="E431" s="26">
        <v>24558</v>
      </c>
      <c r="F431" s="9">
        <f t="shared" ca="1" si="48"/>
        <v>59</v>
      </c>
      <c r="G431" s="8" t="s">
        <v>10</v>
      </c>
      <c r="H431" s="48" t="s">
        <v>8</v>
      </c>
      <c r="I431" s="60">
        <v>44733</v>
      </c>
      <c r="J431" s="580" t="s">
        <v>327</v>
      </c>
      <c r="K431" s="4" t="str">
        <f t="shared" si="49"/>
        <v>I</v>
      </c>
      <c r="L431" s="7" t="str">
        <f t="shared" si="50"/>
        <v>G7</v>
      </c>
      <c r="M431" s="7" t="str">
        <f t="shared" si="51"/>
        <v>S</v>
      </c>
      <c r="N431" s="62" t="str">
        <f t="shared" si="52"/>
        <v/>
      </c>
      <c r="O431" s="8">
        <f t="shared" si="56"/>
        <v>45098</v>
      </c>
      <c r="P431" s="9" t="str">
        <f t="shared" ca="1" si="54"/>
        <v>ATRASADO</v>
      </c>
      <c r="Q431" s="12" t="s">
        <v>1556</v>
      </c>
      <c r="R431" s="9"/>
      <c r="S431" s="9" t="str">
        <f t="shared" si="55"/>
        <v/>
      </c>
    </row>
    <row r="432" spans="1:19" x14ac:dyDescent="0.3">
      <c r="A432" s="9">
        <v>428</v>
      </c>
      <c r="B432" s="2" t="s">
        <v>56</v>
      </c>
      <c r="C432" s="76" t="s">
        <v>1786</v>
      </c>
      <c r="D432" s="17" t="s">
        <v>1787</v>
      </c>
      <c r="E432" s="26">
        <v>26286</v>
      </c>
      <c r="F432" s="9">
        <f t="shared" ca="1" si="48"/>
        <v>54</v>
      </c>
      <c r="G432" s="8" t="s">
        <v>8</v>
      </c>
      <c r="H432" s="48" t="s">
        <v>271</v>
      </c>
      <c r="I432" s="60">
        <v>44736</v>
      </c>
      <c r="J432" s="580" t="s">
        <v>275</v>
      </c>
      <c r="K432" s="4" t="str">
        <f t="shared" si="49"/>
        <v>I</v>
      </c>
      <c r="L432" s="7" t="str">
        <f t="shared" si="50"/>
        <v>G8</v>
      </c>
      <c r="M432" s="7" t="str">
        <f t="shared" si="51"/>
        <v/>
      </c>
      <c r="N432" s="62" t="str">
        <f t="shared" si="52"/>
        <v/>
      </c>
      <c r="O432" s="8">
        <f t="shared" si="56"/>
        <v>45832</v>
      </c>
      <c r="P432" s="9" t="str">
        <f t="shared" ca="1" si="54"/>
        <v>ATRASADO</v>
      </c>
      <c r="Q432" s="12" t="s">
        <v>1556</v>
      </c>
      <c r="R432" s="9"/>
      <c r="S432" s="9" t="str">
        <f t="shared" si="55"/>
        <v/>
      </c>
    </row>
    <row r="433" spans="1:19" x14ac:dyDescent="0.3">
      <c r="A433" s="9">
        <v>429</v>
      </c>
      <c r="B433" s="2" t="s">
        <v>45</v>
      </c>
      <c r="C433" s="76" t="s">
        <v>1788</v>
      </c>
      <c r="D433" s="17" t="s">
        <v>1789</v>
      </c>
      <c r="E433" s="26">
        <v>35007</v>
      </c>
      <c r="F433" s="9">
        <f t="shared" ca="1" si="48"/>
        <v>30</v>
      </c>
      <c r="G433" s="8">
        <v>43357</v>
      </c>
      <c r="H433" s="48" t="s">
        <v>271</v>
      </c>
      <c r="I433" s="60">
        <v>44734</v>
      </c>
      <c r="J433" s="580" t="s">
        <v>275</v>
      </c>
      <c r="K433" s="4" t="str">
        <f t="shared" si="49"/>
        <v>I</v>
      </c>
      <c r="L433" s="7" t="str">
        <f t="shared" si="50"/>
        <v>G8</v>
      </c>
      <c r="M433" s="7" t="str">
        <f t="shared" si="51"/>
        <v/>
      </c>
      <c r="N433" s="62" t="str">
        <f t="shared" si="52"/>
        <v/>
      </c>
      <c r="O433" s="8">
        <f t="shared" si="56"/>
        <v>45830</v>
      </c>
      <c r="P433" s="9" t="str">
        <f t="shared" ca="1" si="54"/>
        <v>ATRASADO</v>
      </c>
      <c r="Q433" s="12" t="s">
        <v>1556</v>
      </c>
      <c r="R433" s="9"/>
      <c r="S433" s="9" t="str">
        <f t="shared" si="55"/>
        <v/>
      </c>
    </row>
    <row r="434" spans="1:19" x14ac:dyDescent="0.3">
      <c r="A434" s="9">
        <v>430</v>
      </c>
      <c r="B434" s="2" t="s">
        <v>56</v>
      </c>
      <c r="C434" s="76" t="s">
        <v>1790</v>
      </c>
      <c r="D434" s="17" t="s">
        <v>1791</v>
      </c>
      <c r="E434" s="26">
        <v>31028</v>
      </c>
      <c r="F434" s="9">
        <f t="shared" ca="1" si="48"/>
        <v>41</v>
      </c>
      <c r="G434" s="8">
        <v>43488</v>
      </c>
      <c r="H434" s="48" t="s">
        <v>275</v>
      </c>
      <c r="I434" s="60">
        <v>44722</v>
      </c>
      <c r="J434" s="580" t="s">
        <v>271</v>
      </c>
      <c r="K434" s="4" t="str">
        <f t="shared" si="49"/>
        <v>I</v>
      </c>
      <c r="L434" s="7" t="str">
        <f t="shared" si="50"/>
        <v>G8</v>
      </c>
      <c r="M434" s="7" t="str">
        <f t="shared" si="51"/>
        <v>J1</v>
      </c>
      <c r="N434" s="62" t="str">
        <f t="shared" si="52"/>
        <v/>
      </c>
      <c r="O434" s="8">
        <f t="shared" si="56"/>
        <v>45818</v>
      </c>
      <c r="P434" s="9" t="str">
        <f t="shared" ca="1" si="54"/>
        <v>ATRASADO</v>
      </c>
      <c r="Q434" s="12" t="s">
        <v>1556</v>
      </c>
      <c r="R434" s="9"/>
      <c r="S434" s="9" t="str">
        <f t="shared" si="55"/>
        <v/>
      </c>
    </row>
    <row r="435" spans="1:19" x14ac:dyDescent="0.3">
      <c r="A435" s="9">
        <v>431</v>
      </c>
      <c r="B435" s="2" t="s">
        <v>75</v>
      </c>
      <c r="C435" s="76" t="s">
        <v>1792</v>
      </c>
      <c r="D435" s="17" t="s">
        <v>1793</v>
      </c>
      <c r="E435" s="26">
        <v>28672</v>
      </c>
      <c r="F435" s="9">
        <f t="shared" ca="1" si="48"/>
        <v>48</v>
      </c>
      <c r="G435" s="8">
        <v>44325</v>
      </c>
      <c r="H435" s="48" t="s">
        <v>275</v>
      </c>
      <c r="I435" s="60">
        <v>44740</v>
      </c>
      <c r="J435" s="580" t="s">
        <v>271</v>
      </c>
      <c r="K435" s="4" t="str">
        <f t="shared" si="49"/>
        <v>I</v>
      </c>
      <c r="L435" s="7" t="str">
        <f t="shared" si="50"/>
        <v>G8</v>
      </c>
      <c r="M435" s="7" t="str">
        <f t="shared" si="51"/>
        <v>J1</v>
      </c>
      <c r="N435" s="62" t="str">
        <f t="shared" si="52"/>
        <v/>
      </c>
      <c r="O435" s="8">
        <f t="shared" si="56"/>
        <v>45836</v>
      </c>
      <c r="P435" s="9" t="str">
        <f t="shared" ca="1" si="54"/>
        <v>ATRASADO</v>
      </c>
      <c r="Q435" s="12" t="s">
        <v>1556</v>
      </c>
      <c r="R435" s="9"/>
      <c r="S435" s="9" t="str">
        <f t="shared" si="55"/>
        <v/>
      </c>
    </row>
    <row r="436" spans="1:19" x14ac:dyDescent="0.3">
      <c r="A436" s="9">
        <v>432</v>
      </c>
      <c r="B436" s="2" t="s">
        <v>45</v>
      </c>
      <c r="C436" s="76" t="s">
        <v>1794</v>
      </c>
      <c r="D436" s="17" t="s">
        <v>1795</v>
      </c>
      <c r="E436" s="26">
        <v>25345</v>
      </c>
      <c r="F436" s="9">
        <f t="shared" ca="1" si="48"/>
        <v>57</v>
      </c>
      <c r="G436" s="8">
        <v>43607</v>
      </c>
      <c r="H436" s="48" t="s">
        <v>954</v>
      </c>
      <c r="I436" s="60">
        <v>44722</v>
      </c>
      <c r="J436" s="580" t="s">
        <v>271</v>
      </c>
      <c r="K436" s="4" t="str">
        <f t="shared" si="49"/>
        <v>I</v>
      </c>
      <c r="L436" s="7" t="str">
        <f t="shared" si="50"/>
        <v>G8</v>
      </c>
      <c r="M436" s="7" t="str">
        <f t="shared" si="51"/>
        <v>J1</v>
      </c>
      <c r="N436" s="62" t="str">
        <f t="shared" si="52"/>
        <v/>
      </c>
      <c r="O436" s="8">
        <f t="shared" si="56"/>
        <v>45818</v>
      </c>
      <c r="P436" s="9" t="str">
        <f t="shared" ca="1" si="54"/>
        <v>ATRASADO</v>
      </c>
      <c r="Q436" s="12" t="s">
        <v>1556</v>
      </c>
      <c r="R436" s="9"/>
      <c r="S436" s="9" t="str">
        <f t="shared" si="55"/>
        <v/>
      </c>
    </row>
    <row r="437" spans="1:19" x14ac:dyDescent="0.3">
      <c r="A437" s="9">
        <v>433</v>
      </c>
      <c r="B437" s="2" t="s">
        <v>45</v>
      </c>
      <c r="C437" s="76" t="s">
        <v>1796</v>
      </c>
      <c r="D437" s="17" t="s">
        <v>1797</v>
      </c>
      <c r="E437" s="26">
        <v>28719</v>
      </c>
      <c r="F437" s="9">
        <f t="shared" ca="1" si="48"/>
        <v>48</v>
      </c>
      <c r="G437" s="8">
        <v>43909</v>
      </c>
      <c r="H437" s="48" t="s">
        <v>327</v>
      </c>
      <c r="I437" s="60">
        <v>44731</v>
      </c>
      <c r="J437" s="580" t="s">
        <v>271</v>
      </c>
      <c r="K437" s="4" t="str">
        <f t="shared" si="49"/>
        <v>I</v>
      </c>
      <c r="L437" s="7" t="str">
        <f t="shared" si="50"/>
        <v>G8</v>
      </c>
      <c r="M437" s="7" t="str">
        <f t="shared" si="51"/>
        <v>J1</v>
      </c>
      <c r="N437" s="62" t="str">
        <f t="shared" si="52"/>
        <v/>
      </c>
      <c r="O437" s="8">
        <f t="shared" si="56"/>
        <v>45827</v>
      </c>
      <c r="P437" s="9" t="str">
        <f t="shared" ca="1" si="54"/>
        <v>ATRASADO</v>
      </c>
      <c r="Q437" s="12" t="s">
        <v>1556</v>
      </c>
      <c r="R437" s="9"/>
      <c r="S437" s="9" t="str">
        <f t="shared" si="55"/>
        <v/>
      </c>
    </row>
    <row r="438" spans="1:19" x14ac:dyDescent="0.3">
      <c r="A438" s="9">
        <v>434</v>
      </c>
      <c r="B438" s="2" t="s">
        <v>270</v>
      </c>
      <c r="C438" s="76" t="s">
        <v>1798</v>
      </c>
      <c r="D438" s="17" t="s">
        <v>1799</v>
      </c>
      <c r="E438" s="26">
        <v>28918</v>
      </c>
      <c r="F438" s="9">
        <f t="shared" ca="1" si="48"/>
        <v>47</v>
      </c>
      <c r="G438" s="8">
        <v>43873</v>
      </c>
      <c r="H438" s="48" t="s">
        <v>275</v>
      </c>
      <c r="I438" s="60">
        <v>44715</v>
      </c>
      <c r="J438" s="580" t="s">
        <v>271</v>
      </c>
      <c r="K438" s="4" t="str">
        <f t="shared" si="49"/>
        <v>I</v>
      </c>
      <c r="L438" s="7" t="str">
        <f t="shared" si="50"/>
        <v>G8</v>
      </c>
      <c r="M438" s="7" t="str">
        <f t="shared" si="51"/>
        <v>J1</v>
      </c>
      <c r="N438" s="62" t="str">
        <f t="shared" si="52"/>
        <v/>
      </c>
      <c r="O438" s="8">
        <f t="shared" si="56"/>
        <v>45811</v>
      </c>
      <c r="P438" s="9" t="str">
        <f t="shared" ca="1" si="54"/>
        <v>ATRASADO</v>
      </c>
      <c r="Q438" s="12" t="s">
        <v>1556</v>
      </c>
      <c r="R438" s="9"/>
      <c r="S438" s="9" t="str">
        <f t="shared" si="55"/>
        <v/>
      </c>
    </row>
    <row r="439" spans="1:19" x14ac:dyDescent="0.3">
      <c r="A439" s="9">
        <v>435</v>
      </c>
      <c r="B439" s="2" t="s">
        <v>56</v>
      </c>
      <c r="C439" s="76" t="s">
        <v>1800</v>
      </c>
      <c r="D439" s="17" t="s">
        <v>1801</v>
      </c>
      <c r="E439" s="26">
        <v>31333</v>
      </c>
      <c r="F439" s="9">
        <f t="shared" ca="1" si="48"/>
        <v>40</v>
      </c>
      <c r="G439" s="8">
        <v>44244</v>
      </c>
      <c r="H439" s="49" t="s">
        <v>327</v>
      </c>
      <c r="I439" s="60">
        <v>44716</v>
      </c>
      <c r="J439" s="580" t="s">
        <v>271</v>
      </c>
      <c r="K439" s="4" t="str">
        <f t="shared" si="49"/>
        <v>I</v>
      </c>
      <c r="L439" s="7" t="str">
        <f t="shared" si="50"/>
        <v>G8</v>
      </c>
      <c r="M439" s="7" t="str">
        <f t="shared" si="51"/>
        <v>J1</v>
      </c>
      <c r="N439" s="62" t="str">
        <f t="shared" si="52"/>
        <v/>
      </c>
      <c r="O439" s="8">
        <f t="shared" si="56"/>
        <v>45812</v>
      </c>
      <c r="P439" s="9" t="str">
        <f t="shared" ca="1" si="54"/>
        <v>ATRASADO</v>
      </c>
      <c r="Q439" s="12" t="s">
        <v>1556</v>
      </c>
      <c r="R439" s="9"/>
      <c r="S439" s="9" t="str">
        <f t="shared" si="55"/>
        <v/>
      </c>
    </row>
    <row r="440" spans="1:19" x14ac:dyDescent="0.3">
      <c r="A440" s="9">
        <v>436</v>
      </c>
      <c r="B440" s="2" t="s">
        <v>111</v>
      </c>
      <c r="C440" s="76" t="s">
        <v>1802</v>
      </c>
      <c r="D440" s="17" t="s">
        <v>1803</v>
      </c>
      <c r="E440" s="26">
        <v>22562</v>
      </c>
      <c r="F440" s="9">
        <f t="shared" ca="1" si="48"/>
        <v>64</v>
      </c>
      <c r="G440" s="9" t="s">
        <v>8</v>
      </c>
      <c r="H440" s="49" t="s">
        <v>275</v>
      </c>
      <c r="I440" s="60">
        <v>44733</v>
      </c>
      <c r="J440" s="580" t="s">
        <v>275</v>
      </c>
      <c r="K440" s="4" t="str">
        <f t="shared" si="49"/>
        <v>I</v>
      </c>
      <c r="L440" s="7" t="str">
        <f t="shared" si="50"/>
        <v>G8</v>
      </c>
      <c r="M440" s="7" t="str">
        <f t="shared" si="51"/>
        <v/>
      </c>
      <c r="N440" s="62" t="str">
        <f t="shared" si="52"/>
        <v/>
      </c>
      <c r="O440" s="8">
        <f t="shared" si="56"/>
        <v>45829</v>
      </c>
      <c r="P440" s="9" t="str">
        <f t="shared" ca="1" si="54"/>
        <v>ATRASADO</v>
      </c>
      <c r="Q440" s="12" t="s">
        <v>1556</v>
      </c>
      <c r="R440" s="9"/>
      <c r="S440" s="9" t="str">
        <f t="shared" si="55"/>
        <v/>
      </c>
    </row>
    <row r="441" spans="1:19" x14ac:dyDescent="0.3">
      <c r="A441" s="9">
        <v>437</v>
      </c>
      <c r="B441" s="2" t="s">
        <v>56</v>
      </c>
      <c r="C441" s="76" t="s">
        <v>1804</v>
      </c>
      <c r="D441" s="17" t="s">
        <v>1805</v>
      </c>
      <c r="E441" s="26">
        <v>25807</v>
      </c>
      <c r="F441" s="9">
        <f t="shared" ca="1" si="48"/>
        <v>56</v>
      </c>
      <c r="G441" s="8">
        <v>43194</v>
      </c>
      <c r="H441" s="49" t="s">
        <v>275</v>
      </c>
      <c r="I441" s="60">
        <v>44714</v>
      </c>
      <c r="J441" s="580" t="s">
        <v>271</v>
      </c>
      <c r="K441" s="4" t="str">
        <f t="shared" si="49"/>
        <v>I</v>
      </c>
      <c r="L441" s="7" t="str">
        <f t="shared" si="50"/>
        <v>G8</v>
      </c>
      <c r="M441" s="7" t="str">
        <f t="shared" si="51"/>
        <v>J1</v>
      </c>
      <c r="N441" s="62" t="str">
        <f t="shared" si="52"/>
        <v/>
      </c>
      <c r="O441" s="8">
        <f t="shared" si="56"/>
        <v>45810</v>
      </c>
      <c r="P441" s="9" t="str">
        <f t="shared" ca="1" si="54"/>
        <v>ATRASADO</v>
      </c>
      <c r="Q441" s="12" t="s">
        <v>1556</v>
      </c>
      <c r="R441" s="9"/>
      <c r="S441" s="9" t="str">
        <f t="shared" si="55"/>
        <v/>
      </c>
    </row>
    <row r="442" spans="1:19" x14ac:dyDescent="0.3">
      <c r="A442" s="9">
        <v>438</v>
      </c>
      <c r="B442" s="2" t="s">
        <v>78</v>
      </c>
      <c r="C442" s="76" t="s">
        <v>1806</v>
      </c>
      <c r="D442" s="17" t="s">
        <v>1807</v>
      </c>
      <c r="E442" s="26">
        <v>23247</v>
      </c>
      <c r="F442" s="9">
        <f t="shared" ca="1" si="48"/>
        <v>63</v>
      </c>
      <c r="G442" s="8">
        <v>44221</v>
      </c>
      <c r="H442" s="49" t="s">
        <v>275</v>
      </c>
      <c r="I442" s="60">
        <v>44733</v>
      </c>
      <c r="J442" s="580" t="s">
        <v>8</v>
      </c>
      <c r="K442" s="4" t="str">
        <f t="shared" si="49"/>
        <v>SI</v>
      </c>
      <c r="L442" s="7" t="str">
        <f t="shared" si="50"/>
        <v xml:space="preserve">N </v>
      </c>
      <c r="M442" s="7" t="str">
        <f t="shared" si="51"/>
        <v>RE</v>
      </c>
      <c r="N442" s="62" t="str">
        <f t="shared" si="52"/>
        <v>GI</v>
      </c>
      <c r="O442" s="8">
        <f t="shared" si="56"/>
        <v>45829</v>
      </c>
      <c r="P442" s="9" t="str">
        <f t="shared" ca="1" si="54"/>
        <v>ATRASADO</v>
      </c>
      <c r="Q442" s="12" t="s">
        <v>1556</v>
      </c>
      <c r="R442" s="9"/>
      <c r="S442" s="9" t="str">
        <f t="shared" si="55"/>
        <v/>
      </c>
    </row>
    <row r="443" spans="1:19" x14ac:dyDescent="0.3">
      <c r="A443" s="9">
        <v>439</v>
      </c>
      <c r="B443" s="2" t="s">
        <v>78</v>
      </c>
      <c r="C443" s="76" t="s">
        <v>1808</v>
      </c>
      <c r="D443" s="17" t="s">
        <v>1809</v>
      </c>
      <c r="E443" s="26">
        <v>35527</v>
      </c>
      <c r="F443" s="9">
        <f t="shared" ca="1" si="48"/>
        <v>29</v>
      </c>
      <c r="G443" s="9" t="s">
        <v>8</v>
      </c>
      <c r="H443" s="50" t="s">
        <v>271</v>
      </c>
      <c r="I443" s="60">
        <v>44741</v>
      </c>
      <c r="J443" s="580" t="s">
        <v>340</v>
      </c>
      <c r="K443" s="4" t="str">
        <f t="shared" si="49"/>
        <v>I</v>
      </c>
      <c r="L443" s="7" t="str">
        <f t="shared" si="50"/>
        <v>G8</v>
      </c>
      <c r="M443" s="7" t="str">
        <f t="shared" si="51"/>
        <v>S</v>
      </c>
      <c r="N443" s="62" t="str">
        <f t="shared" si="52"/>
        <v/>
      </c>
      <c r="O443" s="8">
        <f t="shared" si="56"/>
        <v>45106</v>
      </c>
      <c r="P443" s="9" t="str">
        <f t="shared" ca="1" si="54"/>
        <v>ATRASADO</v>
      </c>
      <c r="Q443" s="12" t="s">
        <v>1556</v>
      </c>
      <c r="R443" s="9"/>
      <c r="S443" s="9" t="str">
        <f t="shared" si="55"/>
        <v/>
      </c>
    </row>
    <row r="444" spans="1:19" x14ac:dyDescent="0.3">
      <c r="A444" s="9">
        <v>440</v>
      </c>
      <c r="B444" s="2" t="s">
        <v>78</v>
      </c>
      <c r="C444" s="76" t="s">
        <v>1810</v>
      </c>
      <c r="D444" s="17" t="s">
        <v>1811</v>
      </c>
      <c r="E444" s="26">
        <v>22299</v>
      </c>
      <c r="F444" s="9">
        <f t="shared" ca="1" si="48"/>
        <v>65</v>
      </c>
      <c r="G444" s="8">
        <v>43937</v>
      </c>
      <c r="H444" s="50" t="s">
        <v>271</v>
      </c>
      <c r="I444" s="60">
        <v>44742</v>
      </c>
      <c r="J444" s="580" t="s">
        <v>275</v>
      </c>
      <c r="K444" s="4" t="str">
        <f t="shared" si="49"/>
        <v>I</v>
      </c>
      <c r="L444" s="7" t="str">
        <f t="shared" si="50"/>
        <v>G8</v>
      </c>
      <c r="M444" s="7" t="str">
        <f t="shared" si="51"/>
        <v/>
      </c>
      <c r="N444" s="62" t="str">
        <f t="shared" si="52"/>
        <v/>
      </c>
      <c r="O444" s="8">
        <f t="shared" si="56"/>
        <v>45838</v>
      </c>
      <c r="P444" s="9" t="str">
        <f t="shared" ca="1" si="54"/>
        <v>ATRASADO</v>
      </c>
      <c r="Q444" s="12" t="s">
        <v>1556</v>
      </c>
      <c r="R444" s="9"/>
      <c r="S444" s="9" t="str">
        <f t="shared" si="55"/>
        <v/>
      </c>
    </row>
    <row r="445" spans="1:19" x14ac:dyDescent="0.3">
      <c r="A445" s="9">
        <v>441</v>
      </c>
      <c r="B445" s="2" t="s">
        <v>78</v>
      </c>
      <c r="C445" s="76" t="s">
        <v>1812</v>
      </c>
      <c r="D445" s="17" t="s">
        <v>1813</v>
      </c>
      <c r="E445" s="26">
        <v>33373</v>
      </c>
      <c r="F445" s="9">
        <f t="shared" ca="1" si="48"/>
        <v>35</v>
      </c>
      <c r="G445" s="8">
        <v>42942</v>
      </c>
      <c r="H445" s="50" t="s">
        <v>275</v>
      </c>
      <c r="I445" s="60">
        <v>44720</v>
      </c>
      <c r="J445" s="580" t="s">
        <v>8</v>
      </c>
      <c r="K445" s="4" t="str">
        <f t="shared" si="49"/>
        <v>SI</v>
      </c>
      <c r="L445" s="7" t="str">
        <f t="shared" si="50"/>
        <v xml:space="preserve">N </v>
      </c>
      <c r="M445" s="7" t="str">
        <f t="shared" si="51"/>
        <v>RE</v>
      </c>
      <c r="N445" s="62" t="str">
        <f t="shared" si="52"/>
        <v>GI</v>
      </c>
      <c r="O445" s="8">
        <f t="shared" si="56"/>
        <v>45816</v>
      </c>
      <c r="P445" s="9" t="str">
        <f t="shared" ca="1" si="54"/>
        <v>ATRASADO</v>
      </c>
      <c r="Q445" s="12" t="s">
        <v>1556</v>
      </c>
      <c r="R445" s="9"/>
      <c r="S445" s="9" t="str">
        <f t="shared" si="55"/>
        <v/>
      </c>
    </row>
    <row r="446" spans="1:19" x14ac:dyDescent="0.3">
      <c r="A446" s="9">
        <v>442</v>
      </c>
      <c r="B446" s="2" t="s">
        <v>78</v>
      </c>
      <c r="C446" s="76" t="s">
        <v>1814</v>
      </c>
      <c r="D446" s="17" t="s">
        <v>1815</v>
      </c>
      <c r="E446" s="26">
        <v>24552</v>
      </c>
      <c r="F446" s="9">
        <f t="shared" ca="1" si="48"/>
        <v>59</v>
      </c>
      <c r="G446" s="8">
        <v>43550</v>
      </c>
      <c r="H446" s="50" t="s">
        <v>320</v>
      </c>
      <c r="I446" s="60">
        <v>44719</v>
      </c>
      <c r="J446" s="580" t="s">
        <v>327</v>
      </c>
      <c r="K446" s="4" t="str">
        <f t="shared" si="49"/>
        <v>I</v>
      </c>
      <c r="L446" s="7" t="str">
        <f t="shared" si="50"/>
        <v>G7</v>
      </c>
      <c r="M446" s="7" t="str">
        <f t="shared" si="51"/>
        <v>S</v>
      </c>
      <c r="N446" s="62" t="str">
        <f t="shared" si="52"/>
        <v/>
      </c>
      <c r="O446" s="8">
        <f t="shared" si="56"/>
        <v>45084</v>
      </c>
      <c r="P446" s="9" t="str">
        <f t="shared" ca="1" si="54"/>
        <v>ATRASADO</v>
      </c>
      <c r="Q446" s="12" t="s">
        <v>1556</v>
      </c>
      <c r="R446" s="9"/>
      <c r="S446" s="9" t="str">
        <f t="shared" si="55"/>
        <v/>
      </c>
    </row>
    <row r="447" spans="1:19" x14ac:dyDescent="0.3">
      <c r="A447" s="9">
        <v>443</v>
      </c>
      <c r="B447" s="2" t="s">
        <v>78</v>
      </c>
      <c r="C447" s="76" t="s">
        <v>1816</v>
      </c>
      <c r="D447" s="17" t="s">
        <v>1817</v>
      </c>
      <c r="E447" s="26">
        <v>29992</v>
      </c>
      <c r="F447" s="9">
        <f t="shared" ca="1" si="48"/>
        <v>44</v>
      </c>
      <c r="G447" s="8">
        <v>43312</v>
      </c>
      <c r="H447" s="51" t="s">
        <v>275</v>
      </c>
      <c r="I447" s="60">
        <v>44731</v>
      </c>
      <c r="J447" s="580" t="s">
        <v>275</v>
      </c>
      <c r="K447" s="4" t="str">
        <f t="shared" si="49"/>
        <v>I</v>
      </c>
      <c r="L447" s="7" t="str">
        <f t="shared" si="50"/>
        <v>G8</v>
      </c>
      <c r="M447" s="7" t="str">
        <f t="shared" si="51"/>
        <v/>
      </c>
      <c r="N447" s="62" t="str">
        <f t="shared" si="52"/>
        <v/>
      </c>
      <c r="O447" s="8">
        <f t="shared" si="56"/>
        <v>45827</v>
      </c>
      <c r="P447" s="9" t="str">
        <f t="shared" ca="1" si="54"/>
        <v>ATRASADO</v>
      </c>
      <c r="Q447" s="12" t="s">
        <v>1556</v>
      </c>
      <c r="R447" s="9"/>
      <c r="S447" s="9" t="str">
        <f t="shared" si="55"/>
        <v/>
      </c>
    </row>
    <row r="448" spans="1:19" x14ac:dyDescent="0.3">
      <c r="A448" s="9">
        <v>444</v>
      </c>
      <c r="B448" s="2" t="s">
        <v>56</v>
      </c>
      <c r="C448" s="76" t="s">
        <v>1818</v>
      </c>
      <c r="D448" s="17" t="s">
        <v>1819</v>
      </c>
      <c r="E448" s="26">
        <v>23079</v>
      </c>
      <c r="F448" s="9">
        <f t="shared" ca="1" si="48"/>
        <v>63</v>
      </c>
      <c r="G448" s="8">
        <v>43350</v>
      </c>
      <c r="H448" s="51" t="s">
        <v>275</v>
      </c>
      <c r="I448" s="60">
        <v>44727</v>
      </c>
      <c r="J448" s="580" t="s">
        <v>8</v>
      </c>
      <c r="K448" s="4" t="str">
        <f t="shared" si="49"/>
        <v>SI</v>
      </c>
      <c r="L448" s="7" t="str">
        <f t="shared" si="50"/>
        <v xml:space="preserve">N </v>
      </c>
      <c r="M448" s="7" t="str">
        <f t="shared" si="51"/>
        <v>RE</v>
      </c>
      <c r="N448" s="62" t="str">
        <f t="shared" si="52"/>
        <v>GI</v>
      </c>
      <c r="O448" s="8">
        <f t="shared" si="56"/>
        <v>45823</v>
      </c>
      <c r="P448" s="9" t="str">
        <f t="shared" ca="1" si="54"/>
        <v>ATRASADO</v>
      </c>
      <c r="Q448" s="12" t="s">
        <v>1556</v>
      </c>
      <c r="R448" s="9"/>
      <c r="S448" s="9" t="str">
        <f t="shared" si="55"/>
        <v/>
      </c>
    </row>
    <row r="449" spans="1:19" x14ac:dyDescent="0.3">
      <c r="A449" s="9">
        <v>445</v>
      </c>
      <c r="B449" s="2" t="s">
        <v>78</v>
      </c>
      <c r="C449" s="76" t="s">
        <v>1820</v>
      </c>
      <c r="D449" s="17" t="s">
        <v>1821</v>
      </c>
      <c r="E449" s="26">
        <v>30389</v>
      </c>
      <c r="F449" s="9">
        <f t="shared" ca="1" si="48"/>
        <v>43</v>
      </c>
      <c r="G449" s="8">
        <v>44262</v>
      </c>
      <c r="H449" s="51" t="s">
        <v>363</v>
      </c>
      <c r="I449" s="60">
        <v>44728</v>
      </c>
      <c r="J449" s="580" t="s">
        <v>275</v>
      </c>
      <c r="K449" s="4" t="str">
        <f t="shared" si="49"/>
        <v>I</v>
      </c>
      <c r="L449" s="7" t="str">
        <f t="shared" si="50"/>
        <v>G8</v>
      </c>
      <c r="M449" s="7" t="str">
        <f t="shared" si="51"/>
        <v/>
      </c>
      <c r="N449" s="62" t="str">
        <f t="shared" si="52"/>
        <v/>
      </c>
      <c r="O449" s="8">
        <f t="shared" si="56"/>
        <v>45824</v>
      </c>
      <c r="P449" s="9" t="str">
        <f t="shared" ca="1" si="54"/>
        <v>ATRASADO</v>
      </c>
      <c r="Q449" s="12" t="s">
        <v>1556</v>
      </c>
      <c r="R449" s="9"/>
      <c r="S449" s="9" t="str">
        <f t="shared" si="55"/>
        <v/>
      </c>
    </row>
    <row r="450" spans="1:19" x14ac:dyDescent="0.3">
      <c r="A450" s="9">
        <v>446</v>
      </c>
      <c r="B450" s="2" t="s">
        <v>78</v>
      </c>
      <c r="C450" s="76" t="s">
        <v>1822</v>
      </c>
      <c r="D450" s="17" t="s">
        <v>1823</v>
      </c>
      <c r="E450" s="26">
        <v>26413</v>
      </c>
      <c r="F450" s="9">
        <f t="shared" ca="1" si="48"/>
        <v>54</v>
      </c>
      <c r="G450" s="8">
        <v>43600</v>
      </c>
      <c r="H450" s="51" t="s">
        <v>275</v>
      </c>
      <c r="I450" s="60">
        <v>44736</v>
      </c>
      <c r="J450" s="580" t="s">
        <v>300</v>
      </c>
      <c r="K450" s="4" t="str">
        <f t="shared" si="49"/>
        <v>G4</v>
      </c>
      <c r="L450" s="7" t="str">
        <f t="shared" si="50"/>
        <v>O5</v>
      </c>
      <c r="M450" s="7" t="str">
        <f t="shared" si="51"/>
        <v/>
      </c>
      <c r="N450" s="62" t="str">
        <f t="shared" si="52"/>
        <v/>
      </c>
      <c r="O450" s="8">
        <f t="shared" si="56"/>
        <v>44828</v>
      </c>
      <c r="P450" s="9" t="str">
        <f t="shared" ca="1" si="54"/>
        <v>ATRASADO</v>
      </c>
      <c r="Q450" s="12" t="s">
        <v>1556</v>
      </c>
      <c r="R450" s="64"/>
      <c r="S450" s="9" t="str">
        <f t="shared" si="55"/>
        <v/>
      </c>
    </row>
    <row r="451" spans="1:19" x14ac:dyDescent="0.3">
      <c r="A451" s="9">
        <v>447</v>
      </c>
      <c r="B451" s="2" t="s">
        <v>78</v>
      </c>
      <c r="C451" s="76" t="s">
        <v>1824</v>
      </c>
      <c r="D451" s="17" t="s">
        <v>1825</v>
      </c>
      <c r="E451" s="26">
        <v>29818</v>
      </c>
      <c r="F451" s="9">
        <f t="shared" ca="1" si="48"/>
        <v>45</v>
      </c>
      <c r="G451" s="8">
        <v>43040</v>
      </c>
      <c r="H451" s="51" t="s">
        <v>327</v>
      </c>
      <c r="I451" s="60">
        <v>44717</v>
      </c>
      <c r="J451" s="580" t="s">
        <v>320</v>
      </c>
      <c r="K451" s="4" t="str">
        <f t="shared" si="49"/>
        <v>I</v>
      </c>
      <c r="L451" s="7" t="str">
        <f t="shared" si="50"/>
        <v>G8</v>
      </c>
      <c r="M451" s="7" t="str">
        <f t="shared" si="51"/>
        <v>J1</v>
      </c>
      <c r="N451" s="62" t="str">
        <f t="shared" si="52"/>
        <v>S</v>
      </c>
      <c r="O451" s="8">
        <f t="shared" si="56"/>
        <v>45082</v>
      </c>
      <c r="P451" s="9" t="str">
        <f t="shared" ca="1" si="54"/>
        <v>ATRASADO</v>
      </c>
      <c r="Q451" s="12" t="s">
        <v>1556</v>
      </c>
      <c r="R451" s="9"/>
      <c r="S451" s="9" t="str">
        <f t="shared" si="55"/>
        <v/>
      </c>
    </row>
    <row r="452" spans="1:19" x14ac:dyDescent="0.3">
      <c r="A452" s="9">
        <v>448</v>
      </c>
      <c r="B452" s="2" t="s">
        <v>78</v>
      </c>
      <c r="C452" s="76" t="s">
        <v>1826</v>
      </c>
      <c r="D452" s="17" t="s">
        <v>1827</v>
      </c>
      <c r="E452" s="26">
        <v>31726</v>
      </c>
      <c r="F452" s="9">
        <f t="shared" ca="1" si="48"/>
        <v>39</v>
      </c>
      <c r="G452" s="8">
        <v>43543</v>
      </c>
      <c r="H452" s="52" t="s">
        <v>340</v>
      </c>
      <c r="I452" s="60">
        <v>44717</v>
      </c>
      <c r="J452" s="580" t="s">
        <v>271</v>
      </c>
      <c r="K452" s="4" t="str">
        <f t="shared" si="49"/>
        <v>I</v>
      </c>
      <c r="L452" s="7" t="str">
        <f t="shared" si="50"/>
        <v>G8</v>
      </c>
      <c r="M452" s="7" t="str">
        <f t="shared" si="51"/>
        <v>J1</v>
      </c>
      <c r="N452" s="62" t="str">
        <f t="shared" si="52"/>
        <v/>
      </c>
      <c r="O452" s="8">
        <f t="shared" si="56"/>
        <v>45813</v>
      </c>
      <c r="P452" s="9" t="str">
        <f t="shared" ca="1" si="54"/>
        <v>ATRASADO</v>
      </c>
      <c r="Q452" s="12" t="s">
        <v>1556</v>
      </c>
      <c r="R452" s="9"/>
      <c r="S452" s="9" t="str">
        <f t="shared" si="55"/>
        <v/>
      </c>
    </row>
    <row r="453" spans="1:19" x14ac:dyDescent="0.3">
      <c r="A453" s="9">
        <v>449</v>
      </c>
      <c r="B453" s="2" t="s">
        <v>78</v>
      </c>
      <c r="C453" s="76" t="s">
        <v>1828</v>
      </c>
      <c r="D453" s="17" t="s">
        <v>1829</v>
      </c>
      <c r="E453" s="26">
        <v>26897</v>
      </c>
      <c r="F453" s="9">
        <f t="shared" ref="F453:F674" ca="1" si="57">IF(E453="","",DATEDIF(E453,TODAY(),"Y"))</f>
        <v>53</v>
      </c>
      <c r="G453" s="8">
        <v>43412</v>
      </c>
      <c r="H453" s="52" t="s">
        <v>275</v>
      </c>
      <c r="I453" s="60">
        <v>44742</v>
      </c>
      <c r="J453" s="580" t="s">
        <v>8</v>
      </c>
      <c r="K453" s="4" t="str">
        <f t="shared" ref="K453:K516" si="58">IF(OR(LEFT(J453,2)="T1",LEFT(J453,2)="T2",LEFT(J453,2)="A1",LEFT(J453,2)="D0",LEFT(J453,2)="D1",LEFT(J453,2)="D2",LEFT(J453,2)="D3",LEFT(J453,2)="E1",LEFT(J453,2)="E2"),LEFT(J453,2),IF(OR(LEFT(J453,1)="A",LEFT(J453,1)="B",LEFT(J453,1)="C",LEFT(J453,1)="D",LEFT(J453,1)="I",LEFT(J453,1)="E",LEFT(J453,1)="K",LEFT(J453,1)="T"),LEFT(J453,1),LEFT(J453,2)))</f>
        <v>SI</v>
      </c>
      <c r="L453" s="7" t="str">
        <f t="shared" ref="L453:L516" si="59">IF(AND(OR(LEFT(J453,2)="A1",LEFT(J453,2)="D0",LEFT(J453,2)="D1",LEFT(J453,2)="D2",LEFT(J453,2)="D3",LEFT(J453,2)="E1",LEFT(J453,2)="E2",LEFT(J453,2)="T1",LEFT(J453,2)="T2"),OR(MID(J453,3,1)="A",MID(J453,3,1)="B",MID(J453,3,1)="C",MID(J453,3,1)="D",MID(J453,3,1)="E",MID(J453,3,1)="I",MID(J453,3,1)="K",MID(J453,3,1)="T",MID(J453,3,1)="N",)),MID(J453,3,1),IF(OR(LEFT(J453,2)="A1",LEFT(J453,2)="D0",LEFT(J453,2)="D1",LEFT(J453,2)="D2",LEFT(J453,2)="D3",LEFT(J453,2)="E1",LEFT(J453,2)="E2",LEFT(J453,2)="T1",LEFT(J453,2)="T2"),MID(J453,3,2),IF(AND(OR(LEFT(J453,1)="A",LEFT(J453,1)="B",LEFT(J453,1)="C",LEFT(J453,1)="D",LEFT(J453,1)="E",LEFT(J453,1)="I",LEFT(J453,1)="K",LEFT(J453,1)="T",LEFT(J453,1)="N"),OR(MID(J453,2,1)="A",MID(J453,2,1)="B",MID(J453,2,1)="C",MID(J453,2,1)="D",MID(J453,2,1)="E",MID(J453,2,1)="I",MID(J453,2,1)="K",MID(J453,2,1)="T",MID(J453,2,1)="N")),MID(J453,2,2),IF(OR(LEFT(J453,1)="A",LEFT(J453,1)="B",LEFT(J453,1)="C",LEFT(J453,1)="D",LEFT(J453,1)="E",LEFT(J453,1)="I",LEFT(J453,1)="K",LEFT(J453,1)="T",LEFT(J453,1)="N"),MID(J453,2,2),MID(J453,3,2)))))</f>
        <v xml:space="preserve">N </v>
      </c>
      <c r="M453" s="7" t="str">
        <f t="shared" ref="M453:M516" si="60">IF(AND(OR(LEFT(J453,2)="A1",LEFT(J453,2)="D0",LEFT(J453,2)="D1",LEFT(J453,2)="D2",LEFT(J453,2)="D3",LEFT(J453,2)="E1",LEFT(J453,2)="E2",LEFT(J453,2)="T1",LEFT(J453,2)="T2"),OR(MID(J453,3,1)="A",MID(J453,3,1)="B",MID(J453,3,1)="C",MID(J453,3,1)="D",MID(J453,3,1)="E",MID(J453,3,1)="I",MID(J453,3,1)="K",MID(J453,3,1)="T",MID(J453,3,1)="N",)),MID(J453,4,2),IF(OR(LEFT(J453,2)="A1",LEFT(J453,2)="D0",LEFT(J453,2)="D1",LEFT(J453,2)="D2",LEFT(J453,2)="D3",LEFT(J453,2)="E1",LEFT(J453,2)="E2",LEFT(J453,2)="T1",LEFT(J453,2)="T2"),MID(J453,5,2),IF(AND(OR(LEFT(J453,1)="A",LEFT(J453,1)="B",LEFT(J453,1)="C",LEFT(J453,1)="D",LEFT(J453,1)="E",LEFT(J453,1)="I",LEFT(J453,1)="K",LEFT(J453,1)="T",LEFT(J453,1)="N"),OR(MID(J453,2,1)="A",MID(J453,2,1)="B",MID(J453,2,1)="C",MID(J453,2,1)="D",MID(J453,2,1)="E",MID(J453,2,1)="I",MID(J453,2,1)="K",MID(J453,2,1)="T",MID(J453,2,1)="N")),MID(J453,3,2),IF(OR(LEFT(J453,1)="A",LEFT(J453,1)="B",LEFT(J453,1)="C",LEFT(J453,1)="D",LEFT(J453,1)="E",LEFT(J453,1)="I",LEFT(J453,1)="K",LEFT(J453,1)="T",LEFT(J453,1)="N"),MID(J453,4,2),MID(J453,5,2)))))</f>
        <v>RE</v>
      </c>
      <c r="N453" s="62" t="str">
        <f t="shared" ref="N453:N516" si="61">IF(AND(OR(LEFT(J453,1)="I",LEFT(J453,1)="T",LEFT(J453,1)="A",LEFT(J453,1)="B",LEFT(J453,1)="C",LEFT(J453,1)="D",LEFT(J453,1)="E"),OR(MID(J453,2,1)="I",MID(J453,2,1)="T",MID(J453,2,1)="A",MID(J453,2,1)="B",MID(J453,2,1)="C",MID(J453,2,1)="D",MID(J453,2,1)="E")),MID(J453,5,2),IF(OR(LEFT(J453,1)="I",LEFT(J453,1)="T",LEFT(J453,1)="A",LEFT(J453,1)="B",LEFT(J453,1)="C",LEFT(J453,1)="D",LEFT(J453,1)="E"),MID(J453,6,2),MID(J453,7,2)))</f>
        <v>GI</v>
      </c>
      <c r="O453" s="8">
        <f t="shared" si="56"/>
        <v>45838</v>
      </c>
      <c r="P453" s="9" t="str">
        <f t="shared" ref="P453:P673" ca="1" si="62">IF(O453="","",IF(YEAR(O453)&gt;YEAR(TODAY()),"VIGENTE",IF(AND(YEAR(O453)&gt;=YEAR(TODAY()),MONTH(O453)&gt;=MONTH(TODAY())),"VIGENTE","ATRASADO")))</f>
        <v>ATRASADO</v>
      </c>
      <c r="Q453" s="12" t="s">
        <v>1556</v>
      </c>
      <c r="R453" s="9"/>
      <c r="S453" s="9" t="str">
        <f t="shared" si="55"/>
        <v/>
      </c>
    </row>
    <row r="454" spans="1:19" x14ac:dyDescent="0.3">
      <c r="A454" s="9">
        <v>450</v>
      </c>
      <c r="B454" s="2" t="s">
        <v>78</v>
      </c>
      <c r="C454" s="76" t="s">
        <v>1830</v>
      </c>
      <c r="D454" s="17" t="s">
        <v>1831</v>
      </c>
      <c r="E454" s="26">
        <v>27409</v>
      </c>
      <c r="F454" s="9">
        <f t="shared" ca="1" si="57"/>
        <v>51</v>
      </c>
      <c r="G454" s="8">
        <v>44004</v>
      </c>
      <c r="H454" s="52" t="s">
        <v>275</v>
      </c>
      <c r="I454" s="60">
        <v>44720</v>
      </c>
      <c r="J454" s="580" t="s">
        <v>271</v>
      </c>
      <c r="K454" s="4" t="str">
        <f t="shared" si="58"/>
        <v>I</v>
      </c>
      <c r="L454" s="7" t="str">
        <f t="shared" si="59"/>
        <v>G8</v>
      </c>
      <c r="M454" s="7" t="str">
        <f t="shared" si="60"/>
        <v>J1</v>
      </c>
      <c r="N454" s="62" t="str">
        <f t="shared" si="61"/>
        <v/>
      </c>
      <c r="O454" s="8">
        <f t="shared" si="56"/>
        <v>45816</v>
      </c>
      <c r="P454" s="9" t="str">
        <f t="shared" ca="1" si="62"/>
        <v>ATRASADO</v>
      </c>
      <c r="Q454" s="12" t="s">
        <v>1556</v>
      </c>
      <c r="R454" s="9"/>
      <c r="S454" s="9" t="str">
        <f t="shared" ref="S454:S489" si="63">IF(OR(K454="T1",L454="T1",M454="T1",N454="T1",),"LESION SOSPECHOSA A UPC",IF(OR(K454="T2",L454="T2",M454="T2",N454="T2",),"DERIVAR A UPC POR SEGUNDO ATIPICO",IF(OR(K454="J2",L454="J2",M454="J2",N454="J2",),"TRICOMONAS",IF(OR(K454="J3",L454="J3",M454="J3",N454="J3",),"HERPES SIMPLEX",IF(OR(K454="J5",L454="J5",M454="J5",N454="J5",),"CANDIDA",IF(OR(K454="J6",L454="J6",M454="J6",N454="J6",),"ACTINOMYCES",IF(OR(K454="A1",L454="A1",M454="A1",N454="A1",),"VPH",IF(OR(K454="ASC-H",L454="ASC-H",M454="ASC-H",K454="H2",K454="H3",K454="H4",N454="ASC-H",K454="AGUS",L454="AGUS",L454="H2",L454="H3",L454="H4",M454="AGUS",M454="H2",M454="H3",M454="H4",N454="AGUS",N454="H2",N454="H3",N454="H4"),"MANDAR A UPC / COLPOSCOPIA",IF(OR(K454="A",K454="B",K454="C",K454="D",K454="D0",K454="D1",K454="D2",K454="D3",K454="E",K454="E1",K454="E2",K454="K",K454="T",L454="A",L454="B",L454="C",L454="D",L454="D0",L454="D1",L454="D2",L454="D3",L454="E",L454="E1",L454="E2",L454="K",L454="T",M454="A",M454="B",M454="C",M454="D",M454="D0",M454="D1",M454="D2",M454="D3",M454="E",M454="E1",M454="E2",M454="K",M454="T",N454="A",N454="B",N454="C",N454="D",N454="D0",N454="D1",K454="D2",N454="D2",N454="D3",N454="E",N454="E1",N454="E2",N454="K",N454="T",),"CITAR A UPC","")))))))))</f>
        <v/>
      </c>
    </row>
    <row r="455" spans="1:19" x14ac:dyDescent="0.3">
      <c r="A455" s="9">
        <v>451</v>
      </c>
      <c r="B455" s="2" t="s">
        <v>78</v>
      </c>
      <c r="C455" s="76" t="s">
        <v>1832</v>
      </c>
      <c r="D455" s="23" t="s">
        <v>1833</v>
      </c>
      <c r="E455" s="26">
        <v>36533</v>
      </c>
      <c r="F455" s="9">
        <f t="shared" ca="1" si="57"/>
        <v>26</v>
      </c>
      <c r="G455" s="8">
        <v>44108</v>
      </c>
      <c r="H455" s="52" t="s">
        <v>275</v>
      </c>
      <c r="I455" s="60">
        <v>44714</v>
      </c>
      <c r="J455" s="580" t="s">
        <v>735</v>
      </c>
      <c r="K455" s="4" t="str">
        <f t="shared" si="58"/>
        <v>G3</v>
      </c>
      <c r="L455" s="7" t="str">
        <f t="shared" si="59"/>
        <v>O5</v>
      </c>
      <c r="M455" s="7" t="str">
        <f t="shared" si="60"/>
        <v/>
      </c>
      <c r="N455" s="62" t="str">
        <f t="shared" si="61"/>
        <v/>
      </c>
      <c r="O455" s="8">
        <f t="shared" si="56"/>
        <v>44806</v>
      </c>
      <c r="P455" s="9" t="str">
        <f t="shared" ca="1" si="62"/>
        <v>ATRASADO</v>
      </c>
      <c r="Q455" s="12" t="s">
        <v>1556</v>
      </c>
      <c r="R455" s="9"/>
      <c r="S455" s="9" t="str">
        <f t="shared" si="63"/>
        <v/>
      </c>
    </row>
    <row r="456" spans="1:19" x14ac:dyDescent="0.3">
      <c r="A456" s="9">
        <v>452</v>
      </c>
      <c r="B456" s="2" t="s">
        <v>78</v>
      </c>
      <c r="C456" s="76" t="s">
        <v>1834</v>
      </c>
      <c r="D456" s="17" t="s">
        <v>1835</v>
      </c>
      <c r="E456" s="26">
        <v>22142</v>
      </c>
      <c r="F456" s="9">
        <f t="shared" ca="1" si="57"/>
        <v>66</v>
      </c>
      <c r="G456" s="8">
        <v>42854</v>
      </c>
      <c r="H456" s="52" t="s">
        <v>594</v>
      </c>
      <c r="I456" s="60">
        <v>44731</v>
      </c>
      <c r="J456" s="580" t="s">
        <v>324</v>
      </c>
      <c r="K456" s="4" t="str">
        <f t="shared" si="58"/>
        <v>G1</v>
      </c>
      <c r="L456" s="7" t="str">
        <f t="shared" si="59"/>
        <v>O5</v>
      </c>
      <c r="M456" s="7" t="str">
        <f t="shared" si="60"/>
        <v/>
      </c>
      <c r="N456" s="62" t="str">
        <f t="shared" si="61"/>
        <v/>
      </c>
      <c r="O456" s="8">
        <f t="shared" si="56"/>
        <v>44823</v>
      </c>
      <c r="P456" s="9" t="str">
        <f t="shared" ca="1" si="62"/>
        <v>ATRASADO</v>
      </c>
      <c r="Q456" s="12" t="s">
        <v>1556</v>
      </c>
      <c r="R456" s="9"/>
      <c r="S456" s="9" t="str">
        <f t="shared" si="63"/>
        <v/>
      </c>
    </row>
    <row r="457" spans="1:19" x14ac:dyDescent="0.3">
      <c r="A457" s="9">
        <v>453</v>
      </c>
      <c r="B457" s="2" t="s">
        <v>78</v>
      </c>
      <c r="C457" s="76" t="s">
        <v>1836</v>
      </c>
      <c r="D457" s="17" t="s">
        <v>1837</v>
      </c>
      <c r="E457" s="26">
        <v>35089</v>
      </c>
      <c r="F457" s="9">
        <f t="shared" ca="1" si="57"/>
        <v>30</v>
      </c>
      <c r="G457" s="8">
        <v>43471</v>
      </c>
      <c r="H457" s="52" t="s">
        <v>275</v>
      </c>
      <c r="I457" s="60">
        <v>44719</v>
      </c>
      <c r="J457" s="580" t="s">
        <v>8</v>
      </c>
      <c r="K457" s="4" t="str">
        <f t="shared" si="58"/>
        <v>SI</v>
      </c>
      <c r="L457" s="7" t="str">
        <f t="shared" si="59"/>
        <v xml:space="preserve">N </v>
      </c>
      <c r="M457" s="7" t="str">
        <f t="shared" si="60"/>
        <v>RE</v>
      </c>
      <c r="N457" s="62" t="str">
        <f t="shared" si="61"/>
        <v>GI</v>
      </c>
      <c r="O457" s="8">
        <f t="shared" si="56"/>
        <v>45815</v>
      </c>
      <c r="P457" s="9" t="str">
        <f t="shared" ca="1" si="62"/>
        <v>ATRASADO</v>
      </c>
      <c r="Q457" s="12" t="s">
        <v>1556</v>
      </c>
      <c r="R457" s="9"/>
      <c r="S457" s="9" t="str">
        <f t="shared" si="63"/>
        <v/>
      </c>
    </row>
    <row r="458" spans="1:19" x14ac:dyDescent="0.3">
      <c r="A458" s="9">
        <v>454</v>
      </c>
      <c r="B458" s="2" t="s">
        <v>45</v>
      </c>
      <c r="C458" s="76" t="s">
        <v>1838</v>
      </c>
      <c r="D458" s="17" t="s">
        <v>1839</v>
      </c>
      <c r="E458" s="26">
        <v>29646</v>
      </c>
      <c r="F458" s="9">
        <f t="shared" ca="1" si="57"/>
        <v>45</v>
      </c>
      <c r="G458" s="8">
        <v>43122</v>
      </c>
      <c r="H458" s="52" t="s">
        <v>275</v>
      </c>
      <c r="I458" s="60">
        <v>44715</v>
      </c>
      <c r="J458" s="580" t="s">
        <v>8</v>
      </c>
      <c r="K458" s="4" t="str">
        <f t="shared" si="58"/>
        <v>SI</v>
      </c>
      <c r="L458" s="7" t="str">
        <f t="shared" si="59"/>
        <v xml:space="preserve">N </v>
      </c>
      <c r="M458" s="7" t="str">
        <f t="shared" si="60"/>
        <v>RE</v>
      </c>
      <c r="N458" s="62" t="str">
        <f t="shared" si="61"/>
        <v>GI</v>
      </c>
      <c r="O458" s="8">
        <f t="shared" si="56"/>
        <v>45811</v>
      </c>
      <c r="P458" s="9" t="str">
        <f t="shared" ca="1" si="62"/>
        <v>ATRASADO</v>
      </c>
      <c r="Q458" s="12" t="s">
        <v>1556</v>
      </c>
      <c r="R458" s="9"/>
      <c r="S458" s="9" t="str">
        <f t="shared" si="63"/>
        <v/>
      </c>
    </row>
    <row r="459" spans="1:19" x14ac:dyDescent="0.3">
      <c r="A459" s="9">
        <v>455</v>
      </c>
      <c r="B459" s="2" t="s">
        <v>579</v>
      </c>
      <c r="C459" s="76" t="s">
        <v>1840</v>
      </c>
      <c r="D459" s="17" t="s">
        <v>1841</v>
      </c>
      <c r="E459" s="26">
        <v>25704</v>
      </c>
      <c r="F459" s="9">
        <f t="shared" ca="1" si="57"/>
        <v>56</v>
      </c>
      <c r="G459" s="9" t="s">
        <v>8</v>
      </c>
      <c r="H459" s="52" t="s">
        <v>271</v>
      </c>
      <c r="I459" s="60">
        <v>44741</v>
      </c>
      <c r="J459" s="580" t="s">
        <v>271</v>
      </c>
      <c r="K459" s="4" t="str">
        <f t="shared" si="58"/>
        <v>I</v>
      </c>
      <c r="L459" s="7" t="str">
        <f t="shared" si="59"/>
        <v>G8</v>
      </c>
      <c r="M459" s="7" t="str">
        <f t="shared" si="60"/>
        <v>J1</v>
      </c>
      <c r="N459" s="62" t="str">
        <f t="shared" si="61"/>
        <v/>
      </c>
      <c r="O459" s="8">
        <f t="shared" si="56"/>
        <v>45837</v>
      </c>
      <c r="P459" s="9" t="str">
        <f t="shared" ca="1" si="62"/>
        <v>ATRASADO</v>
      </c>
      <c r="Q459" s="12" t="s">
        <v>1556</v>
      </c>
      <c r="R459" s="9"/>
      <c r="S459" s="9" t="str">
        <f t="shared" si="63"/>
        <v/>
      </c>
    </row>
    <row r="460" spans="1:19" x14ac:dyDescent="0.3">
      <c r="A460" s="9">
        <v>456</v>
      </c>
      <c r="B460" s="2" t="s">
        <v>78</v>
      </c>
      <c r="C460" s="76" t="s">
        <v>370</v>
      </c>
      <c r="D460" s="17" t="s">
        <v>371</v>
      </c>
      <c r="E460" s="26">
        <v>22854</v>
      </c>
      <c r="F460" s="9">
        <f t="shared" ca="1" si="57"/>
        <v>64</v>
      </c>
      <c r="G460" s="8">
        <v>43518</v>
      </c>
      <c r="H460" s="53" t="s">
        <v>271</v>
      </c>
      <c r="I460" s="60">
        <v>44714</v>
      </c>
      <c r="J460" s="580" t="s">
        <v>271</v>
      </c>
      <c r="K460" s="4" t="str">
        <f t="shared" si="58"/>
        <v>I</v>
      </c>
      <c r="L460" s="7" t="str">
        <f t="shared" si="59"/>
        <v>G8</v>
      </c>
      <c r="M460" s="7" t="str">
        <f t="shared" si="60"/>
        <v>J1</v>
      </c>
      <c r="N460" s="62" t="str">
        <f t="shared" si="61"/>
        <v/>
      </c>
      <c r="O460" s="8">
        <f t="shared" si="56"/>
        <v>45810</v>
      </c>
      <c r="P460" s="9" t="str">
        <f t="shared" ca="1" si="62"/>
        <v>ATRASADO</v>
      </c>
      <c r="Q460" s="12" t="s">
        <v>1556</v>
      </c>
      <c r="R460" s="64" t="s">
        <v>1842</v>
      </c>
      <c r="S460" s="9" t="str">
        <f t="shared" si="63"/>
        <v/>
      </c>
    </row>
    <row r="461" spans="1:19" x14ac:dyDescent="0.3">
      <c r="A461" s="9">
        <v>457</v>
      </c>
      <c r="B461" s="2" t="s">
        <v>78</v>
      </c>
      <c r="C461" s="76" t="s">
        <v>1843</v>
      </c>
      <c r="D461" s="17" t="s">
        <v>1844</v>
      </c>
      <c r="E461" s="26">
        <v>32942</v>
      </c>
      <c r="F461" s="9">
        <f t="shared" ca="1" si="57"/>
        <v>36</v>
      </c>
      <c r="G461" s="8">
        <v>42972</v>
      </c>
      <c r="H461" s="53" t="s">
        <v>271</v>
      </c>
      <c r="I461" s="60">
        <v>44739</v>
      </c>
      <c r="J461" s="580" t="s">
        <v>8</v>
      </c>
      <c r="K461" s="4" t="str">
        <f t="shared" si="58"/>
        <v>SI</v>
      </c>
      <c r="L461" s="7" t="str">
        <f t="shared" si="59"/>
        <v xml:space="preserve">N </v>
      </c>
      <c r="M461" s="7" t="str">
        <f t="shared" si="60"/>
        <v>RE</v>
      </c>
      <c r="N461" s="62" t="str">
        <f t="shared" si="61"/>
        <v>GI</v>
      </c>
      <c r="O461" s="8">
        <f t="shared" si="56"/>
        <v>45835</v>
      </c>
      <c r="P461" s="9" t="str">
        <f t="shared" ca="1" si="62"/>
        <v>ATRASADO</v>
      </c>
      <c r="Q461" s="12" t="s">
        <v>1556</v>
      </c>
      <c r="R461" s="9"/>
      <c r="S461" s="9" t="str">
        <f t="shared" si="63"/>
        <v/>
      </c>
    </row>
    <row r="462" spans="1:19" x14ac:dyDescent="0.3">
      <c r="A462" s="9">
        <v>458</v>
      </c>
      <c r="B462" s="2" t="s">
        <v>78</v>
      </c>
      <c r="C462" s="76" t="s">
        <v>1845</v>
      </c>
      <c r="D462" s="17" t="s">
        <v>1846</v>
      </c>
      <c r="E462" s="26">
        <v>31877</v>
      </c>
      <c r="F462" s="9">
        <f t="shared" ca="1" si="57"/>
        <v>39</v>
      </c>
      <c r="G462" s="8">
        <v>43269</v>
      </c>
      <c r="H462" s="53" t="s">
        <v>8</v>
      </c>
      <c r="I462" s="60">
        <v>44739</v>
      </c>
      <c r="J462" s="580" t="s">
        <v>275</v>
      </c>
      <c r="K462" s="4" t="str">
        <f t="shared" si="58"/>
        <v>I</v>
      </c>
      <c r="L462" s="7" t="str">
        <f t="shared" si="59"/>
        <v>G8</v>
      </c>
      <c r="M462" s="7" t="str">
        <f t="shared" si="60"/>
        <v/>
      </c>
      <c r="N462" s="62" t="str">
        <f t="shared" si="61"/>
        <v/>
      </c>
      <c r="O462" s="8">
        <f t="shared" si="56"/>
        <v>45835</v>
      </c>
      <c r="P462" s="9" t="str">
        <f t="shared" ca="1" si="62"/>
        <v>ATRASADO</v>
      </c>
      <c r="Q462" s="12" t="s">
        <v>1556</v>
      </c>
      <c r="R462" s="9"/>
      <c r="S462" s="9" t="str">
        <f t="shared" si="63"/>
        <v/>
      </c>
    </row>
    <row r="463" spans="1:19" x14ac:dyDescent="0.3">
      <c r="A463" s="9">
        <v>459</v>
      </c>
      <c r="B463" s="2" t="s">
        <v>78</v>
      </c>
      <c r="C463" s="76" t="s">
        <v>1847</v>
      </c>
      <c r="D463" s="17" t="s">
        <v>1848</v>
      </c>
      <c r="E463" s="26">
        <v>35036</v>
      </c>
      <c r="F463" s="9">
        <f t="shared" ca="1" si="57"/>
        <v>30</v>
      </c>
      <c r="G463" s="8">
        <v>43181</v>
      </c>
      <c r="H463" s="53" t="s">
        <v>275</v>
      </c>
      <c r="I463" s="60">
        <v>44726</v>
      </c>
      <c r="J463" s="580" t="s">
        <v>8</v>
      </c>
      <c r="K463" s="4" t="str">
        <f t="shared" si="58"/>
        <v>SI</v>
      </c>
      <c r="L463" s="7" t="str">
        <f t="shared" si="59"/>
        <v xml:space="preserve">N </v>
      </c>
      <c r="M463" s="7" t="str">
        <f t="shared" si="60"/>
        <v>RE</v>
      </c>
      <c r="N463" s="62" t="str">
        <f t="shared" si="61"/>
        <v>GI</v>
      </c>
      <c r="O463" s="8">
        <f t="shared" si="56"/>
        <v>45822</v>
      </c>
      <c r="P463" s="9" t="str">
        <f t="shared" ca="1" si="62"/>
        <v>ATRASADO</v>
      </c>
      <c r="Q463" s="12" t="s">
        <v>1556</v>
      </c>
      <c r="R463" s="64"/>
      <c r="S463" s="9" t="str">
        <f t="shared" si="63"/>
        <v/>
      </c>
    </row>
    <row r="464" spans="1:19" x14ac:dyDescent="0.3">
      <c r="A464" s="9">
        <v>460</v>
      </c>
      <c r="B464" s="2" t="s">
        <v>78</v>
      </c>
      <c r="C464" s="76" t="s">
        <v>1849</v>
      </c>
      <c r="D464" s="17" t="s">
        <v>1850</v>
      </c>
      <c r="E464" s="26">
        <v>21151</v>
      </c>
      <c r="F464" s="9">
        <f t="shared" ca="1" si="57"/>
        <v>68</v>
      </c>
      <c r="G464" s="8">
        <v>43838</v>
      </c>
      <c r="H464" s="53" t="s">
        <v>271</v>
      </c>
      <c r="I464" s="60">
        <v>44714</v>
      </c>
      <c r="J464" s="580" t="s">
        <v>271</v>
      </c>
      <c r="K464" s="4" t="str">
        <f t="shared" si="58"/>
        <v>I</v>
      </c>
      <c r="L464" s="7" t="str">
        <f t="shared" si="59"/>
        <v>G8</v>
      </c>
      <c r="M464" s="7" t="str">
        <f t="shared" si="60"/>
        <v>J1</v>
      </c>
      <c r="N464" s="62" t="str">
        <f t="shared" si="61"/>
        <v/>
      </c>
      <c r="O464" s="8">
        <f t="shared" si="56"/>
        <v>45810</v>
      </c>
      <c r="P464" s="9" t="str">
        <f t="shared" ca="1" si="62"/>
        <v>ATRASADO</v>
      </c>
      <c r="Q464" s="12" t="s">
        <v>1556</v>
      </c>
      <c r="R464" s="64"/>
      <c r="S464" s="9" t="str">
        <f t="shared" si="63"/>
        <v/>
      </c>
    </row>
    <row r="465" spans="1:19" x14ac:dyDescent="0.3">
      <c r="A465" s="9">
        <v>461</v>
      </c>
      <c r="B465" s="2" t="s">
        <v>45</v>
      </c>
      <c r="C465" s="76" t="s">
        <v>1851</v>
      </c>
      <c r="D465" s="17" t="s">
        <v>1852</v>
      </c>
      <c r="E465" s="26">
        <v>35158</v>
      </c>
      <c r="F465" s="9">
        <f t="shared" ca="1" si="57"/>
        <v>30</v>
      </c>
      <c r="G465" s="8">
        <v>43349</v>
      </c>
      <c r="H465" s="53" t="s">
        <v>8</v>
      </c>
      <c r="I465" s="60">
        <v>44730</v>
      </c>
      <c r="J465" s="580" t="s">
        <v>271</v>
      </c>
      <c r="K465" s="4" t="str">
        <f t="shared" si="58"/>
        <v>I</v>
      </c>
      <c r="L465" s="7" t="str">
        <f t="shared" si="59"/>
        <v>G8</v>
      </c>
      <c r="M465" s="7" t="str">
        <f t="shared" si="60"/>
        <v>J1</v>
      </c>
      <c r="N465" s="62" t="str">
        <f t="shared" si="61"/>
        <v/>
      </c>
      <c r="O465" s="8">
        <f t="shared" si="56"/>
        <v>45826</v>
      </c>
      <c r="P465" s="9" t="str">
        <f t="shared" ca="1" si="62"/>
        <v>ATRASADO</v>
      </c>
      <c r="Q465" s="12" t="s">
        <v>1556</v>
      </c>
      <c r="R465" s="9"/>
      <c r="S465" s="9" t="str">
        <f t="shared" si="63"/>
        <v/>
      </c>
    </row>
    <row r="466" spans="1:19" x14ac:dyDescent="0.3">
      <c r="A466" s="9">
        <v>462</v>
      </c>
      <c r="B466" s="2" t="s">
        <v>78</v>
      </c>
      <c r="C466" s="76" t="s">
        <v>1853</v>
      </c>
      <c r="D466" s="17" t="s">
        <v>1854</v>
      </c>
      <c r="E466" s="26">
        <v>25017</v>
      </c>
      <c r="F466" s="9">
        <f t="shared" ca="1" si="57"/>
        <v>58</v>
      </c>
      <c r="G466" s="8">
        <v>43670</v>
      </c>
      <c r="H466" s="53" t="s">
        <v>275</v>
      </c>
      <c r="I466" s="60">
        <v>44733</v>
      </c>
      <c r="J466" s="580" t="s">
        <v>275</v>
      </c>
      <c r="K466" s="4" t="str">
        <f t="shared" si="58"/>
        <v>I</v>
      </c>
      <c r="L466" s="7" t="str">
        <f t="shared" si="59"/>
        <v>G8</v>
      </c>
      <c r="M466" s="7" t="str">
        <f t="shared" si="60"/>
        <v/>
      </c>
      <c r="N466" s="62" t="str">
        <f t="shared" si="61"/>
        <v/>
      </c>
      <c r="O466" s="8">
        <f t="shared" si="56"/>
        <v>45829</v>
      </c>
      <c r="P466" s="9" t="str">
        <f t="shared" ca="1" si="62"/>
        <v>ATRASADO</v>
      </c>
      <c r="Q466" s="12" t="s">
        <v>1556</v>
      </c>
      <c r="R466" s="9"/>
      <c r="S466" s="9" t="str">
        <f t="shared" si="63"/>
        <v/>
      </c>
    </row>
    <row r="467" spans="1:19" x14ac:dyDescent="0.3">
      <c r="A467" s="9">
        <v>463</v>
      </c>
      <c r="B467" s="2" t="s">
        <v>45</v>
      </c>
      <c r="C467" s="76" t="s">
        <v>1855</v>
      </c>
      <c r="D467" s="17" t="s">
        <v>1856</v>
      </c>
      <c r="E467" s="26">
        <v>25314</v>
      </c>
      <c r="F467" s="9">
        <f t="shared" ca="1" si="57"/>
        <v>57</v>
      </c>
      <c r="G467" s="8">
        <v>43334</v>
      </c>
      <c r="H467" s="53" t="s">
        <v>271</v>
      </c>
      <c r="I467" s="60">
        <v>44727</v>
      </c>
      <c r="J467" s="580" t="s">
        <v>271</v>
      </c>
      <c r="K467" s="4" t="str">
        <f t="shared" si="58"/>
        <v>I</v>
      </c>
      <c r="L467" s="7" t="str">
        <f t="shared" si="59"/>
        <v>G8</v>
      </c>
      <c r="M467" s="7" t="str">
        <f t="shared" si="60"/>
        <v>J1</v>
      </c>
      <c r="N467" s="62" t="str">
        <f t="shared" si="61"/>
        <v/>
      </c>
      <c r="O467" s="8">
        <f t="shared" si="56"/>
        <v>45823</v>
      </c>
      <c r="P467" s="9" t="str">
        <f t="shared" ca="1" si="62"/>
        <v>ATRASADO</v>
      </c>
      <c r="Q467" s="12" t="s">
        <v>1556</v>
      </c>
      <c r="R467" s="9"/>
      <c r="S467" s="9" t="str">
        <f t="shared" si="63"/>
        <v/>
      </c>
    </row>
    <row r="468" spans="1:19" x14ac:dyDescent="0.3">
      <c r="A468" s="9">
        <v>464</v>
      </c>
      <c r="B468" s="2" t="s">
        <v>78</v>
      </c>
      <c r="C468" s="76" t="s">
        <v>1857</v>
      </c>
      <c r="D468" s="17" t="s">
        <v>1858</v>
      </c>
      <c r="E468" s="26">
        <v>27023</v>
      </c>
      <c r="F468" s="9">
        <f t="shared" ca="1" si="57"/>
        <v>52</v>
      </c>
      <c r="G468" s="8">
        <v>44338</v>
      </c>
      <c r="H468" s="54" t="s">
        <v>275</v>
      </c>
      <c r="I468" s="60">
        <v>44724</v>
      </c>
      <c r="J468" s="580" t="s">
        <v>271</v>
      </c>
      <c r="K468" s="4" t="str">
        <f t="shared" si="58"/>
        <v>I</v>
      </c>
      <c r="L468" s="7" t="str">
        <f t="shared" si="59"/>
        <v>G8</v>
      </c>
      <c r="M468" s="7" t="str">
        <f t="shared" si="60"/>
        <v>J1</v>
      </c>
      <c r="N468" s="62" t="str">
        <f t="shared" si="61"/>
        <v/>
      </c>
      <c r="O468" s="8">
        <f t="shared" si="56"/>
        <v>45820</v>
      </c>
      <c r="P468" s="9" t="str">
        <f t="shared" ca="1" si="62"/>
        <v>ATRASADO</v>
      </c>
      <c r="Q468" s="12" t="s">
        <v>1556</v>
      </c>
      <c r="R468" s="9"/>
      <c r="S468" s="9" t="str">
        <f t="shared" si="63"/>
        <v/>
      </c>
    </row>
    <row r="469" spans="1:19" x14ac:dyDescent="0.3">
      <c r="A469" s="9">
        <v>465</v>
      </c>
      <c r="B469" s="2" t="s">
        <v>56</v>
      </c>
      <c r="C469" s="76" t="s">
        <v>1859</v>
      </c>
      <c r="D469" s="17" t="s">
        <v>1860</v>
      </c>
      <c r="E469" s="26">
        <v>28759</v>
      </c>
      <c r="F469" s="9">
        <f t="shared" ca="1" si="57"/>
        <v>48</v>
      </c>
      <c r="G469" s="8">
        <v>44209</v>
      </c>
      <c r="H469" s="54" t="s">
        <v>8</v>
      </c>
      <c r="I469" s="60">
        <v>44742</v>
      </c>
      <c r="J469" s="580" t="s">
        <v>275</v>
      </c>
      <c r="K469" s="4" t="str">
        <f t="shared" si="58"/>
        <v>I</v>
      </c>
      <c r="L469" s="7" t="str">
        <f t="shared" si="59"/>
        <v>G8</v>
      </c>
      <c r="M469" s="7" t="str">
        <f t="shared" si="60"/>
        <v/>
      </c>
      <c r="N469" s="62" t="str">
        <f t="shared" si="61"/>
        <v/>
      </c>
      <c r="O469" s="8">
        <f t="shared" si="56"/>
        <v>45838</v>
      </c>
      <c r="P469" s="9" t="str">
        <f t="shared" ca="1" si="62"/>
        <v>ATRASADO</v>
      </c>
      <c r="Q469" s="12" t="s">
        <v>1556</v>
      </c>
      <c r="R469" s="9"/>
      <c r="S469" s="9" t="str">
        <f t="shared" si="63"/>
        <v/>
      </c>
    </row>
    <row r="470" spans="1:19" x14ac:dyDescent="0.3">
      <c r="A470" s="9">
        <v>466</v>
      </c>
      <c r="B470" s="2" t="s">
        <v>78</v>
      </c>
      <c r="C470" s="76" t="s">
        <v>1861</v>
      </c>
      <c r="D470" s="17" t="s">
        <v>1862</v>
      </c>
      <c r="E470" s="26">
        <v>31910</v>
      </c>
      <c r="F470" s="9">
        <f t="shared" ca="1" si="57"/>
        <v>39</v>
      </c>
      <c r="G470" s="8">
        <v>44176</v>
      </c>
      <c r="H470" s="54" t="s">
        <v>327</v>
      </c>
      <c r="I470" s="60">
        <v>44727</v>
      </c>
      <c r="J470" s="580" t="s">
        <v>275</v>
      </c>
      <c r="K470" s="4" t="str">
        <f t="shared" si="58"/>
        <v>I</v>
      </c>
      <c r="L470" s="7" t="str">
        <f t="shared" si="59"/>
        <v>G8</v>
      </c>
      <c r="M470" s="7" t="str">
        <f t="shared" si="60"/>
        <v/>
      </c>
      <c r="N470" s="62" t="str">
        <f t="shared" si="61"/>
        <v/>
      </c>
      <c r="O470" s="8">
        <f t="shared" si="56"/>
        <v>45823</v>
      </c>
      <c r="P470" s="9" t="str">
        <f t="shared" ca="1" si="62"/>
        <v>ATRASADO</v>
      </c>
      <c r="Q470" s="12" t="s">
        <v>1556</v>
      </c>
      <c r="R470" s="9"/>
      <c r="S470" s="9" t="str">
        <f t="shared" si="63"/>
        <v/>
      </c>
    </row>
    <row r="471" spans="1:19" x14ac:dyDescent="0.3">
      <c r="A471" s="9">
        <v>467</v>
      </c>
      <c r="B471" s="2" t="s">
        <v>270</v>
      </c>
      <c r="C471" s="76" t="s">
        <v>1863</v>
      </c>
      <c r="D471" s="17" t="s">
        <v>1864</v>
      </c>
      <c r="E471" s="26">
        <v>33832</v>
      </c>
      <c r="F471" s="9">
        <f t="shared" ca="1" si="57"/>
        <v>34</v>
      </c>
      <c r="G471" s="9" t="s">
        <v>8</v>
      </c>
      <c r="H471" s="54" t="s">
        <v>275</v>
      </c>
      <c r="I471" s="60">
        <v>44726</v>
      </c>
      <c r="J471" s="580" t="s">
        <v>271</v>
      </c>
      <c r="K471" s="4" t="str">
        <f t="shared" si="58"/>
        <v>I</v>
      </c>
      <c r="L471" s="7" t="str">
        <f t="shared" si="59"/>
        <v>G8</v>
      </c>
      <c r="M471" s="7" t="str">
        <f t="shared" si="60"/>
        <v>J1</v>
      </c>
      <c r="N471" s="62" t="str">
        <f t="shared" si="61"/>
        <v/>
      </c>
      <c r="O471" s="8">
        <f t="shared" si="56"/>
        <v>45822</v>
      </c>
      <c r="P471" s="9" t="str">
        <f t="shared" ca="1" si="62"/>
        <v>ATRASADO</v>
      </c>
      <c r="Q471" s="12" t="s">
        <v>1556</v>
      </c>
      <c r="R471" s="9"/>
      <c r="S471" s="9" t="str">
        <f t="shared" si="63"/>
        <v/>
      </c>
    </row>
    <row r="472" spans="1:19" x14ac:dyDescent="0.3">
      <c r="A472" s="9">
        <v>468</v>
      </c>
      <c r="B472" s="2" t="s">
        <v>45</v>
      </c>
      <c r="C472" s="76" t="s">
        <v>1865</v>
      </c>
      <c r="D472" s="17" t="s">
        <v>1866</v>
      </c>
      <c r="E472" s="26">
        <v>26939</v>
      </c>
      <c r="F472" s="9">
        <f t="shared" ca="1" si="57"/>
        <v>52</v>
      </c>
      <c r="G472" s="9" t="s">
        <v>8</v>
      </c>
      <c r="H472" s="54" t="s">
        <v>275</v>
      </c>
      <c r="I472" s="60">
        <v>44734</v>
      </c>
      <c r="J472" s="580" t="s">
        <v>271</v>
      </c>
      <c r="K472" s="4" t="str">
        <f t="shared" si="58"/>
        <v>I</v>
      </c>
      <c r="L472" s="7" t="str">
        <f t="shared" si="59"/>
        <v>G8</v>
      </c>
      <c r="M472" s="7" t="str">
        <f t="shared" si="60"/>
        <v>J1</v>
      </c>
      <c r="N472" s="62" t="str">
        <f t="shared" si="61"/>
        <v/>
      </c>
      <c r="O472" s="8">
        <f t="shared" si="56"/>
        <v>45830</v>
      </c>
      <c r="P472" s="9" t="str">
        <f t="shared" ca="1" si="62"/>
        <v>ATRASADO</v>
      </c>
      <c r="Q472" s="12" t="s">
        <v>1556</v>
      </c>
      <c r="R472" s="64"/>
      <c r="S472" s="9" t="str">
        <f t="shared" si="63"/>
        <v/>
      </c>
    </row>
    <row r="473" spans="1:19" x14ac:dyDescent="0.3">
      <c r="A473" s="9">
        <v>469</v>
      </c>
      <c r="B473" s="2" t="s">
        <v>78</v>
      </c>
      <c r="C473" s="76" t="s">
        <v>1867</v>
      </c>
      <c r="D473" s="17" t="s">
        <v>1868</v>
      </c>
      <c r="E473" s="26">
        <v>32799</v>
      </c>
      <c r="F473" s="9">
        <f t="shared" ca="1" si="57"/>
        <v>36</v>
      </c>
      <c r="G473" s="8">
        <v>43195</v>
      </c>
      <c r="H473" s="54" t="s">
        <v>8</v>
      </c>
      <c r="I473" s="60">
        <v>44733</v>
      </c>
      <c r="J473" s="580" t="s">
        <v>275</v>
      </c>
      <c r="K473" s="4" t="str">
        <f t="shared" si="58"/>
        <v>I</v>
      </c>
      <c r="L473" s="7" t="str">
        <f t="shared" si="59"/>
        <v>G8</v>
      </c>
      <c r="M473" s="7" t="str">
        <f t="shared" si="60"/>
        <v/>
      </c>
      <c r="N473" s="62" t="str">
        <f t="shared" si="61"/>
        <v/>
      </c>
      <c r="O473" s="8">
        <f t="shared" si="56"/>
        <v>45829</v>
      </c>
      <c r="P473" s="9" t="str">
        <f t="shared" ca="1" si="62"/>
        <v>ATRASADO</v>
      </c>
      <c r="Q473" s="12" t="s">
        <v>1556</v>
      </c>
      <c r="R473" s="9"/>
      <c r="S473" s="9" t="str">
        <f t="shared" si="63"/>
        <v/>
      </c>
    </row>
    <row r="474" spans="1:19" x14ac:dyDescent="0.3">
      <c r="A474" s="9">
        <v>470</v>
      </c>
      <c r="B474" s="2" t="s">
        <v>78</v>
      </c>
      <c r="C474" s="76" t="s">
        <v>1869</v>
      </c>
      <c r="D474" s="17" t="s">
        <v>1870</v>
      </c>
      <c r="E474" s="26">
        <v>33640</v>
      </c>
      <c r="F474" s="9">
        <f t="shared" ca="1" si="57"/>
        <v>34</v>
      </c>
      <c r="G474" s="8">
        <v>43866</v>
      </c>
      <c r="H474" s="54" t="s">
        <v>8</v>
      </c>
      <c r="I474" s="60">
        <v>44738</v>
      </c>
      <c r="J474" s="580" t="s">
        <v>300</v>
      </c>
      <c r="K474" s="4" t="str">
        <f t="shared" si="58"/>
        <v>G4</v>
      </c>
      <c r="L474" s="7" t="str">
        <f t="shared" si="59"/>
        <v>O5</v>
      </c>
      <c r="M474" s="7" t="str">
        <f t="shared" si="60"/>
        <v/>
      </c>
      <c r="N474" s="62" t="str">
        <f t="shared" si="61"/>
        <v/>
      </c>
      <c r="O474" s="8">
        <f t="shared" si="56"/>
        <v>44830</v>
      </c>
      <c r="P474" s="9" t="str">
        <f t="shared" ca="1" si="62"/>
        <v>ATRASADO</v>
      </c>
      <c r="Q474" s="12" t="s">
        <v>1556</v>
      </c>
      <c r="R474" s="9"/>
      <c r="S474" s="9" t="str">
        <f t="shared" si="63"/>
        <v/>
      </c>
    </row>
    <row r="475" spans="1:19" x14ac:dyDescent="0.3">
      <c r="A475" s="9">
        <v>471</v>
      </c>
      <c r="B475" s="2" t="s">
        <v>346</v>
      </c>
      <c r="C475" s="76" t="s">
        <v>1871</v>
      </c>
      <c r="D475" s="17" t="s">
        <v>1872</v>
      </c>
      <c r="E475" s="26">
        <v>26501</v>
      </c>
      <c r="F475" s="9">
        <f t="shared" ca="1" si="57"/>
        <v>54</v>
      </c>
      <c r="G475" s="8">
        <v>43676</v>
      </c>
      <c r="H475" s="55" t="s">
        <v>271</v>
      </c>
      <c r="I475" s="60">
        <v>44732</v>
      </c>
      <c r="J475" s="580" t="s">
        <v>271</v>
      </c>
      <c r="K475" s="4" t="str">
        <f t="shared" si="58"/>
        <v>I</v>
      </c>
      <c r="L475" s="7" t="str">
        <f t="shared" si="59"/>
        <v>G8</v>
      </c>
      <c r="M475" s="7" t="str">
        <f t="shared" si="60"/>
        <v>J1</v>
      </c>
      <c r="N475" s="62" t="str">
        <f t="shared" si="61"/>
        <v/>
      </c>
      <c r="O475" s="8">
        <f t="shared" si="56"/>
        <v>45828</v>
      </c>
      <c r="P475" s="9" t="str">
        <f t="shared" ca="1" si="62"/>
        <v>ATRASADO</v>
      </c>
      <c r="Q475" s="12" t="s">
        <v>1556</v>
      </c>
      <c r="R475" s="9"/>
      <c r="S475" s="9" t="str">
        <f t="shared" si="63"/>
        <v/>
      </c>
    </row>
    <row r="476" spans="1:19" x14ac:dyDescent="0.3">
      <c r="A476" s="9">
        <v>472</v>
      </c>
      <c r="B476" s="2" t="s">
        <v>346</v>
      </c>
      <c r="C476" s="76" t="s">
        <v>1874</v>
      </c>
      <c r="D476" s="17" t="s">
        <v>1875</v>
      </c>
      <c r="E476" s="26">
        <v>22290</v>
      </c>
      <c r="F476" s="9">
        <f t="shared" ca="1" si="57"/>
        <v>65</v>
      </c>
      <c r="G476" s="8">
        <v>43226</v>
      </c>
      <c r="H476" s="55" t="s">
        <v>2861</v>
      </c>
      <c r="I476" s="60">
        <v>44730</v>
      </c>
      <c r="J476" s="580" t="s">
        <v>275</v>
      </c>
      <c r="K476" s="4" t="str">
        <f t="shared" si="58"/>
        <v>I</v>
      </c>
      <c r="L476" s="7" t="str">
        <f t="shared" si="59"/>
        <v>G8</v>
      </c>
      <c r="M476" s="7" t="str">
        <f t="shared" si="60"/>
        <v/>
      </c>
      <c r="N476" s="62" t="str">
        <f t="shared" si="61"/>
        <v/>
      </c>
      <c r="O476" s="8">
        <f t="shared" si="56"/>
        <v>45826</v>
      </c>
      <c r="P476" s="9" t="str">
        <f t="shared" ca="1" si="62"/>
        <v>ATRASADO</v>
      </c>
      <c r="Q476" s="12" t="s">
        <v>1556</v>
      </c>
      <c r="R476" s="9"/>
      <c r="S476" s="9" t="str">
        <f t="shared" si="63"/>
        <v/>
      </c>
    </row>
    <row r="477" spans="1:19" x14ac:dyDescent="0.3">
      <c r="A477" s="9">
        <v>473</v>
      </c>
      <c r="B477" s="2" t="s">
        <v>346</v>
      </c>
      <c r="C477" s="76" t="s">
        <v>1876</v>
      </c>
      <c r="D477" s="17" t="s">
        <v>1877</v>
      </c>
      <c r="E477" s="26">
        <v>29274</v>
      </c>
      <c r="F477" s="9">
        <f t="shared" ca="1" si="57"/>
        <v>46</v>
      </c>
      <c r="G477" s="8">
        <v>43134</v>
      </c>
      <c r="H477" s="55" t="s">
        <v>8</v>
      </c>
      <c r="I477" s="60">
        <v>44740</v>
      </c>
      <c r="J477" s="580" t="s">
        <v>528</v>
      </c>
      <c r="K477" s="4" t="str">
        <f t="shared" si="58"/>
        <v>I</v>
      </c>
      <c r="L477" s="7" t="str">
        <f t="shared" si="59"/>
        <v>G7</v>
      </c>
      <c r="M477" s="7" t="str">
        <f t="shared" si="60"/>
        <v>J1</v>
      </c>
      <c r="N477" s="62" t="str">
        <f t="shared" si="61"/>
        <v>S</v>
      </c>
      <c r="O477" s="8">
        <f t="shared" si="56"/>
        <v>45105</v>
      </c>
      <c r="P477" s="9" t="str">
        <f t="shared" ca="1" si="62"/>
        <v>ATRASADO</v>
      </c>
      <c r="Q477" s="12" t="s">
        <v>1556</v>
      </c>
      <c r="R477" s="9"/>
      <c r="S477" s="9" t="str">
        <f t="shared" si="63"/>
        <v/>
      </c>
    </row>
    <row r="478" spans="1:19" x14ac:dyDescent="0.3">
      <c r="A478" s="9">
        <v>474</v>
      </c>
      <c r="B478" s="2" t="s">
        <v>346</v>
      </c>
      <c r="C478" s="76" t="s">
        <v>1878</v>
      </c>
      <c r="D478" s="17" t="s">
        <v>1879</v>
      </c>
      <c r="E478" s="26">
        <v>28246</v>
      </c>
      <c r="F478" s="9">
        <f t="shared" ca="1" si="57"/>
        <v>49</v>
      </c>
      <c r="G478" s="8">
        <v>42992</v>
      </c>
      <c r="H478" s="55" t="s">
        <v>8</v>
      </c>
      <c r="I478" s="60">
        <v>44714</v>
      </c>
      <c r="J478" s="580" t="s">
        <v>275</v>
      </c>
      <c r="K478" s="4" t="str">
        <f t="shared" si="58"/>
        <v>I</v>
      </c>
      <c r="L478" s="7" t="str">
        <f t="shared" si="59"/>
        <v>G8</v>
      </c>
      <c r="M478" s="7" t="str">
        <f t="shared" si="60"/>
        <v/>
      </c>
      <c r="N478" s="62" t="str">
        <f t="shared" si="61"/>
        <v/>
      </c>
      <c r="O478" s="8">
        <f t="shared" si="56"/>
        <v>45810</v>
      </c>
      <c r="P478" s="9" t="str">
        <f t="shared" ca="1" si="62"/>
        <v>ATRASADO</v>
      </c>
      <c r="Q478" s="12" t="s">
        <v>1556</v>
      </c>
      <c r="R478" s="9"/>
      <c r="S478" s="9" t="str">
        <f t="shared" si="63"/>
        <v/>
      </c>
    </row>
    <row r="479" spans="1:19" x14ac:dyDescent="0.3">
      <c r="A479" s="9">
        <v>475</v>
      </c>
      <c r="B479" s="2" t="s">
        <v>346</v>
      </c>
      <c r="C479" s="76" t="s">
        <v>1880</v>
      </c>
      <c r="D479" s="17" t="s">
        <v>1881</v>
      </c>
      <c r="E479" s="26">
        <v>26940</v>
      </c>
      <c r="F479" s="9">
        <f t="shared" ca="1" si="57"/>
        <v>52</v>
      </c>
      <c r="G479" s="8">
        <v>44025</v>
      </c>
      <c r="H479" s="56" t="s">
        <v>271</v>
      </c>
      <c r="I479" s="60">
        <v>44733</v>
      </c>
      <c r="J479" s="580" t="s">
        <v>275</v>
      </c>
      <c r="K479" s="4" t="str">
        <f t="shared" si="58"/>
        <v>I</v>
      </c>
      <c r="L479" s="7" t="str">
        <f t="shared" si="59"/>
        <v>G8</v>
      </c>
      <c r="M479" s="7" t="str">
        <f t="shared" si="60"/>
        <v/>
      </c>
      <c r="N479" s="62" t="str">
        <f t="shared" si="61"/>
        <v/>
      </c>
      <c r="O479" s="8">
        <f t="shared" si="56"/>
        <v>45829</v>
      </c>
      <c r="P479" s="9" t="str">
        <f t="shared" ca="1" si="62"/>
        <v>ATRASADO</v>
      </c>
      <c r="Q479" s="12" t="s">
        <v>1556</v>
      </c>
      <c r="R479" s="9"/>
      <c r="S479" s="9" t="str">
        <f t="shared" si="63"/>
        <v/>
      </c>
    </row>
    <row r="480" spans="1:19" x14ac:dyDescent="0.3">
      <c r="A480" s="9">
        <v>476</v>
      </c>
      <c r="B480" s="2" t="s">
        <v>346</v>
      </c>
      <c r="C480" s="76" t="s">
        <v>1882</v>
      </c>
      <c r="D480" s="17" t="s">
        <v>1883</v>
      </c>
      <c r="E480" s="26">
        <v>23205</v>
      </c>
      <c r="F480" s="9">
        <f t="shared" ca="1" si="57"/>
        <v>63</v>
      </c>
      <c r="G480" s="8">
        <v>43938</v>
      </c>
      <c r="H480" s="56" t="s">
        <v>8</v>
      </c>
      <c r="I480" s="60">
        <v>44720</v>
      </c>
      <c r="J480" s="580" t="s">
        <v>8</v>
      </c>
      <c r="K480" s="4" t="str">
        <f t="shared" si="58"/>
        <v>SI</v>
      </c>
      <c r="L480" s="7" t="str">
        <f t="shared" si="59"/>
        <v xml:space="preserve">N </v>
      </c>
      <c r="M480" s="7" t="str">
        <f t="shared" si="60"/>
        <v>RE</v>
      </c>
      <c r="N480" s="62" t="str">
        <f t="shared" si="61"/>
        <v>GI</v>
      </c>
      <c r="O480" s="8">
        <f t="shared" ref="O480:O673" si="64">IF(I480="","",IF(OR(K480="S",L480="S",M480="S",N480="S",K480="G7",L480="G7",M480="G7",N480="G7",),DATE(YEAR(I480)+1,MONTH(I480),DAY(I480)),IF(OR(K480="O3",L480="O3",M480="O3",N480="O3",K480="ASCUS",L480="ASCUS",M480="ASCUS",N480="ASCUS"),DATE(YEAR(I480),MONTH(I480)+6,DAY(I480)),IF(OR(K480="O5",L480="O5",M480="O5",N480="O5"),DATE(YEAR(I480),MONTH(I480)+3,DAY(I480)),IF(OR(K480="T",L480="T",M480="T",N480="T"),DATE(YEAR(I480),MONTH(I480)+1,DAY(I480)+10),DATE(YEAR(I480)+3,MONTH(I480),DAY(I480)))))))</f>
        <v>45816</v>
      </c>
      <c r="P480" s="9" t="str">
        <f t="shared" ca="1" si="62"/>
        <v>ATRASADO</v>
      </c>
      <c r="Q480" s="12" t="s">
        <v>1556</v>
      </c>
      <c r="R480" s="9"/>
      <c r="S480" s="9" t="str">
        <f t="shared" si="63"/>
        <v/>
      </c>
    </row>
    <row r="481" spans="1:19" x14ac:dyDescent="0.3">
      <c r="A481" s="9">
        <v>477</v>
      </c>
      <c r="B481" s="2" t="s">
        <v>346</v>
      </c>
      <c r="C481" s="76" t="s">
        <v>1884</v>
      </c>
      <c r="D481" s="17" t="s">
        <v>1885</v>
      </c>
      <c r="E481" s="26">
        <v>35738</v>
      </c>
      <c r="F481" s="9">
        <f t="shared" ca="1" si="57"/>
        <v>28</v>
      </c>
      <c r="G481" s="8">
        <v>44203</v>
      </c>
      <c r="H481" s="56" t="s">
        <v>275</v>
      </c>
      <c r="I481" s="60">
        <v>44732</v>
      </c>
      <c r="J481" s="580" t="s">
        <v>271</v>
      </c>
      <c r="K481" s="4" t="str">
        <f t="shared" si="58"/>
        <v>I</v>
      </c>
      <c r="L481" s="7" t="str">
        <f t="shared" si="59"/>
        <v>G8</v>
      </c>
      <c r="M481" s="7" t="str">
        <f t="shared" si="60"/>
        <v>J1</v>
      </c>
      <c r="N481" s="62" t="str">
        <f t="shared" si="61"/>
        <v/>
      </c>
      <c r="O481" s="8">
        <f t="shared" si="64"/>
        <v>45828</v>
      </c>
      <c r="P481" s="9" t="str">
        <f t="shared" ca="1" si="62"/>
        <v>ATRASADO</v>
      </c>
      <c r="Q481" s="12" t="s">
        <v>1556</v>
      </c>
      <c r="R481" s="9"/>
      <c r="S481" s="9" t="str">
        <f t="shared" si="63"/>
        <v/>
      </c>
    </row>
    <row r="482" spans="1:19" x14ac:dyDescent="0.3">
      <c r="A482" s="9">
        <v>478</v>
      </c>
      <c r="B482" s="2" t="s">
        <v>78</v>
      </c>
      <c r="C482" s="76" t="s">
        <v>1886</v>
      </c>
      <c r="D482" s="17" t="s">
        <v>1887</v>
      </c>
      <c r="E482" s="26">
        <v>22997</v>
      </c>
      <c r="F482" s="9">
        <f t="shared" ca="1" si="57"/>
        <v>63</v>
      </c>
      <c r="G482" s="9" t="s">
        <v>8</v>
      </c>
      <c r="H482" s="56" t="s">
        <v>275</v>
      </c>
      <c r="I482" s="60">
        <v>44716</v>
      </c>
      <c r="J482" s="580" t="s">
        <v>271</v>
      </c>
      <c r="K482" s="4" t="str">
        <f t="shared" si="58"/>
        <v>I</v>
      </c>
      <c r="L482" s="7" t="str">
        <f t="shared" si="59"/>
        <v>G8</v>
      </c>
      <c r="M482" s="7" t="str">
        <f t="shared" si="60"/>
        <v>J1</v>
      </c>
      <c r="N482" s="62" t="str">
        <f t="shared" si="61"/>
        <v/>
      </c>
      <c r="O482" s="8">
        <f t="shared" si="64"/>
        <v>45812</v>
      </c>
      <c r="P482" s="9" t="str">
        <f t="shared" ca="1" si="62"/>
        <v>ATRASADO</v>
      </c>
      <c r="Q482" s="12" t="s">
        <v>1556</v>
      </c>
      <c r="R482" s="64"/>
      <c r="S482" s="9" t="str">
        <f t="shared" si="63"/>
        <v/>
      </c>
    </row>
    <row r="483" spans="1:19" x14ac:dyDescent="0.3">
      <c r="A483" s="9">
        <v>479</v>
      </c>
      <c r="B483" s="2" t="s">
        <v>346</v>
      </c>
      <c r="C483" s="76" t="s">
        <v>1888</v>
      </c>
      <c r="D483" s="17" t="s">
        <v>1889</v>
      </c>
      <c r="E483" s="26">
        <v>26831</v>
      </c>
      <c r="F483" s="9">
        <f t="shared" ca="1" si="57"/>
        <v>53</v>
      </c>
      <c r="G483" s="8">
        <v>43326</v>
      </c>
      <c r="H483" s="56" t="s">
        <v>271</v>
      </c>
      <c r="I483" s="60">
        <v>44740</v>
      </c>
      <c r="J483" s="580" t="s">
        <v>8</v>
      </c>
      <c r="K483" s="4" t="str">
        <f t="shared" si="58"/>
        <v>SI</v>
      </c>
      <c r="L483" s="7" t="str">
        <f t="shared" si="59"/>
        <v xml:space="preserve">N </v>
      </c>
      <c r="M483" s="7" t="str">
        <f t="shared" si="60"/>
        <v>RE</v>
      </c>
      <c r="N483" s="62" t="str">
        <f t="shared" si="61"/>
        <v>GI</v>
      </c>
      <c r="O483" s="8">
        <f t="shared" si="64"/>
        <v>45836</v>
      </c>
      <c r="P483" s="9" t="str">
        <f t="shared" ca="1" si="62"/>
        <v>ATRASADO</v>
      </c>
      <c r="Q483" s="12" t="s">
        <v>1556</v>
      </c>
      <c r="R483" s="64"/>
      <c r="S483" s="9" t="str">
        <f t="shared" si="63"/>
        <v/>
      </c>
    </row>
    <row r="484" spans="1:19" x14ac:dyDescent="0.3">
      <c r="A484" s="9">
        <v>480</v>
      </c>
      <c r="B484" s="2" t="s">
        <v>346</v>
      </c>
      <c r="C484" s="76" t="s">
        <v>1890</v>
      </c>
      <c r="D484" s="17" t="s">
        <v>1891</v>
      </c>
      <c r="E484" s="26">
        <v>30301</v>
      </c>
      <c r="F484" s="9">
        <f t="shared" ca="1" si="57"/>
        <v>43</v>
      </c>
      <c r="G484" s="8">
        <v>43740</v>
      </c>
      <c r="H484" s="56" t="s">
        <v>275</v>
      </c>
      <c r="I484" s="60">
        <v>44718</v>
      </c>
      <c r="J484" s="580" t="s">
        <v>275</v>
      </c>
      <c r="K484" s="4" t="str">
        <f t="shared" si="58"/>
        <v>I</v>
      </c>
      <c r="L484" s="7" t="str">
        <f t="shared" si="59"/>
        <v>G8</v>
      </c>
      <c r="M484" s="7" t="str">
        <f t="shared" si="60"/>
        <v/>
      </c>
      <c r="N484" s="62" t="str">
        <f t="shared" si="61"/>
        <v/>
      </c>
      <c r="O484" s="8">
        <f t="shared" si="64"/>
        <v>45814</v>
      </c>
      <c r="P484" s="9" t="str">
        <f t="shared" ca="1" si="62"/>
        <v>ATRASADO</v>
      </c>
      <c r="Q484" s="12" t="s">
        <v>1556</v>
      </c>
      <c r="R484" s="9"/>
      <c r="S484" s="9" t="str">
        <f t="shared" si="63"/>
        <v/>
      </c>
    </row>
    <row r="485" spans="1:19" x14ac:dyDescent="0.3">
      <c r="A485" s="9">
        <v>481</v>
      </c>
      <c r="B485" s="2" t="s">
        <v>346</v>
      </c>
      <c r="C485" s="76" t="s">
        <v>1892</v>
      </c>
      <c r="D485" s="17" t="s">
        <v>1893</v>
      </c>
      <c r="E485" s="26">
        <v>21213</v>
      </c>
      <c r="F485" s="9">
        <f t="shared" ca="1" si="57"/>
        <v>68</v>
      </c>
      <c r="G485" s="8">
        <v>43376</v>
      </c>
      <c r="H485" s="56" t="s">
        <v>320</v>
      </c>
      <c r="I485" s="60">
        <v>44738</v>
      </c>
      <c r="J485" s="580" t="s">
        <v>275</v>
      </c>
      <c r="K485" s="4" t="str">
        <f t="shared" si="58"/>
        <v>I</v>
      </c>
      <c r="L485" s="7" t="str">
        <f t="shared" si="59"/>
        <v>G8</v>
      </c>
      <c r="M485" s="7" t="str">
        <f t="shared" si="60"/>
        <v/>
      </c>
      <c r="N485" s="62" t="str">
        <f t="shared" si="61"/>
        <v/>
      </c>
      <c r="O485" s="8">
        <f t="shared" si="64"/>
        <v>45834</v>
      </c>
      <c r="P485" s="9" t="str">
        <f t="shared" ca="1" si="62"/>
        <v>ATRASADO</v>
      </c>
      <c r="Q485" s="12" t="s">
        <v>1556</v>
      </c>
      <c r="R485" s="9"/>
      <c r="S485" s="9" t="str">
        <f t="shared" si="63"/>
        <v/>
      </c>
    </row>
    <row r="486" spans="1:19" x14ac:dyDescent="0.3">
      <c r="A486" s="9">
        <v>482</v>
      </c>
      <c r="B486" s="2" t="s">
        <v>346</v>
      </c>
      <c r="C486" s="76" t="s">
        <v>1894</v>
      </c>
      <c r="D486" s="17" t="s">
        <v>1895</v>
      </c>
      <c r="E486" s="26">
        <v>33687</v>
      </c>
      <c r="F486" s="9">
        <f t="shared" ca="1" si="57"/>
        <v>34</v>
      </c>
      <c r="G486" s="8">
        <v>43119</v>
      </c>
      <c r="H486" s="57" t="s">
        <v>271</v>
      </c>
      <c r="I486" s="60">
        <v>44741</v>
      </c>
      <c r="J486" s="580" t="s">
        <v>271</v>
      </c>
      <c r="K486" s="4" t="str">
        <f t="shared" si="58"/>
        <v>I</v>
      </c>
      <c r="L486" s="7" t="str">
        <f t="shared" si="59"/>
        <v>G8</v>
      </c>
      <c r="M486" s="7" t="str">
        <f t="shared" si="60"/>
        <v>J1</v>
      </c>
      <c r="N486" s="62" t="str">
        <f t="shared" si="61"/>
        <v/>
      </c>
      <c r="O486" s="8">
        <f t="shared" si="64"/>
        <v>45837</v>
      </c>
      <c r="P486" s="9" t="str">
        <f t="shared" ca="1" si="62"/>
        <v>ATRASADO</v>
      </c>
      <c r="Q486" s="12" t="s">
        <v>1556</v>
      </c>
      <c r="R486" s="9"/>
      <c r="S486" s="9" t="str">
        <f t="shared" si="63"/>
        <v/>
      </c>
    </row>
    <row r="487" spans="1:19" x14ac:dyDescent="0.3">
      <c r="A487" s="9">
        <v>483</v>
      </c>
      <c r="B487" s="2" t="s">
        <v>75</v>
      </c>
      <c r="C487" s="76" t="s">
        <v>1896</v>
      </c>
      <c r="D487" s="17" t="s">
        <v>1897</v>
      </c>
      <c r="E487" s="26">
        <v>23296</v>
      </c>
      <c r="F487" s="9">
        <f t="shared" ca="1" si="57"/>
        <v>62</v>
      </c>
      <c r="G487" s="8">
        <v>43466</v>
      </c>
      <c r="H487" s="57" t="s">
        <v>271</v>
      </c>
      <c r="I487" s="60">
        <v>44726</v>
      </c>
      <c r="J487" s="580" t="s">
        <v>275</v>
      </c>
      <c r="K487" s="4" t="str">
        <f t="shared" si="58"/>
        <v>I</v>
      </c>
      <c r="L487" s="7" t="str">
        <f t="shared" si="59"/>
        <v>G8</v>
      </c>
      <c r="M487" s="7" t="str">
        <f t="shared" si="60"/>
        <v/>
      </c>
      <c r="N487" s="62" t="str">
        <f t="shared" si="61"/>
        <v/>
      </c>
      <c r="O487" s="8">
        <f t="shared" si="64"/>
        <v>45822</v>
      </c>
      <c r="P487" s="9" t="str">
        <f t="shared" ca="1" si="62"/>
        <v>ATRASADO</v>
      </c>
      <c r="Q487" s="12" t="s">
        <v>1556</v>
      </c>
      <c r="R487" s="9"/>
      <c r="S487" s="9" t="str">
        <f t="shared" si="63"/>
        <v/>
      </c>
    </row>
    <row r="488" spans="1:19" x14ac:dyDescent="0.3">
      <c r="A488" s="9">
        <v>484</v>
      </c>
      <c r="B488" s="2" t="s">
        <v>346</v>
      </c>
      <c r="C488" s="76" t="s">
        <v>1898</v>
      </c>
      <c r="D488" s="17" t="s">
        <v>1899</v>
      </c>
      <c r="E488" s="26">
        <v>34129</v>
      </c>
      <c r="F488" s="9">
        <f t="shared" ca="1" si="57"/>
        <v>33</v>
      </c>
      <c r="G488" s="8">
        <v>42885</v>
      </c>
      <c r="H488" s="57" t="s">
        <v>275</v>
      </c>
      <c r="I488" s="60">
        <v>44724</v>
      </c>
      <c r="J488" s="580" t="s">
        <v>271</v>
      </c>
      <c r="K488" s="4" t="str">
        <f t="shared" si="58"/>
        <v>I</v>
      </c>
      <c r="L488" s="7" t="str">
        <f t="shared" si="59"/>
        <v>G8</v>
      </c>
      <c r="M488" s="7" t="str">
        <f t="shared" si="60"/>
        <v>J1</v>
      </c>
      <c r="N488" s="62" t="str">
        <f t="shared" si="61"/>
        <v/>
      </c>
      <c r="O488" s="8">
        <f t="shared" si="64"/>
        <v>45820</v>
      </c>
      <c r="P488" s="9" t="str">
        <f t="shared" ca="1" si="62"/>
        <v>ATRASADO</v>
      </c>
      <c r="Q488" s="12" t="s">
        <v>1556</v>
      </c>
      <c r="R488" s="9"/>
      <c r="S488" s="9" t="str">
        <f t="shared" si="63"/>
        <v/>
      </c>
    </row>
    <row r="489" spans="1:19" x14ac:dyDescent="0.3">
      <c r="A489" s="9">
        <v>485</v>
      </c>
      <c r="B489" s="2" t="s">
        <v>346</v>
      </c>
      <c r="C489" s="76" t="s">
        <v>1900</v>
      </c>
      <c r="D489" s="17" t="s">
        <v>1901</v>
      </c>
      <c r="E489" s="26">
        <v>26630</v>
      </c>
      <c r="F489" s="9">
        <f t="shared" ca="1" si="57"/>
        <v>53</v>
      </c>
      <c r="G489" s="8">
        <v>44276</v>
      </c>
      <c r="H489" s="57" t="s">
        <v>8</v>
      </c>
      <c r="I489" s="60">
        <v>44740</v>
      </c>
      <c r="J489" s="580" t="s">
        <v>275</v>
      </c>
      <c r="K489" s="4" t="str">
        <f t="shared" si="58"/>
        <v>I</v>
      </c>
      <c r="L489" s="7" t="str">
        <f t="shared" si="59"/>
        <v>G8</v>
      </c>
      <c r="M489" s="7" t="str">
        <f t="shared" si="60"/>
        <v/>
      </c>
      <c r="N489" s="62" t="str">
        <f t="shared" si="61"/>
        <v/>
      </c>
      <c r="O489" s="8">
        <f t="shared" si="64"/>
        <v>45836</v>
      </c>
      <c r="P489" s="9" t="str">
        <f t="shared" ca="1" si="62"/>
        <v>ATRASADO</v>
      </c>
      <c r="Q489" s="12" t="s">
        <v>1556</v>
      </c>
      <c r="R489" s="9"/>
      <c r="S489" s="9" t="str">
        <f t="shared" si="63"/>
        <v/>
      </c>
    </row>
    <row r="490" spans="1:19" x14ac:dyDescent="0.3">
      <c r="A490" s="9">
        <v>486</v>
      </c>
      <c r="B490" s="2" t="s">
        <v>75</v>
      </c>
      <c r="C490" s="76" t="s">
        <v>1902</v>
      </c>
      <c r="D490" s="17" t="s">
        <v>1903</v>
      </c>
      <c r="E490" s="26">
        <v>34646</v>
      </c>
      <c r="F490" s="9">
        <f t="shared" ca="1" si="57"/>
        <v>31</v>
      </c>
      <c r="G490" s="25">
        <v>43254</v>
      </c>
      <c r="H490" s="58" t="s">
        <v>275</v>
      </c>
      <c r="I490" s="60">
        <v>44733</v>
      </c>
      <c r="J490" s="580" t="s">
        <v>275</v>
      </c>
      <c r="K490" s="4" t="str">
        <f t="shared" si="58"/>
        <v>I</v>
      </c>
      <c r="L490" s="7" t="str">
        <f t="shared" si="59"/>
        <v>G8</v>
      </c>
      <c r="M490" s="7" t="str">
        <f t="shared" si="60"/>
        <v/>
      </c>
      <c r="N490" s="62" t="str">
        <f t="shared" si="61"/>
        <v/>
      </c>
      <c r="O490" s="8">
        <f t="shared" si="64"/>
        <v>45829</v>
      </c>
      <c r="P490" s="9" t="str">
        <f t="shared" ca="1" si="62"/>
        <v>ATRASADO</v>
      </c>
      <c r="Q490" s="12" t="s">
        <v>1556</v>
      </c>
      <c r="R490" s="9"/>
      <c r="S490" s="9" t="str">
        <f>IF(OR(K490="T1",L490="T1",M490="T1",N490="T1",),"LESION SOSPECHOSA A UPC",IF(OR(K490="T2",L490="T2",M490="T2",N490="T2",),"DERIVAR A UPC POR SEGUNDO ATIPICO",IF(OR(K490="J2",L490="J2",M490="J2",N490="J2",),"TRICOMONAS",IF(OR(K490="J3",L490="J3",M490="J3",N490="J3",),"HERPES SIMPLEX",IF(OR(K490="J5",L490="J5",M490="J5",N490="J5",),"CANDIDA",IF(OR(K490="J6",L490="J6",M490="J6",N490="J6",),"ACTINOMYCES",IF(OR(K490="A1",L490="A1",M490="A1",N490="A1",),"VPH",IF(OR(K490="ASC-H",L490="ASC-H",M490="ASC-H",K490="H2",K490="H3",K490="H4",N490="ASC-H",K490="AGUS",L490="AGUS",L490="H2",L490="H3",L490="H4",M490="AGUS",M490="H2",M490="H3",M490="H4",N490="AGUS",N490="H2",N490="H3",N490="H4"),"MANDAR A UPC / COLPOSCOPIA",IF(OR(K490="A",K490="B",K490="C",K490="D",K490="D0",K490="D1",K490="D2",K490="D3",K490="E",K490="E1",K490="E2",K490="K",K490="T",L490="A",L490="B",L490="C",L490="D",L490="D0",L490="D1",L490="D2",L490="D3",L490="E",L490="E1",L490="E2",L490="K",L490="T",M490="A",M490="B",M490="C",M490="D",M490="D0",M490="D1",M490="D2",M490="D3",M490="E",M490="E1",M490="E2",M490="K",M490="T",N490="A",N490="B",N490="C",N490="D",N490="D0",N490="D1",K490="D2",N490="D2",N490="D3",N490="E",N490="E1",N490="E2",N490="K",N490="T",),"CITAR A UPC","")))))))))</f>
        <v/>
      </c>
    </row>
    <row r="491" spans="1:19" x14ac:dyDescent="0.3">
      <c r="A491" s="9">
        <v>487</v>
      </c>
      <c r="B491" s="2" t="s">
        <v>56</v>
      </c>
      <c r="C491" s="76" t="s">
        <v>1904</v>
      </c>
      <c r="D491" s="9" t="s">
        <v>1905</v>
      </c>
      <c r="E491" s="26">
        <v>28722</v>
      </c>
      <c r="F491" s="9">
        <f t="shared" ca="1" si="57"/>
        <v>48</v>
      </c>
      <c r="G491" s="8">
        <v>43394</v>
      </c>
      <c r="H491" s="9" t="s">
        <v>271</v>
      </c>
      <c r="I491" s="8">
        <v>44749</v>
      </c>
      <c r="J491" s="579" t="s">
        <v>8</v>
      </c>
      <c r="K491" s="4" t="str">
        <f t="shared" si="58"/>
        <v>SI</v>
      </c>
      <c r="L491" s="7" t="str">
        <f t="shared" si="59"/>
        <v xml:space="preserve">N </v>
      </c>
      <c r="M491" s="7" t="str">
        <f t="shared" si="60"/>
        <v>RE</v>
      </c>
      <c r="N491" s="62" t="str">
        <f t="shared" si="61"/>
        <v>GI</v>
      </c>
      <c r="O491" s="8">
        <f t="shared" si="64"/>
        <v>45845</v>
      </c>
      <c r="P491" s="9" t="str">
        <f t="shared" ca="1" si="62"/>
        <v>ATRASADO</v>
      </c>
      <c r="Q491" s="12" t="s">
        <v>1556</v>
      </c>
      <c r="R491" s="9"/>
      <c r="S491" s="9" t="str">
        <f t="shared" ref="S491:S554" si="65">IF(OR(K491="T1",L491="T1",M491="T1",N491="T1",),"LESION SOSPECHOSA A UPC",IF(OR(K491="T2",L491="T2",M491="T2",N491="T2",),"DERIVAR A UPC POR SEGUNDO ATIPICO",IF(OR(K491="J2",L491="J2",M491="J2",N491="J2",),"TRICOMONAS",IF(OR(K491="J3",L491="J3",M491="J3",N491="J3",),"HERPES SIMPLEX",IF(OR(K491="J5",L491="J5",M491="J5",N491="J5",),"CANDIDA",IF(OR(K491="J6",L491="J6",M491="J6",N491="J6",),"ACTINOMYCES",IF(OR(K491="A1",L491="A1",M491="A1",N491="A1",),"VPH",IF(OR(K491="ASC-H",L491="ASC-H",M491="ASC-H",K491="H2",K491="H3",K491="H4",N491="ASC-H",K491="AGUS",L491="AGUS",L491="H2",L491="H3",L491="H4",M491="AGUS",M491="H2",M491="H3",M491="H4",N491="AGUS",N491="H2",N491="H3",N491="H4"),"MANDAR A UPC / COLPOSCOPIA",IF(OR(K491="A",K491="B",K491="C",K491="D",K491="D0",K491="D1",K491="D2",K491="D3",K491="E",K491="E1",K491="E2",K491="K",K491="T",L491="A",L491="B",L491="C",L491="D",L491="D0",L491="D1",L491="D2",L491="D3",L491="E",L491="E1",L491="E2",L491="K",L491="T",M491="A",M491="B",M491="C",M491="D",M491="D0",M491="D1",M491="D2",M491="D3",M491="E",M491="E1",M491="E2",M491="K",M491="T",N491="A",N491="B",N491="C",N491="D",N491="D0",N491="D1",K491="D2",N491="D2",N491="D3",N491="E",N491="E1",N491="E2",N491="K",N491="T",),"CITAR A UPC","")))))))))</f>
        <v/>
      </c>
    </row>
    <row r="492" spans="1:19" x14ac:dyDescent="0.3">
      <c r="A492" s="9">
        <v>488</v>
      </c>
      <c r="B492" s="2" t="s">
        <v>45</v>
      </c>
      <c r="C492" s="76" t="s">
        <v>1906</v>
      </c>
      <c r="D492" s="9" t="s">
        <v>1907</v>
      </c>
      <c r="E492" s="26">
        <v>25160</v>
      </c>
      <c r="F492" s="9">
        <f t="shared" ca="1" si="57"/>
        <v>57</v>
      </c>
      <c r="G492" s="8">
        <v>42998</v>
      </c>
      <c r="H492" s="9" t="s">
        <v>8</v>
      </c>
      <c r="I492" s="8">
        <v>44764</v>
      </c>
      <c r="J492" s="579" t="s">
        <v>275</v>
      </c>
      <c r="K492" s="4" t="str">
        <f t="shared" si="58"/>
        <v>I</v>
      </c>
      <c r="L492" s="7" t="str">
        <f t="shared" si="59"/>
        <v>G8</v>
      </c>
      <c r="M492" s="7" t="str">
        <f t="shared" si="60"/>
        <v/>
      </c>
      <c r="N492" s="62" t="str">
        <f t="shared" si="61"/>
        <v/>
      </c>
      <c r="O492" s="8">
        <f t="shared" si="64"/>
        <v>45860</v>
      </c>
      <c r="P492" s="9" t="str">
        <f t="shared" ca="1" si="62"/>
        <v>ATRASADO</v>
      </c>
      <c r="Q492" s="12" t="s">
        <v>1556</v>
      </c>
      <c r="R492" s="9"/>
      <c r="S492" s="9" t="str">
        <f t="shared" si="65"/>
        <v/>
      </c>
    </row>
    <row r="493" spans="1:19" x14ac:dyDescent="0.3">
      <c r="A493" s="9">
        <v>489</v>
      </c>
      <c r="B493" s="2" t="s">
        <v>56</v>
      </c>
      <c r="C493" s="76" t="s">
        <v>1908</v>
      </c>
      <c r="D493" s="9" t="s">
        <v>1909</v>
      </c>
      <c r="E493" s="26">
        <v>28666</v>
      </c>
      <c r="F493" s="9">
        <f t="shared" ca="1" si="57"/>
        <v>48</v>
      </c>
      <c r="G493" s="8">
        <v>43349</v>
      </c>
      <c r="H493" s="9" t="s">
        <v>275</v>
      </c>
      <c r="I493" s="8">
        <v>44765</v>
      </c>
      <c r="J493" s="579" t="s">
        <v>271</v>
      </c>
      <c r="K493" s="4" t="str">
        <f t="shared" si="58"/>
        <v>I</v>
      </c>
      <c r="L493" s="7" t="str">
        <f t="shared" si="59"/>
        <v>G8</v>
      </c>
      <c r="M493" s="7" t="str">
        <f t="shared" si="60"/>
        <v>J1</v>
      </c>
      <c r="N493" s="62" t="str">
        <f t="shared" si="61"/>
        <v/>
      </c>
      <c r="O493" s="8">
        <f t="shared" si="64"/>
        <v>45861</v>
      </c>
      <c r="P493" s="9" t="str">
        <f t="shared" ca="1" si="62"/>
        <v>ATRASADO</v>
      </c>
      <c r="Q493" s="12" t="s">
        <v>1556</v>
      </c>
      <c r="R493" s="9"/>
      <c r="S493" s="9" t="str">
        <f t="shared" si="65"/>
        <v/>
      </c>
    </row>
    <row r="494" spans="1:19" x14ac:dyDescent="0.3">
      <c r="A494" s="9">
        <v>490</v>
      </c>
      <c r="B494" s="2" t="s">
        <v>270</v>
      </c>
      <c r="C494" s="76" t="s">
        <v>1910</v>
      </c>
      <c r="D494" s="9" t="s">
        <v>1911</v>
      </c>
      <c r="E494" s="26">
        <v>31268</v>
      </c>
      <c r="F494" s="9">
        <f t="shared" ca="1" si="57"/>
        <v>41</v>
      </c>
      <c r="G494" s="8">
        <v>44273</v>
      </c>
      <c r="H494" s="9" t="s">
        <v>271</v>
      </c>
      <c r="I494" s="8">
        <v>44773</v>
      </c>
      <c r="J494" s="579" t="s">
        <v>993</v>
      </c>
      <c r="K494" s="4" t="str">
        <f t="shared" si="58"/>
        <v>A1</v>
      </c>
      <c r="L494" s="7" t="str">
        <f t="shared" si="59"/>
        <v>O3</v>
      </c>
      <c r="M494" s="7" t="str">
        <f t="shared" si="60"/>
        <v/>
      </c>
      <c r="N494" s="62" t="str">
        <f t="shared" si="61"/>
        <v/>
      </c>
      <c r="O494" s="8">
        <f t="shared" si="64"/>
        <v>44957</v>
      </c>
      <c r="P494" s="9" t="str">
        <f t="shared" ca="1" si="62"/>
        <v>ATRASADO</v>
      </c>
      <c r="Q494" s="12" t="s">
        <v>1556</v>
      </c>
      <c r="R494" s="9"/>
      <c r="S494" s="9" t="str">
        <f t="shared" si="65"/>
        <v>VPH</v>
      </c>
    </row>
    <row r="495" spans="1:19" x14ac:dyDescent="0.3">
      <c r="A495" s="9">
        <v>491</v>
      </c>
      <c r="B495" s="2" t="s">
        <v>56</v>
      </c>
      <c r="C495" s="76" t="s">
        <v>1912</v>
      </c>
      <c r="D495" s="9" t="s">
        <v>1913</v>
      </c>
      <c r="E495" s="26">
        <v>29139</v>
      </c>
      <c r="F495" s="9">
        <f t="shared" ca="1" si="57"/>
        <v>46</v>
      </c>
      <c r="G495" s="8">
        <v>44135</v>
      </c>
      <c r="H495" s="9" t="s">
        <v>275</v>
      </c>
      <c r="I495" s="8">
        <v>44768</v>
      </c>
      <c r="J495" s="579" t="s">
        <v>271</v>
      </c>
      <c r="K495" s="4" t="str">
        <f t="shared" si="58"/>
        <v>I</v>
      </c>
      <c r="L495" s="7" t="str">
        <f t="shared" si="59"/>
        <v>G8</v>
      </c>
      <c r="M495" s="7" t="str">
        <f t="shared" si="60"/>
        <v>J1</v>
      </c>
      <c r="N495" s="62" t="str">
        <f t="shared" si="61"/>
        <v/>
      </c>
      <c r="O495" s="8">
        <f t="shared" si="64"/>
        <v>45864</v>
      </c>
      <c r="P495" s="9" t="str">
        <f t="shared" ca="1" si="62"/>
        <v>ATRASADO</v>
      </c>
      <c r="Q495" s="12" t="s">
        <v>1556</v>
      </c>
      <c r="R495" s="9"/>
      <c r="S495" s="9" t="str">
        <f t="shared" si="65"/>
        <v/>
      </c>
    </row>
    <row r="496" spans="1:19" x14ac:dyDescent="0.3">
      <c r="A496" s="9">
        <v>492</v>
      </c>
      <c r="B496" s="2" t="s">
        <v>56</v>
      </c>
      <c r="C496" s="76" t="s">
        <v>1914</v>
      </c>
      <c r="D496" s="9" t="s">
        <v>1915</v>
      </c>
      <c r="E496" s="26">
        <v>31238</v>
      </c>
      <c r="F496" s="9">
        <f t="shared" ca="1" si="57"/>
        <v>41</v>
      </c>
      <c r="G496" s="8">
        <v>43777</v>
      </c>
      <c r="H496" s="9" t="s">
        <v>8</v>
      </c>
      <c r="I496" s="8">
        <v>44747</v>
      </c>
      <c r="J496" s="579" t="s">
        <v>271</v>
      </c>
      <c r="K496" s="4" t="str">
        <f t="shared" si="58"/>
        <v>I</v>
      </c>
      <c r="L496" s="7" t="str">
        <f t="shared" si="59"/>
        <v>G8</v>
      </c>
      <c r="M496" s="7" t="str">
        <f t="shared" si="60"/>
        <v>J1</v>
      </c>
      <c r="N496" s="62" t="str">
        <f t="shared" si="61"/>
        <v/>
      </c>
      <c r="O496" s="8">
        <f t="shared" si="64"/>
        <v>45843</v>
      </c>
      <c r="P496" s="9" t="str">
        <f t="shared" ca="1" si="62"/>
        <v>ATRASADO</v>
      </c>
      <c r="Q496" s="12" t="s">
        <v>1556</v>
      </c>
      <c r="R496" s="9"/>
      <c r="S496" s="9" t="str">
        <f t="shared" si="65"/>
        <v/>
      </c>
    </row>
    <row r="497" spans="1:19" x14ac:dyDescent="0.3">
      <c r="A497" s="9">
        <v>493</v>
      </c>
      <c r="B497" s="2" t="s">
        <v>56</v>
      </c>
      <c r="C497" s="76" t="s">
        <v>1916</v>
      </c>
      <c r="D497" s="9" t="s">
        <v>1917</v>
      </c>
      <c r="E497" s="26">
        <v>27253</v>
      </c>
      <c r="F497" s="9">
        <f t="shared" ca="1" si="57"/>
        <v>52</v>
      </c>
      <c r="G497" s="8">
        <v>43476</v>
      </c>
      <c r="H497" s="9" t="s">
        <v>275</v>
      </c>
      <c r="I497" s="8">
        <v>44762</v>
      </c>
      <c r="J497" s="579" t="s">
        <v>340</v>
      </c>
      <c r="K497" s="4" t="str">
        <f t="shared" si="58"/>
        <v>I</v>
      </c>
      <c r="L497" s="7" t="str">
        <f t="shared" si="59"/>
        <v>G8</v>
      </c>
      <c r="M497" s="7" t="str">
        <f t="shared" si="60"/>
        <v>S</v>
      </c>
      <c r="N497" s="62" t="str">
        <f t="shared" si="61"/>
        <v/>
      </c>
      <c r="O497" s="8">
        <f t="shared" si="64"/>
        <v>45127</v>
      </c>
      <c r="P497" s="9" t="str">
        <f t="shared" ca="1" si="62"/>
        <v>ATRASADO</v>
      </c>
      <c r="Q497" s="12" t="s">
        <v>1556</v>
      </c>
      <c r="R497" s="9"/>
      <c r="S497" s="9" t="str">
        <f t="shared" si="65"/>
        <v/>
      </c>
    </row>
    <row r="498" spans="1:19" x14ac:dyDescent="0.3">
      <c r="A498" s="9">
        <v>494</v>
      </c>
      <c r="B498" s="2" t="s">
        <v>56</v>
      </c>
      <c r="C498" s="76" t="s">
        <v>1918</v>
      </c>
      <c r="D498" s="9" t="s">
        <v>1919</v>
      </c>
      <c r="E498" s="26">
        <v>23542</v>
      </c>
      <c r="F498" s="9">
        <f t="shared" ca="1" si="57"/>
        <v>62</v>
      </c>
      <c r="G498" s="8">
        <v>43866</v>
      </c>
      <c r="H498" s="9" t="s">
        <v>275</v>
      </c>
      <c r="I498" s="8">
        <v>44756</v>
      </c>
      <c r="J498" s="579" t="s">
        <v>271</v>
      </c>
      <c r="K498" s="4" t="str">
        <f t="shared" si="58"/>
        <v>I</v>
      </c>
      <c r="L498" s="7" t="str">
        <f t="shared" si="59"/>
        <v>G8</v>
      </c>
      <c r="M498" s="7" t="str">
        <f t="shared" si="60"/>
        <v>J1</v>
      </c>
      <c r="N498" s="62" t="str">
        <f t="shared" si="61"/>
        <v/>
      </c>
      <c r="O498" s="8">
        <f t="shared" si="64"/>
        <v>45852</v>
      </c>
      <c r="P498" s="9" t="str">
        <f t="shared" ca="1" si="62"/>
        <v>ATRASADO</v>
      </c>
      <c r="Q498" s="12" t="s">
        <v>1556</v>
      </c>
      <c r="R498" s="66"/>
      <c r="S498" s="9" t="str">
        <f t="shared" si="65"/>
        <v/>
      </c>
    </row>
    <row r="499" spans="1:19" x14ac:dyDescent="0.3">
      <c r="A499" s="10">
        <v>495</v>
      </c>
      <c r="B499" s="2" t="s">
        <v>312</v>
      </c>
      <c r="C499" s="80" t="s">
        <v>1920</v>
      </c>
      <c r="D499" s="24" t="s">
        <v>1921</v>
      </c>
      <c r="E499" s="26">
        <v>33287</v>
      </c>
      <c r="F499" s="9">
        <f t="shared" ca="1" si="57"/>
        <v>35</v>
      </c>
      <c r="G499" s="8">
        <v>44235</v>
      </c>
      <c r="H499" s="9" t="s">
        <v>275</v>
      </c>
      <c r="I499" s="8">
        <v>44745</v>
      </c>
      <c r="J499" s="579" t="s">
        <v>8</v>
      </c>
      <c r="K499" s="4" t="str">
        <f t="shared" si="58"/>
        <v>SI</v>
      </c>
      <c r="L499" s="7" t="str">
        <f t="shared" si="59"/>
        <v xml:space="preserve">N </v>
      </c>
      <c r="M499" s="7" t="str">
        <f t="shared" si="60"/>
        <v>RE</v>
      </c>
      <c r="N499" s="62" t="str">
        <f t="shared" si="61"/>
        <v>GI</v>
      </c>
      <c r="O499" s="8">
        <f t="shared" si="64"/>
        <v>45841</v>
      </c>
      <c r="P499" s="9" t="str">
        <f t="shared" ca="1" si="62"/>
        <v>ATRASADO</v>
      </c>
      <c r="Q499" s="9" t="s">
        <v>1556</v>
      </c>
      <c r="R499" s="9"/>
      <c r="S499" s="9" t="str">
        <f t="shared" si="65"/>
        <v/>
      </c>
    </row>
    <row r="500" spans="1:19" x14ac:dyDescent="0.3">
      <c r="A500" s="10">
        <v>496</v>
      </c>
      <c r="B500" s="2" t="s">
        <v>312</v>
      </c>
      <c r="C500" s="76" t="s">
        <v>1922</v>
      </c>
      <c r="D500" s="9" t="s">
        <v>1923</v>
      </c>
      <c r="E500" s="26">
        <v>24913</v>
      </c>
      <c r="F500" s="9">
        <f t="shared" ca="1" si="57"/>
        <v>58</v>
      </c>
      <c r="G500" s="8">
        <v>43298</v>
      </c>
      <c r="H500" s="9" t="s">
        <v>275</v>
      </c>
      <c r="I500" s="8">
        <v>44765</v>
      </c>
      <c r="J500" s="579" t="s">
        <v>275</v>
      </c>
      <c r="K500" s="4" t="str">
        <f t="shared" si="58"/>
        <v>I</v>
      </c>
      <c r="L500" s="7" t="str">
        <f t="shared" si="59"/>
        <v>G8</v>
      </c>
      <c r="M500" s="7" t="str">
        <f t="shared" si="60"/>
        <v/>
      </c>
      <c r="N500" s="62" t="str">
        <f t="shared" si="61"/>
        <v/>
      </c>
      <c r="O500" s="8">
        <f t="shared" si="64"/>
        <v>45861</v>
      </c>
      <c r="P500" s="9" t="str">
        <f t="shared" ca="1" si="62"/>
        <v>ATRASADO</v>
      </c>
      <c r="Q500" s="9" t="s">
        <v>1556</v>
      </c>
      <c r="R500" s="9"/>
      <c r="S500" s="9" t="str">
        <f t="shared" si="65"/>
        <v/>
      </c>
    </row>
    <row r="501" spans="1:19" x14ac:dyDescent="0.3">
      <c r="A501" s="10">
        <v>497</v>
      </c>
      <c r="B501" s="2" t="s">
        <v>312</v>
      </c>
      <c r="C501" s="76" t="s">
        <v>1924</v>
      </c>
      <c r="D501" s="9" t="s">
        <v>1925</v>
      </c>
      <c r="E501" s="26">
        <v>34629</v>
      </c>
      <c r="F501" s="9">
        <f t="shared" ca="1" si="57"/>
        <v>31</v>
      </c>
      <c r="G501" s="8">
        <v>43633</v>
      </c>
      <c r="H501" s="9" t="s">
        <v>271</v>
      </c>
      <c r="I501" s="8">
        <v>44751</v>
      </c>
      <c r="J501" s="579" t="s">
        <v>275</v>
      </c>
      <c r="K501" s="4" t="str">
        <f t="shared" si="58"/>
        <v>I</v>
      </c>
      <c r="L501" s="7" t="str">
        <f t="shared" si="59"/>
        <v>G8</v>
      </c>
      <c r="M501" s="7" t="str">
        <f t="shared" si="60"/>
        <v/>
      </c>
      <c r="N501" s="62" t="str">
        <f t="shared" si="61"/>
        <v/>
      </c>
      <c r="O501" s="8">
        <f t="shared" si="64"/>
        <v>45847</v>
      </c>
      <c r="P501" s="9" t="str">
        <f t="shared" ca="1" si="62"/>
        <v>ATRASADO</v>
      </c>
      <c r="Q501" s="9" t="s">
        <v>1556</v>
      </c>
      <c r="R501" s="9"/>
      <c r="S501" s="9" t="str">
        <f t="shared" si="65"/>
        <v/>
      </c>
    </row>
    <row r="502" spans="1:19" x14ac:dyDescent="0.3">
      <c r="A502" s="10">
        <v>498</v>
      </c>
      <c r="B502" s="2" t="s">
        <v>312</v>
      </c>
      <c r="C502" s="76" t="s">
        <v>1926</v>
      </c>
      <c r="D502" s="9" t="s">
        <v>1927</v>
      </c>
      <c r="E502" s="26">
        <v>28260</v>
      </c>
      <c r="F502" s="9">
        <f t="shared" ca="1" si="57"/>
        <v>49</v>
      </c>
      <c r="G502" s="8">
        <v>43201</v>
      </c>
      <c r="H502" s="9" t="s">
        <v>8</v>
      </c>
      <c r="I502" s="8">
        <v>44771</v>
      </c>
      <c r="J502" s="579" t="s">
        <v>275</v>
      </c>
      <c r="K502" s="4" t="str">
        <f t="shared" si="58"/>
        <v>I</v>
      </c>
      <c r="L502" s="7" t="str">
        <f t="shared" si="59"/>
        <v>G8</v>
      </c>
      <c r="M502" s="7" t="str">
        <f t="shared" si="60"/>
        <v/>
      </c>
      <c r="N502" s="62" t="str">
        <f t="shared" si="61"/>
        <v/>
      </c>
      <c r="O502" s="8">
        <f t="shared" si="64"/>
        <v>45867</v>
      </c>
      <c r="P502" s="9" t="str">
        <f t="shared" ca="1" si="62"/>
        <v>ATRASADO</v>
      </c>
      <c r="Q502" s="9" t="s">
        <v>1556</v>
      </c>
      <c r="R502" s="9"/>
      <c r="S502" s="9" t="str">
        <f t="shared" si="65"/>
        <v/>
      </c>
    </row>
    <row r="503" spans="1:19" x14ac:dyDescent="0.3">
      <c r="A503" s="10">
        <v>499</v>
      </c>
      <c r="B503" s="2" t="s">
        <v>312</v>
      </c>
      <c r="C503" s="76" t="s">
        <v>1928</v>
      </c>
      <c r="D503" s="9" t="s">
        <v>1929</v>
      </c>
      <c r="E503" s="26">
        <v>29625</v>
      </c>
      <c r="F503" s="9">
        <f t="shared" ca="1" si="57"/>
        <v>45</v>
      </c>
      <c r="G503" s="8">
        <v>44360</v>
      </c>
      <c r="H503" s="9" t="s">
        <v>327</v>
      </c>
      <c r="I503" s="8">
        <v>44761</v>
      </c>
      <c r="J503" s="579" t="s">
        <v>275</v>
      </c>
      <c r="K503" s="4" t="str">
        <f t="shared" si="58"/>
        <v>I</v>
      </c>
      <c r="L503" s="7" t="str">
        <f t="shared" si="59"/>
        <v>G8</v>
      </c>
      <c r="M503" s="7" t="str">
        <f t="shared" si="60"/>
        <v/>
      </c>
      <c r="N503" s="62" t="str">
        <f t="shared" si="61"/>
        <v/>
      </c>
      <c r="O503" s="8">
        <f t="shared" si="64"/>
        <v>45857</v>
      </c>
      <c r="P503" s="9" t="str">
        <f t="shared" ca="1" si="62"/>
        <v>ATRASADO</v>
      </c>
      <c r="Q503" s="9" t="s">
        <v>1556</v>
      </c>
      <c r="R503" s="9"/>
      <c r="S503" s="9" t="str">
        <f t="shared" si="65"/>
        <v/>
      </c>
    </row>
    <row r="504" spans="1:19" x14ac:dyDescent="0.3">
      <c r="A504" s="10">
        <v>500</v>
      </c>
      <c r="B504" s="2" t="s">
        <v>312</v>
      </c>
      <c r="C504" s="63" t="s">
        <v>1930</v>
      </c>
      <c r="D504" s="9" t="s">
        <v>1931</v>
      </c>
      <c r="E504" s="26">
        <v>28025</v>
      </c>
      <c r="F504" s="9">
        <f t="shared" ca="1" si="57"/>
        <v>50</v>
      </c>
      <c r="G504" s="8">
        <v>44274</v>
      </c>
      <c r="H504" s="9" t="s">
        <v>327</v>
      </c>
      <c r="I504" s="8">
        <v>44769</v>
      </c>
      <c r="J504" s="579" t="s">
        <v>275</v>
      </c>
      <c r="K504" s="4" t="str">
        <f t="shared" si="58"/>
        <v>I</v>
      </c>
      <c r="L504" s="7" t="str">
        <f t="shared" si="59"/>
        <v>G8</v>
      </c>
      <c r="M504" s="7" t="str">
        <f t="shared" si="60"/>
        <v/>
      </c>
      <c r="N504" s="62" t="str">
        <f t="shared" si="61"/>
        <v/>
      </c>
      <c r="O504" s="8">
        <f t="shared" si="64"/>
        <v>45865</v>
      </c>
      <c r="P504" s="9" t="str">
        <f t="shared" ca="1" si="62"/>
        <v>ATRASADO</v>
      </c>
      <c r="Q504" s="9" t="s">
        <v>1556</v>
      </c>
      <c r="R504" s="9"/>
      <c r="S504" s="9" t="str">
        <f t="shared" si="65"/>
        <v/>
      </c>
    </row>
    <row r="505" spans="1:19" x14ac:dyDescent="0.3">
      <c r="A505" s="10">
        <v>501</v>
      </c>
      <c r="B505" s="2" t="s">
        <v>312</v>
      </c>
      <c r="C505" s="63" t="s">
        <v>1932</v>
      </c>
      <c r="D505" s="9" t="s">
        <v>1933</v>
      </c>
      <c r="E505" s="26">
        <v>25516</v>
      </c>
      <c r="F505" s="9">
        <f t="shared" ca="1" si="57"/>
        <v>56</v>
      </c>
      <c r="G505" s="8">
        <v>44143</v>
      </c>
      <c r="H505" s="9" t="s">
        <v>8</v>
      </c>
      <c r="I505" s="8">
        <v>44770</v>
      </c>
      <c r="J505" s="579" t="s">
        <v>275</v>
      </c>
      <c r="K505" s="4" t="str">
        <f t="shared" si="58"/>
        <v>I</v>
      </c>
      <c r="L505" s="7" t="str">
        <f t="shared" si="59"/>
        <v>G8</v>
      </c>
      <c r="M505" s="7" t="str">
        <f t="shared" si="60"/>
        <v/>
      </c>
      <c r="N505" s="62" t="str">
        <f t="shared" si="61"/>
        <v/>
      </c>
      <c r="O505" s="8">
        <f t="shared" si="64"/>
        <v>45866</v>
      </c>
      <c r="P505" s="9" t="str">
        <f t="shared" ca="1" si="62"/>
        <v>ATRASADO</v>
      </c>
      <c r="Q505" s="9" t="s">
        <v>1556</v>
      </c>
      <c r="R505" s="9"/>
      <c r="S505" s="9" t="str">
        <f t="shared" si="65"/>
        <v/>
      </c>
    </row>
    <row r="506" spans="1:19" x14ac:dyDescent="0.3">
      <c r="A506" s="10">
        <v>502</v>
      </c>
      <c r="B506" s="2" t="s">
        <v>312</v>
      </c>
      <c r="C506" s="63" t="s">
        <v>1934</v>
      </c>
      <c r="D506" s="9" t="s">
        <v>1935</v>
      </c>
      <c r="E506" s="26">
        <v>30073</v>
      </c>
      <c r="F506" s="9">
        <f t="shared" ca="1" si="57"/>
        <v>44</v>
      </c>
      <c r="G506" s="8">
        <v>44307</v>
      </c>
      <c r="H506" s="9" t="s">
        <v>275</v>
      </c>
      <c r="I506" s="8">
        <v>44761</v>
      </c>
      <c r="J506" s="579" t="s">
        <v>275</v>
      </c>
      <c r="K506" s="4" t="str">
        <f t="shared" si="58"/>
        <v>I</v>
      </c>
      <c r="L506" s="7" t="str">
        <f t="shared" si="59"/>
        <v>G8</v>
      </c>
      <c r="M506" s="7" t="str">
        <f t="shared" si="60"/>
        <v/>
      </c>
      <c r="N506" s="62" t="str">
        <f t="shared" si="61"/>
        <v/>
      </c>
      <c r="O506" s="8">
        <f t="shared" si="64"/>
        <v>45857</v>
      </c>
      <c r="P506" s="9" t="str">
        <f t="shared" ca="1" si="62"/>
        <v>ATRASADO</v>
      </c>
      <c r="Q506" s="9" t="s">
        <v>1556</v>
      </c>
      <c r="R506" s="9"/>
      <c r="S506" s="9" t="str">
        <f t="shared" si="65"/>
        <v/>
      </c>
    </row>
    <row r="507" spans="1:19" x14ac:dyDescent="0.3">
      <c r="A507" s="10">
        <v>503</v>
      </c>
      <c r="B507" s="2" t="s">
        <v>312</v>
      </c>
      <c r="C507" s="63" t="s">
        <v>1936</v>
      </c>
      <c r="D507" s="9" t="s">
        <v>1937</v>
      </c>
      <c r="E507" s="26">
        <v>22451</v>
      </c>
      <c r="F507" s="9">
        <f t="shared" ca="1" si="57"/>
        <v>65</v>
      </c>
      <c r="G507" s="8">
        <v>43018</v>
      </c>
      <c r="H507" s="9" t="s">
        <v>271</v>
      </c>
      <c r="I507" s="8">
        <v>44745</v>
      </c>
      <c r="J507" s="579" t="s">
        <v>275</v>
      </c>
      <c r="K507" s="4" t="str">
        <f t="shared" si="58"/>
        <v>I</v>
      </c>
      <c r="L507" s="7" t="str">
        <f t="shared" si="59"/>
        <v>G8</v>
      </c>
      <c r="M507" s="7" t="str">
        <f t="shared" si="60"/>
        <v/>
      </c>
      <c r="N507" s="62" t="str">
        <f t="shared" si="61"/>
        <v/>
      </c>
      <c r="O507" s="8">
        <f t="shared" si="64"/>
        <v>45841</v>
      </c>
      <c r="P507" s="9" t="str">
        <f t="shared" ca="1" si="62"/>
        <v>ATRASADO</v>
      </c>
      <c r="Q507" s="9" t="s">
        <v>1556</v>
      </c>
      <c r="R507" s="9"/>
      <c r="S507" s="9" t="str">
        <f t="shared" si="65"/>
        <v/>
      </c>
    </row>
    <row r="508" spans="1:19" x14ac:dyDescent="0.3">
      <c r="A508" s="10">
        <v>504</v>
      </c>
      <c r="B508" s="2" t="s">
        <v>312</v>
      </c>
      <c r="C508" s="63" t="s">
        <v>1938</v>
      </c>
      <c r="D508" s="9" t="s">
        <v>1939</v>
      </c>
      <c r="E508" s="26">
        <v>31809</v>
      </c>
      <c r="F508" s="9">
        <f t="shared" ca="1" si="57"/>
        <v>39</v>
      </c>
      <c r="G508" s="8">
        <v>44297</v>
      </c>
      <c r="H508" s="9" t="s">
        <v>8</v>
      </c>
      <c r="I508" s="8">
        <v>44771</v>
      </c>
      <c r="J508" s="579" t="s">
        <v>528</v>
      </c>
      <c r="K508" s="4" t="str">
        <f t="shared" si="58"/>
        <v>I</v>
      </c>
      <c r="L508" s="7" t="str">
        <f t="shared" si="59"/>
        <v>G7</v>
      </c>
      <c r="M508" s="7" t="str">
        <f t="shared" si="60"/>
        <v>J1</v>
      </c>
      <c r="N508" s="62" t="str">
        <f t="shared" si="61"/>
        <v>S</v>
      </c>
      <c r="O508" s="8">
        <f t="shared" si="64"/>
        <v>45136</v>
      </c>
      <c r="P508" s="9" t="str">
        <f t="shared" ca="1" si="62"/>
        <v>ATRASADO</v>
      </c>
      <c r="Q508" s="9" t="s">
        <v>1556</v>
      </c>
      <c r="R508" s="9"/>
      <c r="S508" s="9" t="str">
        <f t="shared" si="65"/>
        <v/>
      </c>
    </row>
    <row r="509" spans="1:19" x14ac:dyDescent="0.3">
      <c r="A509" s="10">
        <v>505</v>
      </c>
      <c r="B509" s="2" t="s">
        <v>312</v>
      </c>
      <c r="C509" s="63" t="s">
        <v>1940</v>
      </c>
      <c r="D509" s="9" t="s">
        <v>1941</v>
      </c>
      <c r="E509" s="26">
        <v>22812</v>
      </c>
      <c r="F509" s="9">
        <f t="shared" ca="1" si="57"/>
        <v>64</v>
      </c>
      <c r="G509" s="8">
        <v>44356</v>
      </c>
      <c r="H509" s="9" t="s">
        <v>271</v>
      </c>
      <c r="I509" s="8">
        <v>44749</v>
      </c>
      <c r="J509" s="579" t="s">
        <v>321</v>
      </c>
      <c r="K509" s="4" t="str">
        <f t="shared" si="58"/>
        <v>G2</v>
      </c>
      <c r="L509" s="7" t="str">
        <f t="shared" si="59"/>
        <v>O5</v>
      </c>
      <c r="M509" s="7" t="str">
        <f t="shared" si="60"/>
        <v/>
      </c>
      <c r="N509" s="62" t="str">
        <f t="shared" si="61"/>
        <v/>
      </c>
      <c r="O509" s="8">
        <f t="shared" si="64"/>
        <v>44841</v>
      </c>
      <c r="P509" s="9" t="str">
        <f t="shared" ca="1" si="62"/>
        <v>ATRASADO</v>
      </c>
      <c r="Q509" s="9" t="s">
        <v>1556</v>
      </c>
      <c r="R509" s="9"/>
      <c r="S509" s="9" t="str">
        <f t="shared" si="65"/>
        <v/>
      </c>
    </row>
    <row r="510" spans="1:19" x14ac:dyDescent="0.3">
      <c r="A510" s="10">
        <v>506</v>
      </c>
      <c r="B510" s="85" t="s">
        <v>312</v>
      </c>
      <c r="C510" s="82" t="s">
        <v>1942</v>
      </c>
      <c r="D510" s="86" t="s">
        <v>1943</v>
      </c>
      <c r="E510" s="83">
        <v>29694</v>
      </c>
      <c r="F510" s="9">
        <f t="shared" ca="1" si="57"/>
        <v>45</v>
      </c>
      <c r="G510" s="84">
        <v>43471</v>
      </c>
      <c r="H510" s="86" t="s">
        <v>8</v>
      </c>
      <c r="I510" s="84">
        <v>44747</v>
      </c>
      <c r="J510" s="579" t="s">
        <v>8</v>
      </c>
      <c r="K510" s="4" t="str">
        <f t="shared" si="58"/>
        <v>SI</v>
      </c>
      <c r="L510" s="7" t="str">
        <f t="shared" si="59"/>
        <v xml:space="preserve">N </v>
      </c>
      <c r="M510" s="7" t="str">
        <f t="shared" si="60"/>
        <v>RE</v>
      </c>
      <c r="N510" s="62" t="str">
        <f t="shared" si="61"/>
        <v>GI</v>
      </c>
      <c r="O510" s="8">
        <f t="shared" si="64"/>
        <v>45843</v>
      </c>
      <c r="P510" s="9" t="str">
        <f t="shared" ca="1" si="62"/>
        <v>ATRASADO</v>
      </c>
      <c r="Q510" s="86" t="s">
        <v>1556</v>
      </c>
      <c r="R510" s="100"/>
      <c r="S510" s="9" t="str">
        <f t="shared" si="65"/>
        <v/>
      </c>
    </row>
    <row r="511" spans="1:19" x14ac:dyDescent="0.3">
      <c r="A511" s="10">
        <v>507</v>
      </c>
      <c r="B511" s="85" t="s">
        <v>312</v>
      </c>
      <c r="C511" s="82" t="s">
        <v>1944</v>
      </c>
      <c r="D511" s="86" t="s">
        <v>1945</v>
      </c>
      <c r="E511" s="83">
        <v>27804</v>
      </c>
      <c r="F511" s="9">
        <f t="shared" ca="1" si="57"/>
        <v>50</v>
      </c>
      <c r="G511" s="84">
        <v>44115</v>
      </c>
      <c r="H511" s="86" t="s">
        <v>275</v>
      </c>
      <c r="I511" s="84">
        <v>44745</v>
      </c>
      <c r="J511" s="579" t="s">
        <v>275</v>
      </c>
      <c r="K511" s="4" t="str">
        <f t="shared" si="58"/>
        <v>I</v>
      </c>
      <c r="L511" s="7" t="str">
        <f t="shared" si="59"/>
        <v>G8</v>
      </c>
      <c r="M511" s="7" t="str">
        <f t="shared" si="60"/>
        <v/>
      </c>
      <c r="N511" s="62" t="str">
        <f t="shared" si="61"/>
        <v/>
      </c>
      <c r="O511" s="8">
        <f t="shared" si="64"/>
        <v>45841</v>
      </c>
      <c r="P511" s="9" t="str">
        <f t="shared" ca="1" si="62"/>
        <v>ATRASADO</v>
      </c>
      <c r="Q511" s="86" t="s">
        <v>1556</v>
      </c>
      <c r="R511" s="100"/>
      <c r="S511" s="9" t="str">
        <f t="shared" si="65"/>
        <v/>
      </c>
    </row>
    <row r="512" spans="1:19" x14ac:dyDescent="0.3">
      <c r="A512" s="10">
        <v>508</v>
      </c>
      <c r="B512" s="85" t="s">
        <v>312</v>
      </c>
      <c r="C512" s="82" t="s">
        <v>1946</v>
      </c>
      <c r="D512" s="86" t="s">
        <v>1947</v>
      </c>
      <c r="E512" s="83">
        <v>28930</v>
      </c>
      <c r="F512" s="9">
        <f t="shared" ca="1" si="57"/>
        <v>47</v>
      </c>
      <c r="G512" s="84">
        <v>44002</v>
      </c>
      <c r="H512" s="86" t="s">
        <v>8</v>
      </c>
      <c r="I512" s="84">
        <v>44745</v>
      </c>
      <c r="J512" s="579" t="s">
        <v>340</v>
      </c>
      <c r="K512" s="4" t="str">
        <f t="shared" si="58"/>
        <v>I</v>
      </c>
      <c r="L512" s="7" t="str">
        <f t="shared" si="59"/>
        <v>G8</v>
      </c>
      <c r="M512" s="7" t="str">
        <f t="shared" si="60"/>
        <v>S</v>
      </c>
      <c r="N512" s="62" t="str">
        <f t="shared" si="61"/>
        <v/>
      </c>
      <c r="O512" s="8">
        <f t="shared" si="64"/>
        <v>45110</v>
      </c>
      <c r="P512" s="9" t="str">
        <f t="shared" ca="1" si="62"/>
        <v>ATRASADO</v>
      </c>
      <c r="Q512" s="86" t="s">
        <v>1556</v>
      </c>
      <c r="R512" s="100"/>
      <c r="S512" s="9" t="str">
        <f t="shared" si="65"/>
        <v/>
      </c>
    </row>
    <row r="513" spans="1:19" x14ac:dyDescent="0.3">
      <c r="A513" s="10">
        <v>509</v>
      </c>
      <c r="B513" s="85" t="s">
        <v>312</v>
      </c>
      <c r="C513" s="82" t="s">
        <v>1948</v>
      </c>
      <c r="D513" s="86" t="s">
        <v>1949</v>
      </c>
      <c r="E513" s="83">
        <v>25911</v>
      </c>
      <c r="F513" s="9">
        <f t="shared" ca="1" si="57"/>
        <v>55</v>
      </c>
      <c r="G513" s="84">
        <v>42979</v>
      </c>
      <c r="H513" s="86" t="s">
        <v>275</v>
      </c>
      <c r="I513" s="84">
        <v>44748</v>
      </c>
      <c r="J513" s="579" t="s">
        <v>271</v>
      </c>
      <c r="K513" s="4" t="str">
        <f t="shared" si="58"/>
        <v>I</v>
      </c>
      <c r="L513" s="7" t="str">
        <f t="shared" si="59"/>
        <v>G8</v>
      </c>
      <c r="M513" s="7" t="str">
        <f t="shared" si="60"/>
        <v>J1</v>
      </c>
      <c r="N513" s="62" t="str">
        <f t="shared" si="61"/>
        <v/>
      </c>
      <c r="O513" s="8">
        <f t="shared" si="64"/>
        <v>45844</v>
      </c>
      <c r="P513" s="9" t="str">
        <f t="shared" ca="1" si="62"/>
        <v>ATRASADO</v>
      </c>
      <c r="Q513" s="86" t="s">
        <v>1556</v>
      </c>
      <c r="R513" s="100"/>
      <c r="S513" s="9" t="str">
        <f t="shared" si="65"/>
        <v/>
      </c>
    </row>
    <row r="514" spans="1:19" x14ac:dyDescent="0.3">
      <c r="A514" s="10">
        <v>510</v>
      </c>
      <c r="B514" s="85" t="s">
        <v>312</v>
      </c>
      <c r="C514" s="82" t="s">
        <v>1950</v>
      </c>
      <c r="D514" s="86" t="s">
        <v>1951</v>
      </c>
      <c r="E514" s="83">
        <v>32221</v>
      </c>
      <c r="F514" s="9">
        <f t="shared" ca="1" si="57"/>
        <v>38</v>
      </c>
      <c r="G514" s="84">
        <v>42927</v>
      </c>
      <c r="H514" s="86" t="s">
        <v>275</v>
      </c>
      <c r="I514" s="84">
        <v>44770</v>
      </c>
      <c r="J514" s="579" t="s">
        <v>271</v>
      </c>
      <c r="K514" s="4" t="str">
        <f t="shared" si="58"/>
        <v>I</v>
      </c>
      <c r="L514" s="7" t="str">
        <f t="shared" si="59"/>
        <v>G8</v>
      </c>
      <c r="M514" s="7" t="str">
        <f t="shared" si="60"/>
        <v>J1</v>
      </c>
      <c r="N514" s="62" t="str">
        <f t="shared" si="61"/>
        <v/>
      </c>
      <c r="O514" s="8">
        <f t="shared" si="64"/>
        <v>45866</v>
      </c>
      <c r="P514" s="9" t="str">
        <f t="shared" ca="1" si="62"/>
        <v>ATRASADO</v>
      </c>
      <c r="Q514" s="86" t="s">
        <v>1556</v>
      </c>
      <c r="R514" s="100"/>
      <c r="S514" s="9" t="str">
        <f t="shared" si="65"/>
        <v/>
      </c>
    </row>
    <row r="515" spans="1:19" x14ac:dyDescent="0.3">
      <c r="A515" s="10">
        <v>511</v>
      </c>
      <c r="B515" s="85" t="s">
        <v>312</v>
      </c>
      <c r="C515" s="82" t="s">
        <v>1952</v>
      </c>
      <c r="D515" s="86" t="s">
        <v>1953</v>
      </c>
      <c r="E515" s="83">
        <v>30369</v>
      </c>
      <c r="F515" s="9">
        <f t="shared" ca="1" si="57"/>
        <v>43</v>
      </c>
      <c r="G515" s="84">
        <v>43721</v>
      </c>
      <c r="H515" s="86" t="s">
        <v>271</v>
      </c>
      <c r="I515" s="84">
        <v>44764</v>
      </c>
      <c r="J515" s="579" t="s">
        <v>327</v>
      </c>
      <c r="K515" s="4" t="str">
        <f t="shared" si="58"/>
        <v>I</v>
      </c>
      <c r="L515" s="7" t="str">
        <f t="shared" si="59"/>
        <v>G7</v>
      </c>
      <c r="M515" s="7" t="str">
        <f t="shared" si="60"/>
        <v>S</v>
      </c>
      <c r="N515" s="62" t="str">
        <f t="shared" si="61"/>
        <v/>
      </c>
      <c r="O515" s="8">
        <f t="shared" si="64"/>
        <v>45129</v>
      </c>
      <c r="P515" s="9" t="str">
        <f t="shared" ca="1" si="62"/>
        <v>ATRASADO</v>
      </c>
      <c r="Q515" s="86" t="s">
        <v>1556</v>
      </c>
      <c r="R515" s="100" t="s">
        <v>1601</v>
      </c>
      <c r="S515" s="9" t="str">
        <f t="shared" si="65"/>
        <v/>
      </c>
    </row>
    <row r="516" spans="1:19" x14ac:dyDescent="0.3">
      <c r="A516" s="10">
        <v>512</v>
      </c>
      <c r="B516" s="85" t="s">
        <v>312</v>
      </c>
      <c r="C516" s="82" t="s">
        <v>1954</v>
      </c>
      <c r="D516" s="86" t="s">
        <v>1955</v>
      </c>
      <c r="E516" s="83">
        <v>33735</v>
      </c>
      <c r="F516" s="9">
        <f t="shared" ca="1" si="57"/>
        <v>34</v>
      </c>
      <c r="G516" s="84">
        <v>44111</v>
      </c>
      <c r="H516" s="86" t="s">
        <v>275</v>
      </c>
      <c r="I516" s="84">
        <v>44754</v>
      </c>
      <c r="J516" s="579" t="s">
        <v>275</v>
      </c>
      <c r="K516" s="4" t="str">
        <f t="shared" si="58"/>
        <v>I</v>
      </c>
      <c r="L516" s="7" t="str">
        <f t="shared" si="59"/>
        <v>G8</v>
      </c>
      <c r="M516" s="7" t="str">
        <f t="shared" si="60"/>
        <v/>
      </c>
      <c r="N516" s="62" t="str">
        <f t="shared" si="61"/>
        <v/>
      </c>
      <c r="O516" s="8">
        <f t="shared" si="64"/>
        <v>45850</v>
      </c>
      <c r="P516" s="9" t="str">
        <f t="shared" ca="1" si="62"/>
        <v>ATRASADO</v>
      </c>
      <c r="Q516" s="86" t="s">
        <v>1556</v>
      </c>
      <c r="R516" s="100"/>
      <c r="S516" s="9" t="str">
        <f t="shared" si="65"/>
        <v/>
      </c>
    </row>
    <row r="517" spans="1:19" x14ac:dyDescent="0.3">
      <c r="A517" s="10">
        <v>513</v>
      </c>
      <c r="B517" s="92" t="s">
        <v>312</v>
      </c>
      <c r="C517" s="87" t="s">
        <v>1956</v>
      </c>
      <c r="D517" s="89" t="s">
        <v>1957</v>
      </c>
      <c r="E517" s="90">
        <v>22800</v>
      </c>
      <c r="F517" s="9">
        <f t="shared" ca="1" si="57"/>
        <v>64</v>
      </c>
      <c r="G517" s="91">
        <v>43532</v>
      </c>
      <c r="H517" s="89" t="s">
        <v>275</v>
      </c>
      <c r="I517" s="91">
        <v>44765</v>
      </c>
      <c r="J517" s="578" t="s">
        <v>271</v>
      </c>
      <c r="K517" s="4" t="str">
        <f t="shared" ref="K517:K673" si="66">IF(OR(LEFT(J517,2)="T1",LEFT(J517,2)="T2",LEFT(J517,2)="A1",LEFT(J517,2)="D0",LEFT(J517,2)="D1",LEFT(J517,2)="D2",LEFT(J517,2)="D3",LEFT(J517,2)="E1",LEFT(J517,2)="E2"),LEFT(J517,2),IF(OR(LEFT(J517,1)="A",LEFT(J517,1)="B",LEFT(J517,1)="C",LEFT(J517,1)="D",LEFT(J517,1)="I",LEFT(J517,1)="E",LEFT(J517,1)="K",LEFT(J517,1)="T"),LEFT(J517,1),LEFT(J517,2)))</f>
        <v>I</v>
      </c>
      <c r="L517" s="7" t="str">
        <f t="shared" ref="L517:L673" si="67">IF(AND(OR(LEFT(J517,2)="A1",LEFT(J517,2)="D0",LEFT(J517,2)="D1",LEFT(J517,2)="D2",LEFT(J517,2)="D3",LEFT(J517,2)="E1",LEFT(J517,2)="E2",LEFT(J517,2)="T1",LEFT(J517,2)="T2"),OR(MID(J517,3,1)="A",MID(J517,3,1)="B",MID(J517,3,1)="C",MID(J517,3,1)="D",MID(J517,3,1)="E",MID(J517,3,1)="I",MID(J517,3,1)="K",MID(J517,3,1)="T",MID(J517,3,1)="N",)),MID(J517,3,1),IF(OR(LEFT(J517,2)="A1",LEFT(J517,2)="D0",LEFT(J517,2)="D1",LEFT(J517,2)="D2",LEFT(J517,2)="D3",LEFT(J517,2)="E1",LEFT(J517,2)="E2",LEFT(J517,2)="T1",LEFT(J517,2)="T2"),MID(J517,3,2),IF(AND(OR(LEFT(J517,1)="A",LEFT(J517,1)="B",LEFT(J517,1)="C",LEFT(J517,1)="D",LEFT(J517,1)="E",LEFT(J517,1)="I",LEFT(J517,1)="K",LEFT(J517,1)="T",LEFT(J517,1)="N"),OR(MID(J517,2,1)="A",MID(J517,2,1)="B",MID(J517,2,1)="C",MID(J517,2,1)="D",MID(J517,2,1)="E",MID(J517,2,1)="I",MID(J517,2,1)="K",MID(J517,2,1)="T",MID(J517,2,1)="N")),MID(J517,2,2),IF(OR(LEFT(J517,1)="A",LEFT(J517,1)="B",LEFT(J517,1)="C",LEFT(J517,1)="D",LEFT(J517,1)="E",LEFT(J517,1)="I",LEFT(J517,1)="K",LEFT(J517,1)="T",LEFT(J517,1)="N"),MID(J517,2,2),MID(J517,3,2)))))</f>
        <v>G8</v>
      </c>
      <c r="M517" s="7" t="str">
        <f t="shared" ref="M517:M673" si="68">IF(AND(OR(LEFT(J517,2)="A1",LEFT(J517,2)="D0",LEFT(J517,2)="D1",LEFT(J517,2)="D2",LEFT(J517,2)="D3",LEFT(J517,2)="E1",LEFT(J517,2)="E2",LEFT(J517,2)="T1",LEFT(J517,2)="T2"),OR(MID(J517,3,1)="A",MID(J517,3,1)="B",MID(J517,3,1)="C",MID(J517,3,1)="D",MID(J517,3,1)="E",MID(J517,3,1)="I",MID(J517,3,1)="K",MID(J517,3,1)="T",MID(J517,3,1)="N",)),MID(J517,4,2),IF(OR(LEFT(J517,2)="A1",LEFT(J517,2)="D0",LEFT(J517,2)="D1",LEFT(J517,2)="D2",LEFT(J517,2)="D3",LEFT(J517,2)="E1",LEFT(J517,2)="E2",LEFT(J517,2)="T1",LEFT(J517,2)="T2"),MID(J517,5,2),IF(AND(OR(LEFT(J517,1)="A",LEFT(J517,1)="B",LEFT(J517,1)="C",LEFT(J517,1)="D",LEFT(J517,1)="E",LEFT(J517,1)="I",LEFT(J517,1)="K",LEFT(J517,1)="T",LEFT(J517,1)="N"),OR(MID(J517,2,1)="A",MID(J517,2,1)="B",MID(J517,2,1)="C",MID(J517,2,1)="D",MID(J517,2,1)="E",MID(J517,2,1)="I",MID(J517,2,1)="K",MID(J517,2,1)="T",MID(J517,2,1)="N")),MID(J517,3,2),IF(OR(LEFT(J517,1)="A",LEFT(J517,1)="B",LEFT(J517,1)="C",LEFT(J517,1)="D",LEFT(J517,1)="E",LEFT(J517,1)="I",LEFT(J517,1)="K",LEFT(J517,1)="T",LEFT(J517,1)="N"),MID(J517,4,2),MID(J517,5,2)))))</f>
        <v>J1</v>
      </c>
      <c r="N517" s="62" t="str">
        <f t="shared" ref="N517:N673" si="69">IF(AND(OR(LEFT(J517,1)="I",LEFT(J517,1)="T",LEFT(J517,1)="A",LEFT(J517,1)="B",LEFT(J517,1)="C",LEFT(J517,1)="D",LEFT(J517,1)="E"),OR(MID(J517,2,1)="I",MID(J517,2,1)="T",MID(J517,2,1)="A",MID(J517,2,1)="B",MID(J517,2,1)="C",MID(J517,2,1)="D",MID(J517,2,1)="E")),MID(J517,5,2),IF(OR(LEFT(J517,1)="I",LEFT(J517,1)="T",LEFT(J517,1)="A",LEFT(J517,1)="B",LEFT(J517,1)="C",LEFT(J517,1)="D",LEFT(J517,1)="E"),MID(J517,6,2),MID(J517,7,2)))</f>
        <v/>
      </c>
      <c r="O517" s="8">
        <f t="shared" si="64"/>
        <v>45861</v>
      </c>
      <c r="P517" s="9" t="str">
        <f t="shared" ca="1" si="62"/>
        <v>ATRASADO</v>
      </c>
      <c r="Q517" s="89" t="s">
        <v>1556</v>
      </c>
      <c r="R517" s="88"/>
      <c r="S517" s="9" t="str">
        <f t="shared" si="65"/>
        <v/>
      </c>
    </row>
    <row r="518" spans="1:19" x14ac:dyDescent="0.3">
      <c r="A518" s="10">
        <v>514</v>
      </c>
      <c r="B518" s="92" t="s">
        <v>312</v>
      </c>
      <c r="C518" s="87" t="s">
        <v>1959</v>
      </c>
      <c r="D518" s="89" t="s">
        <v>1960</v>
      </c>
      <c r="E518" s="90">
        <v>28831</v>
      </c>
      <c r="F518" s="9">
        <f t="shared" ca="1" si="57"/>
        <v>47</v>
      </c>
      <c r="G518" s="91">
        <v>43703</v>
      </c>
      <c r="H518" s="89" t="s">
        <v>8</v>
      </c>
      <c r="I518" s="91">
        <v>44752</v>
      </c>
      <c r="J518" s="578" t="s">
        <v>275</v>
      </c>
      <c r="K518" s="4" t="str">
        <f t="shared" si="66"/>
        <v>I</v>
      </c>
      <c r="L518" s="7" t="str">
        <f t="shared" si="67"/>
        <v>G8</v>
      </c>
      <c r="M518" s="7" t="str">
        <f t="shared" si="68"/>
        <v/>
      </c>
      <c r="N518" s="62" t="str">
        <f t="shared" si="69"/>
        <v/>
      </c>
      <c r="O518" s="8">
        <f t="shared" si="64"/>
        <v>45848</v>
      </c>
      <c r="P518" s="9" t="str">
        <f t="shared" ca="1" si="62"/>
        <v>ATRASADO</v>
      </c>
      <c r="Q518" s="89" t="s">
        <v>1556</v>
      </c>
      <c r="R518" s="88"/>
      <c r="S518" s="9" t="str">
        <f t="shared" si="65"/>
        <v/>
      </c>
    </row>
    <row r="519" spans="1:19" x14ac:dyDescent="0.3">
      <c r="A519" s="10">
        <v>515</v>
      </c>
      <c r="B519" s="92" t="s">
        <v>312</v>
      </c>
      <c r="C519" s="87" t="s">
        <v>1961</v>
      </c>
      <c r="D519" s="89" t="s">
        <v>1962</v>
      </c>
      <c r="E519" s="90">
        <v>33922</v>
      </c>
      <c r="F519" s="9">
        <f t="shared" ca="1" si="57"/>
        <v>33</v>
      </c>
      <c r="G519" s="91">
        <v>43071</v>
      </c>
      <c r="H519" s="89" t="s">
        <v>271</v>
      </c>
      <c r="I519" s="91">
        <v>44753</v>
      </c>
      <c r="J519" s="578" t="s">
        <v>271</v>
      </c>
      <c r="K519" s="4" t="str">
        <f t="shared" si="66"/>
        <v>I</v>
      </c>
      <c r="L519" s="7" t="str">
        <f t="shared" si="67"/>
        <v>G8</v>
      </c>
      <c r="M519" s="7" t="str">
        <f t="shared" si="68"/>
        <v>J1</v>
      </c>
      <c r="N519" s="62" t="str">
        <f t="shared" si="69"/>
        <v/>
      </c>
      <c r="O519" s="8">
        <f t="shared" si="64"/>
        <v>45849</v>
      </c>
      <c r="P519" s="9" t="str">
        <f t="shared" ca="1" si="62"/>
        <v>ATRASADO</v>
      </c>
      <c r="Q519" s="89" t="s">
        <v>1556</v>
      </c>
      <c r="R519" s="88"/>
      <c r="S519" s="9" t="str">
        <f t="shared" si="65"/>
        <v/>
      </c>
    </row>
    <row r="520" spans="1:19" x14ac:dyDescent="0.3">
      <c r="A520" s="10">
        <v>516</v>
      </c>
      <c r="B520" s="92" t="s">
        <v>312</v>
      </c>
      <c r="C520" s="98" t="s">
        <v>1963</v>
      </c>
      <c r="D520" s="89" t="s">
        <v>1964</v>
      </c>
      <c r="E520" s="90">
        <v>30120</v>
      </c>
      <c r="F520" s="9">
        <f t="shared" ca="1" si="57"/>
        <v>44</v>
      </c>
      <c r="G520" s="91">
        <v>44252</v>
      </c>
      <c r="H520" s="89" t="s">
        <v>327</v>
      </c>
      <c r="I520" s="91">
        <v>44750</v>
      </c>
      <c r="J520" s="578" t="s">
        <v>8</v>
      </c>
      <c r="K520" s="4" t="str">
        <f t="shared" si="66"/>
        <v>SI</v>
      </c>
      <c r="L520" s="7" t="str">
        <f t="shared" si="67"/>
        <v xml:space="preserve">N </v>
      </c>
      <c r="M520" s="7" t="str">
        <f t="shared" si="68"/>
        <v>RE</v>
      </c>
      <c r="N520" s="62" t="str">
        <f t="shared" si="69"/>
        <v>GI</v>
      </c>
      <c r="O520" s="8">
        <f t="shared" si="64"/>
        <v>45846</v>
      </c>
      <c r="P520" s="9" t="str">
        <f t="shared" ca="1" si="62"/>
        <v>ATRASADO</v>
      </c>
      <c r="Q520" s="89" t="s">
        <v>1556</v>
      </c>
      <c r="R520" s="88"/>
      <c r="S520" s="9" t="str">
        <f t="shared" si="65"/>
        <v/>
      </c>
    </row>
    <row r="521" spans="1:19" x14ac:dyDescent="0.3">
      <c r="A521" s="10">
        <v>517</v>
      </c>
      <c r="B521" s="92" t="s">
        <v>312</v>
      </c>
      <c r="C521" s="87" t="s">
        <v>1965</v>
      </c>
      <c r="D521" s="89" t="s">
        <v>1966</v>
      </c>
      <c r="E521" s="90">
        <v>32843</v>
      </c>
      <c r="F521" s="9">
        <f t="shared" ca="1" si="57"/>
        <v>36</v>
      </c>
      <c r="G521" s="91">
        <v>44147</v>
      </c>
      <c r="H521" s="89" t="s">
        <v>275</v>
      </c>
      <c r="I521" s="91">
        <v>44755</v>
      </c>
      <c r="J521" s="582" t="s">
        <v>8</v>
      </c>
      <c r="K521" s="4" t="str">
        <f t="shared" si="66"/>
        <v>SI</v>
      </c>
      <c r="L521" s="7" t="str">
        <f t="shared" si="67"/>
        <v xml:space="preserve">N </v>
      </c>
      <c r="M521" s="7" t="str">
        <f t="shared" si="68"/>
        <v>RE</v>
      </c>
      <c r="N521" s="62" t="str">
        <f t="shared" si="69"/>
        <v>GI</v>
      </c>
      <c r="O521" s="8">
        <f t="shared" si="64"/>
        <v>45851</v>
      </c>
      <c r="P521" s="9" t="str">
        <f t="shared" ca="1" si="62"/>
        <v>ATRASADO</v>
      </c>
      <c r="Q521" s="89" t="s">
        <v>1556</v>
      </c>
      <c r="R521" s="88"/>
      <c r="S521" s="9" t="str">
        <f t="shared" si="65"/>
        <v/>
      </c>
    </row>
    <row r="522" spans="1:19" x14ac:dyDescent="0.3">
      <c r="A522" s="10">
        <v>518</v>
      </c>
      <c r="B522" s="97" t="s">
        <v>312</v>
      </c>
      <c r="C522" s="94" t="s">
        <v>1967</v>
      </c>
      <c r="D522" s="99" t="s">
        <v>1968</v>
      </c>
      <c r="E522" s="95">
        <v>31477</v>
      </c>
      <c r="F522" s="9">
        <f t="shared" ca="1" si="57"/>
        <v>40</v>
      </c>
      <c r="G522" s="96">
        <v>44233</v>
      </c>
      <c r="H522" s="99" t="s">
        <v>275</v>
      </c>
      <c r="I522" s="96">
        <v>44751</v>
      </c>
      <c r="J522" s="579" t="s">
        <v>275</v>
      </c>
      <c r="K522" s="4" t="str">
        <f t="shared" si="66"/>
        <v>I</v>
      </c>
      <c r="L522" s="7" t="str">
        <f t="shared" si="67"/>
        <v>G8</v>
      </c>
      <c r="M522" s="7" t="str">
        <f t="shared" si="68"/>
        <v/>
      </c>
      <c r="N522" s="62" t="str">
        <f t="shared" si="69"/>
        <v/>
      </c>
      <c r="O522" s="8">
        <f t="shared" si="64"/>
        <v>45847</v>
      </c>
      <c r="P522" s="9" t="str">
        <f t="shared" ca="1" si="62"/>
        <v>ATRASADO</v>
      </c>
      <c r="Q522" s="99" t="s">
        <v>1556</v>
      </c>
      <c r="R522" s="93"/>
      <c r="S522" s="9" t="str">
        <f t="shared" si="65"/>
        <v/>
      </c>
    </row>
    <row r="523" spans="1:19" x14ac:dyDescent="0.3">
      <c r="A523" s="10">
        <v>519</v>
      </c>
      <c r="B523" s="97" t="s">
        <v>312</v>
      </c>
      <c r="C523" s="94" t="s">
        <v>1969</v>
      </c>
      <c r="D523" s="99" t="s">
        <v>1970</v>
      </c>
      <c r="E523" s="95">
        <v>21178</v>
      </c>
      <c r="F523" s="9">
        <f t="shared" ca="1" si="57"/>
        <v>68</v>
      </c>
      <c r="G523" s="96">
        <v>43004</v>
      </c>
      <c r="H523" s="99" t="s">
        <v>271</v>
      </c>
      <c r="I523" s="96">
        <v>44753</v>
      </c>
      <c r="J523" s="579" t="s">
        <v>275</v>
      </c>
      <c r="K523" s="4" t="str">
        <f t="shared" si="66"/>
        <v>I</v>
      </c>
      <c r="L523" s="7" t="str">
        <f t="shared" si="67"/>
        <v>G8</v>
      </c>
      <c r="M523" s="7" t="str">
        <f t="shared" si="68"/>
        <v/>
      </c>
      <c r="N523" s="62" t="str">
        <f t="shared" si="69"/>
        <v/>
      </c>
      <c r="O523" s="8">
        <f t="shared" si="64"/>
        <v>45849</v>
      </c>
      <c r="P523" s="9" t="str">
        <f t="shared" ca="1" si="62"/>
        <v>ATRASADO</v>
      </c>
      <c r="Q523" s="99" t="s">
        <v>1556</v>
      </c>
      <c r="R523" s="93"/>
      <c r="S523" s="9" t="str">
        <f t="shared" si="65"/>
        <v/>
      </c>
    </row>
    <row r="524" spans="1:19" x14ac:dyDescent="0.3">
      <c r="A524" s="10">
        <v>520</v>
      </c>
      <c r="B524" s="97" t="s">
        <v>312</v>
      </c>
      <c r="C524" s="94" t="s">
        <v>1971</v>
      </c>
      <c r="D524" s="99" t="s">
        <v>1972</v>
      </c>
      <c r="E524" s="95">
        <v>21916</v>
      </c>
      <c r="F524" s="9">
        <f t="shared" ca="1" si="57"/>
        <v>66</v>
      </c>
      <c r="G524" s="96">
        <v>43628</v>
      </c>
      <c r="H524" s="99" t="s">
        <v>275</v>
      </c>
      <c r="I524" s="96">
        <v>44770</v>
      </c>
      <c r="J524" s="579" t="s">
        <v>275</v>
      </c>
      <c r="K524" s="4" t="str">
        <f t="shared" si="66"/>
        <v>I</v>
      </c>
      <c r="L524" s="7" t="str">
        <f t="shared" si="67"/>
        <v>G8</v>
      </c>
      <c r="M524" s="7" t="str">
        <f t="shared" si="68"/>
        <v/>
      </c>
      <c r="N524" s="62" t="str">
        <f t="shared" si="69"/>
        <v/>
      </c>
      <c r="O524" s="8">
        <f t="shared" si="64"/>
        <v>45866</v>
      </c>
      <c r="P524" s="9" t="str">
        <f t="shared" ca="1" si="62"/>
        <v>ATRASADO</v>
      </c>
      <c r="Q524" s="99" t="s">
        <v>1556</v>
      </c>
      <c r="R524" s="93"/>
      <c r="S524" s="9" t="str">
        <f t="shared" si="65"/>
        <v/>
      </c>
    </row>
    <row r="525" spans="1:19" x14ac:dyDescent="0.3">
      <c r="A525" s="10">
        <v>521</v>
      </c>
      <c r="B525" s="97" t="s">
        <v>312</v>
      </c>
      <c r="C525" s="94" t="s">
        <v>1973</v>
      </c>
      <c r="D525" s="99" t="s">
        <v>1974</v>
      </c>
      <c r="E525" s="95">
        <v>28240</v>
      </c>
      <c r="F525" s="9">
        <f t="shared" ca="1" si="57"/>
        <v>49</v>
      </c>
      <c r="G525" s="96">
        <v>43839</v>
      </c>
      <c r="H525" s="99" t="s">
        <v>271</v>
      </c>
      <c r="I525" s="96">
        <v>44760</v>
      </c>
      <c r="J525" s="579" t="s">
        <v>3363</v>
      </c>
      <c r="K525" s="4" t="str">
        <f t="shared" si="66"/>
        <v>G2</v>
      </c>
      <c r="L525" s="7" t="str">
        <f t="shared" si="67"/>
        <v>G3</v>
      </c>
      <c r="M525" s="7" t="str">
        <f t="shared" si="68"/>
        <v>O5</v>
      </c>
      <c r="N525" s="62" t="str">
        <f t="shared" si="69"/>
        <v/>
      </c>
      <c r="O525" s="8">
        <f t="shared" si="64"/>
        <v>44852</v>
      </c>
      <c r="P525" s="9" t="str">
        <f t="shared" ca="1" si="62"/>
        <v>ATRASADO</v>
      </c>
      <c r="Q525" s="99" t="s">
        <v>1556</v>
      </c>
      <c r="R525" s="93"/>
      <c r="S525" s="9" t="str">
        <f t="shared" si="65"/>
        <v/>
      </c>
    </row>
    <row r="526" spans="1:19" x14ac:dyDescent="0.3">
      <c r="A526" s="10">
        <v>522</v>
      </c>
      <c r="B526" s="97" t="s">
        <v>312</v>
      </c>
      <c r="C526" s="94" t="s">
        <v>1975</v>
      </c>
      <c r="D526" s="99" t="s">
        <v>1976</v>
      </c>
      <c r="E526" s="95">
        <v>34831</v>
      </c>
      <c r="F526" s="9">
        <f t="shared" ca="1" si="57"/>
        <v>31</v>
      </c>
      <c r="G526" s="96">
        <v>43089</v>
      </c>
      <c r="H526" s="99" t="s">
        <v>271</v>
      </c>
      <c r="I526" s="96">
        <v>44745</v>
      </c>
      <c r="J526" s="579" t="s">
        <v>320</v>
      </c>
      <c r="K526" s="4" t="str">
        <f t="shared" si="66"/>
        <v>I</v>
      </c>
      <c r="L526" s="7" t="str">
        <f t="shared" si="67"/>
        <v>G8</v>
      </c>
      <c r="M526" s="7" t="str">
        <f t="shared" si="68"/>
        <v>J1</v>
      </c>
      <c r="N526" s="62" t="str">
        <f t="shared" si="69"/>
        <v>S</v>
      </c>
      <c r="O526" s="8">
        <f t="shared" si="64"/>
        <v>45110</v>
      </c>
      <c r="P526" s="9" t="str">
        <f t="shared" ca="1" si="62"/>
        <v>ATRASADO</v>
      </c>
      <c r="Q526" s="99" t="s">
        <v>1556</v>
      </c>
      <c r="R526" s="93"/>
      <c r="S526" s="9" t="str">
        <f t="shared" si="65"/>
        <v/>
      </c>
    </row>
    <row r="527" spans="1:19" x14ac:dyDescent="0.3">
      <c r="A527" s="10">
        <v>523</v>
      </c>
      <c r="B527" s="97" t="s">
        <v>579</v>
      </c>
      <c r="C527" s="94" t="s">
        <v>1977</v>
      </c>
      <c r="D527" s="99" t="s">
        <v>1978</v>
      </c>
      <c r="E527" s="95">
        <v>28772</v>
      </c>
      <c r="F527" s="9">
        <f t="shared" ca="1" si="57"/>
        <v>47</v>
      </c>
      <c r="G527" s="96">
        <v>43558</v>
      </c>
      <c r="H527" s="99" t="s">
        <v>275</v>
      </c>
      <c r="I527" s="96">
        <v>44743</v>
      </c>
      <c r="J527" s="579" t="s">
        <v>8</v>
      </c>
      <c r="K527" s="4" t="str">
        <f t="shared" si="66"/>
        <v>SI</v>
      </c>
      <c r="L527" s="7" t="str">
        <f t="shared" si="67"/>
        <v xml:space="preserve">N </v>
      </c>
      <c r="M527" s="7" t="str">
        <f t="shared" si="68"/>
        <v>RE</v>
      </c>
      <c r="N527" s="62" t="str">
        <f t="shared" si="69"/>
        <v>GI</v>
      </c>
      <c r="O527" s="8">
        <f t="shared" si="64"/>
        <v>45839</v>
      </c>
      <c r="P527" s="9" t="str">
        <f t="shared" ca="1" si="62"/>
        <v>ATRASADO</v>
      </c>
      <c r="Q527" s="99" t="s">
        <v>1556</v>
      </c>
      <c r="R527" s="93"/>
      <c r="S527" s="9" t="str">
        <f t="shared" si="65"/>
        <v/>
      </c>
    </row>
    <row r="528" spans="1:19" x14ac:dyDescent="0.3">
      <c r="A528" s="10">
        <v>524</v>
      </c>
      <c r="B528" s="97" t="s">
        <v>312</v>
      </c>
      <c r="C528" s="94" t="s">
        <v>1979</v>
      </c>
      <c r="D528" s="99" t="s">
        <v>1980</v>
      </c>
      <c r="E528" s="95">
        <v>24640</v>
      </c>
      <c r="F528" s="9">
        <f t="shared" ca="1" si="57"/>
        <v>59</v>
      </c>
      <c r="G528" s="96">
        <v>43285</v>
      </c>
      <c r="H528" s="99" t="s">
        <v>275</v>
      </c>
      <c r="I528" s="96">
        <v>44745</v>
      </c>
      <c r="J528" s="579" t="s">
        <v>1274</v>
      </c>
      <c r="K528" s="4" t="str">
        <f t="shared" si="66"/>
        <v>G3</v>
      </c>
      <c r="L528" s="7" t="str">
        <f t="shared" si="67"/>
        <v>05</v>
      </c>
      <c r="M528" s="7" t="str">
        <f t="shared" si="68"/>
        <v/>
      </c>
      <c r="N528" s="62" t="str">
        <f t="shared" si="69"/>
        <v/>
      </c>
      <c r="O528" s="8">
        <f t="shared" si="64"/>
        <v>45841</v>
      </c>
      <c r="P528" s="9" t="str">
        <f t="shared" ca="1" si="62"/>
        <v>ATRASADO</v>
      </c>
      <c r="Q528" s="99" t="s">
        <v>1556</v>
      </c>
      <c r="R528" s="93"/>
      <c r="S528" s="9" t="str">
        <f t="shared" si="65"/>
        <v/>
      </c>
    </row>
    <row r="529" spans="1:19" x14ac:dyDescent="0.3">
      <c r="A529" s="10">
        <v>525</v>
      </c>
      <c r="B529" s="97" t="s">
        <v>312</v>
      </c>
      <c r="C529" s="94" t="s">
        <v>1981</v>
      </c>
      <c r="D529" s="99" t="s">
        <v>1982</v>
      </c>
      <c r="E529" s="95">
        <v>32852</v>
      </c>
      <c r="F529" s="9">
        <f t="shared" ca="1" si="57"/>
        <v>36</v>
      </c>
      <c r="G529" s="96">
        <v>43467</v>
      </c>
      <c r="H529" s="99" t="s">
        <v>271</v>
      </c>
      <c r="I529" s="96">
        <v>44754</v>
      </c>
      <c r="J529" s="579" t="s">
        <v>275</v>
      </c>
      <c r="K529" s="4" t="str">
        <f t="shared" si="66"/>
        <v>I</v>
      </c>
      <c r="L529" s="7" t="str">
        <f t="shared" si="67"/>
        <v>G8</v>
      </c>
      <c r="M529" s="7" t="str">
        <f t="shared" si="68"/>
        <v/>
      </c>
      <c r="N529" s="62" t="str">
        <f t="shared" si="69"/>
        <v/>
      </c>
      <c r="O529" s="8">
        <f t="shared" si="64"/>
        <v>45850</v>
      </c>
      <c r="P529" s="9" t="str">
        <f t="shared" ca="1" si="62"/>
        <v>ATRASADO</v>
      </c>
      <c r="Q529" s="99" t="s">
        <v>1556</v>
      </c>
      <c r="R529" s="93"/>
      <c r="S529" s="9" t="str">
        <f t="shared" si="65"/>
        <v/>
      </c>
    </row>
    <row r="530" spans="1:19" x14ac:dyDescent="0.3">
      <c r="A530" s="10">
        <v>526</v>
      </c>
      <c r="B530" s="106" t="s">
        <v>312</v>
      </c>
      <c r="C530" s="101" t="s">
        <v>1983</v>
      </c>
      <c r="D530" s="103" t="s">
        <v>1984</v>
      </c>
      <c r="E530" s="104">
        <v>27919</v>
      </c>
      <c r="F530" s="9">
        <f t="shared" ca="1" si="57"/>
        <v>50</v>
      </c>
      <c r="G530" s="105">
        <v>43592</v>
      </c>
      <c r="H530" s="103" t="s">
        <v>8</v>
      </c>
      <c r="I530" s="105">
        <v>44743</v>
      </c>
      <c r="J530" s="578" t="s">
        <v>271</v>
      </c>
      <c r="K530" s="4" t="str">
        <f t="shared" si="66"/>
        <v>I</v>
      </c>
      <c r="L530" s="7" t="str">
        <f t="shared" si="67"/>
        <v>G8</v>
      </c>
      <c r="M530" s="7" t="str">
        <f t="shared" si="68"/>
        <v>J1</v>
      </c>
      <c r="N530" s="62" t="str">
        <f t="shared" si="69"/>
        <v/>
      </c>
      <c r="O530" s="8">
        <f t="shared" si="64"/>
        <v>45839</v>
      </c>
      <c r="P530" s="9" t="str">
        <f t="shared" ca="1" si="62"/>
        <v>ATRASADO</v>
      </c>
      <c r="Q530" s="103" t="s">
        <v>1556</v>
      </c>
      <c r="R530" s="102"/>
      <c r="S530" s="9" t="str">
        <f t="shared" si="65"/>
        <v/>
      </c>
    </row>
    <row r="531" spans="1:19" x14ac:dyDescent="0.3">
      <c r="A531" s="10">
        <v>527</v>
      </c>
      <c r="B531" s="112" t="s">
        <v>312</v>
      </c>
      <c r="C531" s="107" t="s">
        <v>1985</v>
      </c>
      <c r="D531" s="109" t="s">
        <v>1986</v>
      </c>
      <c r="E531" s="110">
        <v>34784</v>
      </c>
      <c r="F531" s="9">
        <f t="shared" ca="1" si="57"/>
        <v>31</v>
      </c>
      <c r="G531" s="111">
        <v>43192</v>
      </c>
      <c r="H531" s="109" t="s">
        <v>1060</v>
      </c>
      <c r="I531" s="111">
        <v>44757</v>
      </c>
      <c r="J531" s="578" t="s">
        <v>275</v>
      </c>
      <c r="K531" s="4" t="str">
        <f t="shared" si="66"/>
        <v>I</v>
      </c>
      <c r="L531" s="7" t="str">
        <f t="shared" si="67"/>
        <v>G8</v>
      </c>
      <c r="M531" s="7" t="str">
        <f t="shared" si="68"/>
        <v/>
      </c>
      <c r="N531" s="62" t="str">
        <f t="shared" si="69"/>
        <v/>
      </c>
      <c r="O531" s="8">
        <f t="shared" si="64"/>
        <v>45853</v>
      </c>
      <c r="P531" s="9" t="str">
        <f t="shared" ca="1" si="62"/>
        <v>ATRASADO</v>
      </c>
      <c r="Q531" s="109" t="s">
        <v>1556</v>
      </c>
      <c r="R531" s="108"/>
      <c r="S531" s="9" t="str">
        <f t="shared" si="65"/>
        <v/>
      </c>
    </row>
    <row r="532" spans="1:19" x14ac:dyDescent="0.3">
      <c r="A532" s="10">
        <v>528</v>
      </c>
      <c r="B532" s="112" t="s">
        <v>312</v>
      </c>
      <c r="C532" s="107" t="s">
        <v>1987</v>
      </c>
      <c r="D532" s="109" t="s">
        <v>1988</v>
      </c>
      <c r="E532" s="110">
        <v>30292</v>
      </c>
      <c r="F532" s="9">
        <f t="shared" ca="1" si="57"/>
        <v>43</v>
      </c>
      <c r="G532" s="111">
        <v>44058</v>
      </c>
      <c r="H532" s="109" t="s">
        <v>8</v>
      </c>
      <c r="I532" s="111">
        <v>44769</v>
      </c>
      <c r="J532" s="578" t="s">
        <v>320</v>
      </c>
      <c r="K532" s="4" t="str">
        <f t="shared" si="66"/>
        <v>I</v>
      </c>
      <c r="L532" s="7" t="str">
        <f t="shared" si="67"/>
        <v>G8</v>
      </c>
      <c r="M532" s="7" t="str">
        <f t="shared" si="68"/>
        <v>J1</v>
      </c>
      <c r="N532" s="62" t="str">
        <f t="shared" si="69"/>
        <v>S</v>
      </c>
      <c r="O532" s="8">
        <f t="shared" si="64"/>
        <v>45134</v>
      </c>
      <c r="P532" s="9" t="str">
        <f t="shared" ca="1" si="62"/>
        <v>ATRASADO</v>
      </c>
      <c r="Q532" s="109" t="s">
        <v>1556</v>
      </c>
      <c r="R532" s="108"/>
      <c r="S532" s="9" t="str">
        <f t="shared" si="65"/>
        <v/>
      </c>
    </row>
    <row r="533" spans="1:19" x14ac:dyDescent="0.3">
      <c r="A533" s="10">
        <v>529</v>
      </c>
      <c r="B533" s="112" t="s">
        <v>270</v>
      </c>
      <c r="C533" s="113" t="s">
        <v>1989</v>
      </c>
      <c r="D533" s="109" t="s">
        <v>1990</v>
      </c>
      <c r="E533" s="110">
        <v>33778</v>
      </c>
      <c r="F533" s="9">
        <f t="shared" ca="1" si="57"/>
        <v>34</v>
      </c>
      <c r="G533" s="111">
        <v>44072</v>
      </c>
      <c r="H533" s="109" t="s">
        <v>271</v>
      </c>
      <c r="I533" s="111">
        <v>44743</v>
      </c>
      <c r="J533" s="578" t="s">
        <v>275</v>
      </c>
      <c r="K533" s="4" t="str">
        <f t="shared" si="66"/>
        <v>I</v>
      </c>
      <c r="L533" s="7" t="str">
        <f t="shared" si="67"/>
        <v>G8</v>
      </c>
      <c r="M533" s="7" t="str">
        <f t="shared" si="68"/>
        <v/>
      </c>
      <c r="N533" s="62" t="str">
        <f t="shared" si="69"/>
        <v/>
      </c>
      <c r="O533" s="8">
        <f t="shared" si="64"/>
        <v>45839</v>
      </c>
      <c r="P533" s="9" t="str">
        <f t="shared" ca="1" si="62"/>
        <v>ATRASADO</v>
      </c>
      <c r="Q533" s="109" t="s">
        <v>1556</v>
      </c>
      <c r="R533" s="108"/>
      <c r="S533" s="9" t="str">
        <f t="shared" si="65"/>
        <v/>
      </c>
    </row>
    <row r="534" spans="1:19" x14ac:dyDescent="0.3">
      <c r="A534" s="10">
        <v>530</v>
      </c>
      <c r="B534" s="112" t="s">
        <v>312</v>
      </c>
      <c r="C534" s="113" t="s">
        <v>1991</v>
      </c>
      <c r="D534" s="109" t="s">
        <v>1992</v>
      </c>
      <c r="E534" s="110">
        <v>23752</v>
      </c>
      <c r="F534" s="9">
        <f t="shared" ca="1" si="57"/>
        <v>61</v>
      </c>
      <c r="G534" s="109" t="s">
        <v>8</v>
      </c>
      <c r="H534" s="109" t="s">
        <v>271</v>
      </c>
      <c r="I534" s="111">
        <v>44753</v>
      </c>
      <c r="J534" s="578" t="s">
        <v>275</v>
      </c>
      <c r="K534" s="4" t="str">
        <f t="shared" si="66"/>
        <v>I</v>
      </c>
      <c r="L534" s="7" t="str">
        <f t="shared" si="67"/>
        <v>G8</v>
      </c>
      <c r="M534" s="7" t="str">
        <f t="shared" si="68"/>
        <v/>
      </c>
      <c r="N534" s="62" t="str">
        <f t="shared" si="69"/>
        <v/>
      </c>
      <c r="O534" s="8">
        <f t="shared" si="64"/>
        <v>45849</v>
      </c>
      <c r="P534" s="9" t="str">
        <f t="shared" ca="1" si="62"/>
        <v>ATRASADO</v>
      </c>
      <c r="Q534" s="109" t="s">
        <v>1556</v>
      </c>
      <c r="R534" s="108"/>
      <c r="S534" s="9" t="str">
        <f t="shared" si="65"/>
        <v/>
      </c>
    </row>
    <row r="535" spans="1:19" x14ac:dyDescent="0.3">
      <c r="A535" s="10">
        <v>531</v>
      </c>
      <c r="B535" s="112" t="s">
        <v>312</v>
      </c>
      <c r="C535" s="113" t="s">
        <v>1993</v>
      </c>
      <c r="D535" s="109" t="s">
        <v>1994</v>
      </c>
      <c r="E535" s="110">
        <v>26788</v>
      </c>
      <c r="F535" s="9">
        <f t="shared" ca="1" si="57"/>
        <v>53</v>
      </c>
      <c r="G535" s="109" t="s">
        <v>8</v>
      </c>
      <c r="H535" s="109" t="s">
        <v>275</v>
      </c>
      <c r="I535" s="111">
        <v>44753</v>
      </c>
      <c r="J535" s="578" t="s">
        <v>271</v>
      </c>
      <c r="K535" s="4" t="str">
        <f t="shared" si="66"/>
        <v>I</v>
      </c>
      <c r="L535" s="7" t="str">
        <f t="shared" si="67"/>
        <v>G8</v>
      </c>
      <c r="M535" s="7" t="str">
        <f t="shared" si="68"/>
        <v>J1</v>
      </c>
      <c r="N535" s="62" t="str">
        <f t="shared" si="69"/>
        <v/>
      </c>
      <c r="O535" s="8">
        <f t="shared" si="64"/>
        <v>45849</v>
      </c>
      <c r="P535" s="9" t="str">
        <f t="shared" ca="1" si="62"/>
        <v>ATRASADO</v>
      </c>
      <c r="Q535" s="109" t="s">
        <v>1556</v>
      </c>
      <c r="R535" s="108"/>
      <c r="S535" s="9" t="str">
        <f t="shared" si="65"/>
        <v/>
      </c>
    </row>
    <row r="536" spans="1:19" x14ac:dyDescent="0.3">
      <c r="A536" s="10">
        <v>532</v>
      </c>
      <c r="B536" s="112" t="s">
        <v>312</v>
      </c>
      <c r="C536" s="107" t="s">
        <v>1995</v>
      </c>
      <c r="D536" s="109" t="s">
        <v>1996</v>
      </c>
      <c r="E536" s="110">
        <v>34087</v>
      </c>
      <c r="F536" s="9">
        <f t="shared" ca="1" si="57"/>
        <v>33</v>
      </c>
      <c r="G536" s="111">
        <v>43061</v>
      </c>
      <c r="H536" s="109" t="s">
        <v>275</v>
      </c>
      <c r="I536" s="111">
        <v>44767</v>
      </c>
      <c r="J536" s="578" t="s">
        <v>271</v>
      </c>
      <c r="K536" s="4" t="str">
        <f t="shared" si="66"/>
        <v>I</v>
      </c>
      <c r="L536" s="7" t="str">
        <f t="shared" si="67"/>
        <v>G8</v>
      </c>
      <c r="M536" s="7" t="str">
        <f t="shared" si="68"/>
        <v>J1</v>
      </c>
      <c r="N536" s="62" t="str">
        <f t="shared" si="69"/>
        <v/>
      </c>
      <c r="O536" s="8">
        <f t="shared" si="64"/>
        <v>45863</v>
      </c>
      <c r="P536" s="9" t="str">
        <f t="shared" ca="1" si="62"/>
        <v>ATRASADO</v>
      </c>
      <c r="Q536" s="109" t="s">
        <v>1556</v>
      </c>
      <c r="R536" s="108"/>
      <c r="S536" s="9" t="str">
        <f t="shared" si="65"/>
        <v/>
      </c>
    </row>
    <row r="537" spans="1:19" x14ac:dyDescent="0.3">
      <c r="A537" s="10">
        <v>533</v>
      </c>
      <c r="B537" s="126" t="s">
        <v>312</v>
      </c>
      <c r="C537" s="121" t="s">
        <v>1997</v>
      </c>
      <c r="D537" s="123" t="s">
        <v>1998</v>
      </c>
      <c r="E537" s="124">
        <v>33608</v>
      </c>
      <c r="F537" s="9">
        <f t="shared" ca="1" si="57"/>
        <v>34</v>
      </c>
      <c r="G537" s="125">
        <v>43155</v>
      </c>
      <c r="H537" s="123" t="s">
        <v>275</v>
      </c>
      <c r="I537" s="125">
        <v>44747</v>
      </c>
      <c r="J537" s="578" t="s">
        <v>271</v>
      </c>
      <c r="K537" s="4" t="str">
        <f t="shared" si="66"/>
        <v>I</v>
      </c>
      <c r="L537" s="7" t="str">
        <f t="shared" si="67"/>
        <v>G8</v>
      </c>
      <c r="M537" s="7" t="str">
        <f t="shared" si="68"/>
        <v>J1</v>
      </c>
      <c r="N537" s="62" t="str">
        <f t="shared" si="69"/>
        <v/>
      </c>
      <c r="O537" s="8">
        <f t="shared" si="64"/>
        <v>45843</v>
      </c>
      <c r="P537" s="9" t="str">
        <f t="shared" ca="1" si="62"/>
        <v>ATRASADO</v>
      </c>
      <c r="Q537" s="123" t="s">
        <v>1556</v>
      </c>
      <c r="R537" s="122"/>
      <c r="S537" s="9" t="str">
        <f t="shared" si="65"/>
        <v/>
      </c>
    </row>
    <row r="538" spans="1:19" x14ac:dyDescent="0.3">
      <c r="A538" s="10">
        <v>534</v>
      </c>
      <c r="B538" s="126" t="s">
        <v>312</v>
      </c>
      <c r="C538" s="121" t="s">
        <v>1999</v>
      </c>
      <c r="D538" s="123" t="s">
        <v>2000</v>
      </c>
      <c r="E538" s="124">
        <v>23708</v>
      </c>
      <c r="F538" s="9">
        <f t="shared" ca="1" si="57"/>
        <v>61</v>
      </c>
      <c r="G538" s="125">
        <v>44129</v>
      </c>
      <c r="H538" s="123" t="s">
        <v>8</v>
      </c>
      <c r="I538" s="125">
        <v>44773</v>
      </c>
      <c r="J538" s="578" t="s">
        <v>8</v>
      </c>
      <c r="K538" s="4" t="str">
        <f t="shared" si="66"/>
        <v>SI</v>
      </c>
      <c r="L538" s="7" t="str">
        <f t="shared" si="67"/>
        <v xml:space="preserve">N </v>
      </c>
      <c r="M538" s="7" t="str">
        <f t="shared" si="68"/>
        <v>RE</v>
      </c>
      <c r="N538" s="62" t="str">
        <f t="shared" si="69"/>
        <v>GI</v>
      </c>
      <c r="O538" s="8">
        <f t="shared" si="64"/>
        <v>45869</v>
      </c>
      <c r="P538" s="9" t="str">
        <f t="shared" ca="1" si="62"/>
        <v>ATRASADO</v>
      </c>
      <c r="Q538" s="123" t="s">
        <v>1556</v>
      </c>
      <c r="R538" s="122"/>
      <c r="S538" s="9" t="str">
        <f t="shared" si="65"/>
        <v/>
      </c>
    </row>
    <row r="539" spans="1:19" x14ac:dyDescent="0.3">
      <c r="A539" s="10">
        <v>535</v>
      </c>
      <c r="B539" s="126" t="s">
        <v>312</v>
      </c>
      <c r="C539" s="121" t="s">
        <v>2001</v>
      </c>
      <c r="D539" s="123" t="s">
        <v>2002</v>
      </c>
      <c r="E539" s="124">
        <v>23269</v>
      </c>
      <c r="F539" s="9">
        <f t="shared" ca="1" si="57"/>
        <v>63</v>
      </c>
      <c r="G539" s="125">
        <v>43384</v>
      </c>
      <c r="H539" s="123" t="s">
        <v>271</v>
      </c>
      <c r="I539" s="125">
        <v>44750</v>
      </c>
      <c r="J539" s="578" t="s">
        <v>275</v>
      </c>
      <c r="K539" s="4" t="str">
        <f t="shared" si="66"/>
        <v>I</v>
      </c>
      <c r="L539" s="7" t="str">
        <f t="shared" si="67"/>
        <v>G8</v>
      </c>
      <c r="M539" s="7" t="str">
        <f t="shared" si="68"/>
        <v/>
      </c>
      <c r="N539" s="62" t="str">
        <f t="shared" si="69"/>
        <v/>
      </c>
      <c r="O539" s="8">
        <f t="shared" si="64"/>
        <v>45846</v>
      </c>
      <c r="P539" s="9" t="str">
        <f t="shared" ca="1" si="62"/>
        <v>ATRASADO</v>
      </c>
      <c r="Q539" s="123" t="s">
        <v>1556</v>
      </c>
      <c r="R539" s="122" t="s">
        <v>2003</v>
      </c>
      <c r="S539" s="9" t="str">
        <f t="shared" si="65"/>
        <v/>
      </c>
    </row>
    <row r="540" spans="1:19" x14ac:dyDescent="0.3">
      <c r="A540" s="10">
        <v>536</v>
      </c>
      <c r="B540" s="126" t="s">
        <v>312</v>
      </c>
      <c r="C540" s="121" t="s">
        <v>2004</v>
      </c>
      <c r="D540" s="123" t="s">
        <v>2005</v>
      </c>
      <c r="E540" s="124">
        <v>21537</v>
      </c>
      <c r="F540" s="9">
        <f t="shared" ca="1" si="57"/>
        <v>67</v>
      </c>
      <c r="G540" s="125">
        <v>44305</v>
      </c>
      <c r="H540" s="123" t="s">
        <v>8</v>
      </c>
      <c r="I540" s="125">
        <v>44749</v>
      </c>
      <c r="J540" s="578" t="s">
        <v>275</v>
      </c>
      <c r="K540" s="4" t="str">
        <f t="shared" si="66"/>
        <v>I</v>
      </c>
      <c r="L540" s="7" t="str">
        <f t="shared" si="67"/>
        <v>G8</v>
      </c>
      <c r="M540" s="7" t="str">
        <f t="shared" si="68"/>
        <v/>
      </c>
      <c r="N540" s="62" t="str">
        <f t="shared" si="69"/>
        <v/>
      </c>
      <c r="O540" s="8">
        <f t="shared" si="64"/>
        <v>45845</v>
      </c>
      <c r="P540" s="9" t="str">
        <f t="shared" ca="1" si="62"/>
        <v>ATRASADO</v>
      </c>
      <c r="Q540" s="123" t="s">
        <v>1556</v>
      </c>
      <c r="R540" s="122"/>
      <c r="S540" s="9" t="str">
        <f t="shared" si="65"/>
        <v/>
      </c>
    </row>
    <row r="541" spans="1:19" x14ac:dyDescent="0.3">
      <c r="A541" s="10">
        <v>537</v>
      </c>
      <c r="B541" s="132" t="s">
        <v>312</v>
      </c>
      <c r="C541" s="127" t="s">
        <v>2006</v>
      </c>
      <c r="D541" s="129" t="s">
        <v>2007</v>
      </c>
      <c r="E541" s="130">
        <v>34076</v>
      </c>
      <c r="F541" s="9">
        <f t="shared" ca="1" si="57"/>
        <v>33</v>
      </c>
      <c r="G541" s="131">
        <v>43707</v>
      </c>
      <c r="H541" s="129" t="s">
        <v>271</v>
      </c>
      <c r="I541" s="131">
        <v>44765</v>
      </c>
      <c r="J541" s="578" t="s">
        <v>275</v>
      </c>
      <c r="K541" s="4" t="str">
        <f t="shared" si="66"/>
        <v>I</v>
      </c>
      <c r="L541" s="7" t="str">
        <f t="shared" si="67"/>
        <v>G8</v>
      </c>
      <c r="M541" s="7" t="str">
        <f t="shared" si="68"/>
        <v/>
      </c>
      <c r="N541" s="62" t="str">
        <f t="shared" si="69"/>
        <v/>
      </c>
      <c r="O541" s="8">
        <f t="shared" si="64"/>
        <v>45861</v>
      </c>
      <c r="P541" s="9" t="str">
        <f t="shared" ca="1" si="62"/>
        <v>ATRASADO</v>
      </c>
      <c r="Q541" s="129" t="s">
        <v>1556</v>
      </c>
      <c r="R541" s="128"/>
      <c r="S541" s="9" t="str">
        <f t="shared" si="65"/>
        <v/>
      </c>
    </row>
    <row r="542" spans="1:19" x14ac:dyDescent="0.3">
      <c r="A542" s="10">
        <v>538</v>
      </c>
      <c r="B542" s="132" t="s">
        <v>312</v>
      </c>
      <c r="C542" s="127" t="s">
        <v>2008</v>
      </c>
      <c r="D542" s="129" t="s">
        <v>2009</v>
      </c>
      <c r="E542" s="130">
        <v>28303</v>
      </c>
      <c r="F542" s="9">
        <f t="shared" ca="1" si="57"/>
        <v>49</v>
      </c>
      <c r="G542" s="131">
        <v>44000</v>
      </c>
      <c r="H542" s="129" t="s">
        <v>275</v>
      </c>
      <c r="I542" s="131">
        <v>44753</v>
      </c>
      <c r="J542" s="578" t="s">
        <v>271</v>
      </c>
      <c r="K542" s="4" t="str">
        <f t="shared" si="66"/>
        <v>I</v>
      </c>
      <c r="L542" s="7" t="str">
        <f t="shared" si="67"/>
        <v>G8</v>
      </c>
      <c r="M542" s="7" t="str">
        <f t="shared" si="68"/>
        <v>J1</v>
      </c>
      <c r="N542" s="62" t="str">
        <f t="shared" si="69"/>
        <v/>
      </c>
      <c r="O542" s="8">
        <f t="shared" si="64"/>
        <v>45849</v>
      </c>
      <c r="P542" s="9" t="str">
        <f t="shared" ca="1" si="62"/>
        <v>ATRASADO</v>
      </c>
      <c r="Q542" s="129" t="s">
        <v>1556</v>
      </c>
      <c r="R542" s="128"/>
      <c r="S542" s="9" t="str">
        <f t="shared" si="65"/>
        <v/>
      </c>
    </row>
    <row r="543" spans="1:19" x14ac:dyDescent="0.3">
      <c r="A543" s="10">
        <v>539</v>
      </c>
      <c r="B543" s="132" t="s">
        <v>312</v>
      </c>
      <c r="C543" s="127" t="s">
        <v>2010</v>
      </c>
      <c r="D543" s="129" t="s">
        <v>2011</v>
      </c>
      <c r="E543" s="130">
        <v>32874</v>
      </c>
      <c r="F543" s="9">
        <f t="shared" ca="1" si="57"/>
        <v>36</v>
      </c>
      <c r="G543" s="129" t="s">
        <v>8</v>
      </c>
      <c r="H543" s="129" t="s">
        <v>271</v>
      </c>
      <c r="I543" s="131">
        <v>44750</v>
      </c>
      <c r="J543" s="578" t="s">
        <v>271</v>
      </c>
      <c r="K543" s="4" t="str">
        <f t="shared" si="66"/>
        <v>I</v>
      </c>
      <c r="L543" s="7" t="str">
        <f t="shared" si="67"/>
        <v>G8</v>
      </c>
      <c r="M543" s="7" t="str">
        <f t="shared" si="68"/>
        <v>J1</v>
      </c>
      <c r="N543" s="62" t="str">
        <f t="shared" si="69"/>
        <v/>
      </c>
      <c r="O543" s="8">
        <f t="shared" si="64"/>
        <v>45846</v>
      </c>
      <c r="P543" s="9" t="str">
        <f t="shared" ca="1" si="62"/>
        <v>ATRASADO</v>
      </c>
      <c r="Q543" s="129" t="s">
        <v>1556</v>
      </c>
      <c r="R543" s="128"/>
      <c r="S543" s="9" t="str">
        <f t="shared" si="65"/>
        <v/>
      </c>
    </row>
    <row r="544" spans="1:19" x14ac:dyDescent="0.3">
      <c r="A544" s="10">
        <v>540</v>
      </c>
      <c r="B544" s="132" t="s">
        <v>312</v>
      </c>
      <c r="C544" s="127" t="s">
        <v>2012</v>
      </c>
      <c r="D544" s="129" t="s">
        <v>2013</v>
      </c>
      <c r="E544" s="130">
        <v>27299</v>
      </c>
      <c r="F544" s="9">
        <f t="shared" ca="1" si="57"/>
        <v>52</v>
      </c>
      <c r="G544" s="131">
        <v>43626</v>
      </c>
      <c r="H544" s="129" t="s">
        <v>271</v>
      </c>
      <c r="I544" s="131">
        <v>44748</v>
      </c>
      <c r="J544" s="578" t="s">
        <v>271</v>
      </c>
      <c r="K544" s="4" t="str">
        <f t="shared" si="66"/>
        <v>I</v>
      </c>
      <c r="L544" s="7" t="str">
        <f t="shared" si="67"/>
        <v>G8</v>
      </c>
      <c r="M544" s="7" t="str">
        <f t="shared" si="68"/>
        <v>J1</v>
      </c>
      <c r="N544" s="62" t="str">
        <f t="shared" si="69"/>
        <v/>
      </c>
      <c r="O544" s="8">
        <f t="shared" si="64"/>
        <v>45844</v>
      </c>
      <c r="P544" s="9" t="str">
        <f t="shared" ca="1" si="62"/>
        <v>ATRASADO</v>
      </c>
      <c r="Q544" s="129" t="s">
        <v>1556</v>
      </c>
      <c r="R544" s="128"/>
      <c r="S544" s="9" t="str">
        <f t="shared" si="65"/>
        <v/>
      </c>
    </row>
    <row r="545" spans="1:19" x14ac:dyDescent="0.3">
      <c r="A545" s="10">
        <v>541</v>
      </c>
      <c r="B545" s="138" t="s">
        <v>579</v>
      </c>
      <c r="C545" s="133" t="s">
        <v>2014</v>
      </c>
      <c r="D545" s="135" t="s">
        <v>2015</v>
      </c>
      <c r="E545" s="136">
        <v>23693</v>
      </c>
      <c r="F545" s="9">
        <f t="shared" ca="1" si="57"/>
        <v>61</v>
      </c>
      <c r="G545" s="137">
        <v>43742</v>
      </c>
      <c r="H545" s="135" t="s">
        <v>275</v>
      </c>
      <c r="I545" s="137">
        <v>44769</v>
      </c>
      <c r="J545" s="578" t="s">
        <v>275</v>
      </c>
      <c r="K545" s="4" t="str">
        <f t="shared" si="66"/>
        <v>I</v>
      </c>
      <c r="L545" s="7" t="str">
        <f t="shared" si="67"/>
        <v>G8</v>
      </c>
      <c r="M545" s="7" t="str">
        <f t="shared" si="68"/>
        <v/>
      </c>
      <c r="N545" s="62" t="str">
        <f t="shared" si="69"/>
        <v/>
      </c>
      <c r="O545" s="8">
        <f t="shared" si="64"/>
        <v>45865</v>
      </c>
      <c r="P545" s="9" t="str">
        <f t="shared" ca="1" si="62"/>
        <v>ATRASADO</v>
      </c>
      <c r="Q545" s="135" t="s">
        <v>1556</v>
      </c>
      <c r="R545" s="134"/>
      <c r="S545" s="9" t="str">
        <f t="shared" si="65"/>
        <v/>
      </c>
    </row>
    <row r="546" spans="1:19" x14ac:dyDescent="0.3">
      <c r="A546" s="10">
        <v>542</v>
      </c>
      <c r="B546" s="138" t="s">
        <v>75</v>
      </c>
      <c r="C546" s="133" t="s">
        <v>2016</v>
      </c>
      <c r="D546" s="135" t="s">
        <v>2017</v>
      </c>
      <c r="E546" s="136">
        <v>26351</v>
      </c>
      <c r="F546" s="9">
        <f t="shared" ca="1" si="57"/>
        <v>54</v>
      </c>
      <c r="G546" s="137">
        <v>43428</v>
      </c>
      <c r="H546" s="135" t="s">
        <v>271</v>
      </c>
      <c r="I546" s="137">
        <v>44748</v>
      </c>
      <c r="J546" s="578" t="s">
        <v>275</v>
      </c>
      <c r="K546" s="4" t="str">
        <f t="shared" si="66"/>
        <v>I</v>
      </c>
      <c r="L546" s="7" t="str">
        <f t="shared" si="67"/>
        <v>G8</v>
      </c>
      <c r="M546" s="7" t="str">
        <f t="shared" si="68"/>
        <v/>
      </c>
      <c r="N546" s="62" t="str">
        <f t="shared" si="69"/>
        <v/>
      </c>
      <c r="O546" s="8">
        <f t="shared" si="64"/>
        <v>45844</v>
      </c>
      <c r="P546" s="9" t="str">
        <f t="shared" ca="1" si="62"/>
        <v>ATRASADO</v>
      </c>
      <c r="Q546" s="135" t="s">
        <v>1556</v>
      </c>
      <c r="R546" s="134"/>
      <c r="S546" s="9" t="str">
        <f t="shared" si="65"/>
        <v/>
      </c>
    </row>
    <row r="547" spans="1:19" x14ac:dyDescent="0.3">
      <c r="A547" s="10">
        <v>543</v>
      </c>
      <c r="B547" s="138" t="s">
        <v>312</v>
      </c>
      <c r="C547" s="133" t="s">
        <v>2018</v>
      </c>
      <c r="D547" s="135" t="s">
        <v>2019</v>
      </c>
      <c r="E547" s="136">
        <v>22235</v>
      </c>
      <c r="F547" s="9">
        <f t="shared" ca="1" si="57"/>
        <v>65</v>
      </c>
      <c r="G547" s="137">
        <v>43149</v>
      </c>
      <c r="H547" s="135" t="s">
        <v>271</v>
      </c>
      <c r="I547" s="137">
        <v>44749</v>
      </c>
      <c r="J547" s="578" t="s">
        <v>327</v>
      </c>
      <c r="K547" s="4" t="str">
        <f t="shared" si="66"/>
        <v>I</v>
      </c>
      <c r="L547" s="7" t="str">
        <f t="shared" si="67"/>
        <v>G7</v>
      </c>
      <c r="M547" s="7" t="str">
        <f t="shared" si="68"/>
        <v>S</v>
      </c>
      <c r="N547" s="62" t="str">
        <f t="shared" si="69"/>
        <v/>
      </c>
      <c r="O547" s="8">
        <f t="shared" si="64"/>
        <v>45114</v>
      </c>
      <c r="P547" s="9" t="str">
        <f t="shared" ca="1" si="62"/>
        <v>ATRASADO</v>
      </c>
      <c r="Q547" s="135" t="s">
        <v>1556</v>
      </c>
      <c r="R547" s="134"/>
      <c r="S547" s="9" t="str">
        <f t="shared" si="65"/>
        <v/>
      </c>
    </row>
    <row r="548" spans="1:19" x14ac:dyDescent="0.3">
      <c r="A548" s="10">
        <v>544</v>
      </c>
      <c r="B548" s="138" t="s">
        <v>312</v>
      </c>
      <c r="C548" s="133" t="s">
        <v>2020</v>
      </c>
      <c r="D548" s="135" t="s">
        <v>2021</v>
      </c>
      <c r="E548" s="136">
        <v>24509</v>
      </c>
      <c r="F548" s="9">
        <f t="shared" ca="1" si="57"/>
        <v>59</v>
      </c>
      <c r="G548" s="137">
        <v>43603</v>
      </c>
      <c r="H548" s="135" t="s">
        <v>327</v>
      </c>
      <c r="I548" s="137">
        <v>44764</v>
      </c>
      <c r="J548" s="578" t="s">
        <v>594</v>
      </c>
      <c r="K548" s="4" t="str">
        <f t="shared" si="66"/>
        <v>I</v>
      </c>
      <c r="L548" s="7" t="str">
        <f t="shared" si="67"/>
        <v>G8</v>
      </c>
      <c r="M548" s="7" t="str">
        <f t="shared" si="68"/>
        <v>J6</v>
      </c>
      <c r="N548" s="62" t="str">
        <f t="shared" si="69"/>
        <v/>
      </c>
      <c r="O548" s="8">
        <f t="shared" si="64"/>
        <v>45860</v>
      </c>
      <c r="P548" s="9" t="str">
        <f t="shared" ca="1" si="62"/>
        <v>ATRASADO</v>
      </c>
      <c r="Q548" s="135" t="s">
        <v>1556</v>
      </c>
      <c r="R548" s="134"/>
      <c r="S548" s="9" t="str">
        <f t="shared" si="65"/>
        <v>ACTINOMYCES</v>
      </c>
    </row>
    <row r="549" spans="1:19" x14ac:dyDescent="0.3">
      <c r="A549" s="10">
        <v>545</v>
      </c>
      <c r="B549" s="138" t="s">
        <v>312</v>
      </c>
      <c r="C549" s="133" t="s">
        <v>2022</v>
      </c>
      <c r="D549" s="135" t="s">
        <v>2023</v>
      </c>
      <c r="E549" s="136">
        <v>28851</v>
      </c>
      <c r="F549" s="9">
        <f t="shared" ca="1" si="57"/>
        <v>47</v>
      </c>
      <c r="G549" s="137">
        <v>44213</v>
      </c>
      <c r="H549" s="135" t="s">
        <v>271</v>
      </c>
      <c r="I549" s="137">
        <v>44760</v>
      </c>
      <c r="J549" s="578" t="s">
        <v>275</v>
      </c>
      <c r="K549" s="4" t="str">
        <f t="shared" si="66"/>
        <v>I</v>
      </c>
      <c r="L549" s="7" t="str">
        <f t="shared" si="67"/>
        <v>G8</v>
      </c>
      <c r="M549" s="7" t="str">
        <f t="shared" si="68"/>
        <v/>
      </c>
      <c r="N549" s="62" t="str">
        <f t="shared" si="69"/>
        <v/>
      </c>
      <c r="O549" s="8">
        <f t="shared" si="64"/>
        <v>45856</v>
      </c>
      <c r="P549" s="9" t="str">
        <f t="shared" ca="1" si="62"/>
        <v>ATRASADO</v>
      </c>
      <c r="Q549" s="135" t="s">
        <v>1556</v>
      </c>
      <c r="R549" s="134" t="s">
        <v>2024</v>
      </c>
      <c r="S549" s="9" t="str">
        <f t="shared" si="65"/>
        <v/>
      </c>
    </row>
    <row r="550" spans="1:19" x14ac:dyDescent="0.3">
      <c r="A550" s="10">
        <v>546</v>
      </c>
      <c r="B550" s="138" t="s">
        <v>312</v>
      </c>
      <c r="C550" s="133" t="s">
        <v>2025</v>
      </c>
      <c r="D550" s="135" t="s">
        <v>2026</v>
      </c>
      <c r="E550" s="136">
        <v>27468</v>
      </c>
      <c r="F550" s="9">
        <f t="shared" ca="1" si="57"/>
        <v>51</v>
      </c>
      <c r="G550" s="137">
        <v>43531</v>
      </c>
      <c r="H550" s="135" t="s">
        <v>271</v>
      </c>
      <c r="I550" s="137">
        <v>44756</v>
      </c>
      <c r="J550" s="578" t="s">
        <v>275</v>
      </c>
      <c r="K550" s="4" t="str">
        <f t="shared" si="66"/>
        <v>I</v>
      </c>
      <c r="L550" s="7" t="str">
        <f t="shared" si="67"/>
        <v>G8</v>
      </c>
      <c r="M550" s="7" t="str">
        <f t="shared" si="68"/>
        <v/>
      </c>
      <c r="N550" s="62" t="str">
        <f t="shared" si="69"/>
        <v/>
      </c>
      <c r="O550" s="8">
        <f t="shared" si="64"/>
        <v>45852</v>
      </c>
      <c r="P550" s="9" t="str">
        <f t="shared" ca="1" si="62"/>
        <v>ATRASADO</v>
      </c>
      <c r="Q550" s="135" t="s">
        <v>1556</v>
      </c>
      <c r="R550" s="139"/>
      <c r="S550" s="9" t="str">
        <f t="shared" si="65"/>
        <v/>
      </c>
    </row>
    <row r="551" spans="1:19" x14ac:dyDescent="0.3">
      <c r="A551" s="10">
        <v>547</v>
      </c>
      <c r="B551" s="146" t="s">
        <v>111</v>
      </c>
      <c r="C551" s="141" t="s">
        <v>2027</v>
      </c>
      <c r="D551" s="143" t="s">
        <v>2028</v>
      </c>
      <c r="E551" s="144">
        <v>29350</v>
      </c>
      <c r="F551" s="9">
        <f t="shared" ca="1" si="57"/>
        <v>46</v>
      </c>
      <c r="G551" s="145">
        <v>43855</v>
      </c>
      <c r="H551" s="143" t="s">
        <v>275</v>
      </c>
      <c r="I551" s="145">
        <v>44768</v>
      </c>
      <c r="J551" s="578" t="s">
        <v>327</v>
      </c>
      <c r="K551" s="4" t="str">
        <f t="shared" si="66"/>
        <v>I</v>
      </c>
      <c r="L551" s="7" t="str">
        <f t="shared" si="67"/>
        <v>G7</v>
      </c>
      <c r="M551" s="7" t="str">
        <f t="shared" si="68"/>
        <v>S</v>
      </c>
      <c r="N551" s="62" t="str">
        <f t="shared" si="69"/>
        <v/>
      </c>
      <c r="O551" s="8">
        <f t="shared" si="64"/>
        <v>45133</v>
      </c>
      <c r="P551" s="9" t="str">
        <f t="shared" ca="1" si="62"/>
        <v>ATRASADO</v>
      </c>
      <c r="Q551" s="143" t="s">
        <v>1556</v>
      </c>
      <c r="R551" s="140"/>
      <c r="S551" s="9" t="str">
        <f t="shared" si="65"/>
        <v/>
      </c>
    </row>
    <row r="552" spans="1:19" x14ac:dyDescent="0.3">
      <c r="A552" s="10">
        <v>548</v>
      </c>
      <c r="B552" s="146" t="s">
        <v>111</v>
      </c>
      <c r="C552" s="141" t="s">
        <v>2029</v>
      </c>
      <c r="D552" s="143" t="s">
        <v>2030</v>
      </c>
      <c r="E552" s="144">
        <v>33880</v>
      </c>
      <c r="F552" s="9">
        <f t="shared" ca="1" si="57"/>
        <v>33</v>
      </c>
      <c r="G552" s="145">
        <v>44107</v>
      </c>
      <c r="H552" s="143" t="s">
        <v>8</v>
      </c>
      <c r="I552" s="145">
        <v>44756</v>
      </c>
      <c r="J552" s="578" t="s">
        <v>340</v>
      </c>
      <c r="K552" s="4" t="str">
        <f t="shared" si="66"/>
        <v>I</v>
      </c>
      <c r="L552" s="7" t="str">
        <f t="shared" si="67"/>
        <v>G8</v>
      </c>
      <c r="M552" s="7" t="str">
        <f t="shared" si="68"/>
        <v>S</v>
      </c>
      <c r="N552" s="62" t="str">
        <f t="shared" si="69"/>
        <v/>
      </c>
      <c r="O552" s="8">
        <f t="shared" si="64"/>
        <v>45121</v>
      </c>
      <c r="P552" s="9" t="str">
        <f t="shared" ca="1" si="62"/>
        <v>ATRASADO</v>
      </c>
      <c r="Q552" s="143" t="s">
        <v>1556</v>
      </c>
      <c r="R552" s="140"/>
      <c r="S552" s="9" t="str">
        <f t="shared" si="65"/>
        <v/>
      </c>
    </row>
    <row r="553" spans="1:19" x14ac:dyDescent="0.3">
      <c r="A553" s="10">
        <v>549</v>
      </c>
      <c r="B553" s="146" t="s">
        <v>111</v>
      </c>
      <c r="C553" s="141" t="s">
        <v>2031</v>
      </c>
      <c r="D553" s="143" t="s">
        <v>2032</v>
      </c>
      <c r="E553" s="144">
        <v>25078</v>
      </c>
      <c r="F553" s="9">
        <f t="shared" ca="1" si="57"/>
        <v>58</v>
      </c>
      <c r="G553" s="145">
        <v>43942</v>
      </c>
      <c r="H553" s="143" t="s">
        <v>8</v>
      </c>
      <c r="I553" s="145">
        <v>44772</v>
      </c>
      <c r="J553" s="578" t="s">
        <v>8</v>
      </c>
      <c r="K553" s="4" t="str">
        <f t="shared" si="66"/>
        <v>SI</v>
      </c>
      <c r="L553" s="7" t="str">
        <f t="shared" si="67"/>
        <v xml:space="preserve">N </v>
      </c>
      <c r="M553" s="7" t="str">
        <f t="shared" si="68"/>
        <v>RE</v>
      </c>
      <c r="N553" s="62" t="str">
        <f t="shared" si="69"/>
        <v>GI</v>
      </c>
      <c r="O553" s="8">
        <f t="shared" si="64"/>
        <v>45868</v>
      </c>
      <c r="P553" s="9" t="str">
        <f t="shared" ca="1" si="62"/>
        <v>ATRASADO</v>
      </c>
      <c r="Q553" s="143" t="s">
        <v>1556</v>
      </c>
      <c r="R553" s="142"/>
      <c r="S553" s="9" t="str">
        <f t="shared" si="65"/>
        <v/>
      </c>
    </row>
    <row r="554" spans="1:19" x14ac:dyDescent="0.3">
      <c r="A554" s="10">
        <v>550</v>
      </c>
      <c r="B554" s="146" t="s">
        <v>111</v>
      </c>
      <c r="C554" s="141" t="s">
        <v>2033</v>
      </c>
      <c r="D554" s="143" t="s">
        <v>2034</v>
      </c>
      <c r="E554" s="144">
        <v>22994</v>
      </c>
      <c r="F554" s="9">
        <f t="shared" ca="1" si="57"/>
        <v>63</v>
      </c>
      <c r="G554" s="145">
        <v>43310</v>
      </c>
      <c r="H554" s="143" t="s">
        <v>1060</v>
      </c>
      <c r="I554" s="145">
        <v>44772</v>
      </c>
      <c r="J554" s="578" t="s">
        <v>291</v>
      </c>
      <c r="K554" s="4" t="str">
        <f t="shared" si="66"/>
        <v>I</v>
      </c>
      <c r="L554" s="7" t="str">
        <f t="shared" si="67"/>
        <v>G8</v>
      </c>
      <c r="M554" s="7" t="str">
        <f t="shared" si="68"/>
        <v>J5</v>
      </c>
      <c r="N554" s="62" t="str">
        <f t="shared" si="69"/>
        <v/>
      </c>
      <c r="O554" s="8">
        <f t="shared" si="64"/>
        <v>45868</v>
      </c>
      <c r="P554" s="9" t="str">
        <f t="shared" ca="1" si="62"/>
        <v>ATRASADO</v>
      </c>
      <c r="Q554" s="143" t="s">
        <v>1556</v>
      </c>
      <c r="R554" s="140"/>
      <c r="S554" s="9" t="str">
        <f t="shared" si="65"/>
        <v>CANDIDA</v>
      </c>
    </row>
    <row r="555" spans="1:19" x14ac:dyDescent="0.3">
      <c r="A555" s="10">
        <v>551</v>
      </c>
      <c r="B555" s="146" t="s">
        <v>111</v>
      </c>
      <c r="C555" s="141" t="s">
        <v>2035</v>
      </c>
      <c r="D555" s="143" t="s">
        <v>2036</v>
      </c>
      <c r="E555" s="144">
        <v>32369</v>
      </c>
      <c r="F555" s="9">
        <f t="shared" ca="1" si="57"/>
        <v>38</v>
      </c>
      <c r="G555" s="145">
        <v>43096</v>
      </c>
      <c r="H555" s="143" t="s">
        <v>275</v>
      </c>
      <c r="I555" s="145">
        <v>44764</v>
      </c>
      <c r="J555" s="578" t="s">
        <v>275</v>
      </c>
      <c r="K555" s="4" t="str">
        <f t="shared" si="66"/>
        <v>I</v>
      </c>
      <c r="L555" s="7" t="str">
        <f t="shared" si="67"/>
        <v>G8</v>
      </c>
      <c r="M555" s="7" t="str">
        <f t="shared" si="68"/>
        <v/>
      </c>
      <c r="N555" s="62" t="str">
        <f t="shared" si="69"/>
        <v/>
      </c>
      <c r="O555" s="8">
        <f t="shared" si="64"/>
        <v>45860</v>
      </c>
      <c r="P555" s="9" t="str">
        <f t="shared" ca="1" si="62"/>
        <v>ATRASADO</v>
      </c>
      <c r="Q555" s="143" t="s">
        <v>1556</v>
      </c>
      <c r="R555" s="142"/>
      <c r="S555" s="9" t="str">
        <f t="shared" ref="S555:S618" si="70">IF(OR(K555="T1",L555="T1",M555="T1",N555="T1",),"LESION SOSPECHOSA A UPC",IF(OR(K555="T2",L555="T2",M555="T2",N555="T2",),"DERIVAR A UPC POR SEGUNDO ATIPICO",IF(OR(K555="J2",L555="J2",M555="J2",N555="J2",),"TRICOMONAS",IF(OR(K555="J3",L555="J3",M555="J3",N555="J3",),"HERPES SIMPLEX",IF(OR(K555="J5",L555="J5",M555="J5",N555="J5",),"CANDIDA",IF(OR(K555="J6",L555="J6",M555="J6",N555="J6",),"ACTINOMYCES",IF(OR(K555="A1",L555="A1",M555="A1",N555="A1",),"VPH",IF(OR(K555="ASC-H",L555="ASC-H",M555="ASC-H",K555="H2",K555="H3",K555="H4",N555="ASC-H",K555="AGUS",L555="AGUS",L555="H2",L555="H3",L555="H4",M555="AGUS",M555="H2",M555="H3",M555="H4",N555="AGUS",N555="H2",N555="H3",N555="H4"),"MANDAR A UPC / COLPOSCOPIA",IF(OR(K555="A",K555="B",K555="C",K555="D",K555="D0",K555="D1",K555="D2",K555="D3",K555="E",K555="E1",K555="E2",K555="K",K555="T",L555="A",L555="B",L555="C",L555="D",L555="D0",L555="D1",L555="D2",L555="D3",L555="E",L555="E1",L555="E2",L555="K",L555="T",M555="A",M555="B",M555="C",M555="D",M555="D0",M555="D1",M555="D2",M555="D3",M555="E",M555="E1",M555="E2",M555="K",M555="T",N555="A",N555="B",N555="C",N555="D",N555="D0",N555="D1",K555="D2",N555="D2",N555="D3",N555="E",N555="E1",N555="E2",N555="K",N555="T",),"CITAR A UPC","")))))))))</f>
        <v/>
      </c>
    </row>
    <row r="556" spans="1:19" x14ac:dyDescent="0.3">
      <c r="A556" s="10">
        <v>552</v>
      </c>
      <c r="B556" s="153" t="s">
        <v>111</v>
      </c>
      <c r="C556" s="148" t="s">
        <v>2037</v>
      </c>
      <c r="D556" s="150" t="s">
        <v>2038</v>
      </c>
      <c r="E556" s="151">
        <v>30855</v>
      </c>
      <c r="F556" s="9">
        <f t="shared" ca="1" si="57"/>
        <v>42</v>
      </c>
      <c r="G556" s="150" t="s">
        <v>8</v>
      </c>
      <c r="H556" s="150" t="s">
        <v>735</v>
      </c>
      <c r="I556" s="152">
        <v>44751</v>
      </c>
      <c r="J556" s="578" t="s">
        <v>340</v>
      </c>
      <c r="K556" s="4" t="str">
        <f t="shared" si="66"/>
        <v>I</v>
      </c>
      <c r="L556" s="7" t="str">
        <f t="shared" si="67"/>
        <v>G8</v>
      </c>
      <c r="M556" s="7" t="str">
        <f t="shared" si="68"/>
        <v>S</v>
      </c>
      <c r="N556" s="62" t="str">
        <f t="shared" si="69"/>
        <v/>
      </c>
      <c r="O556" s="8">
        <f t="shared" si="64"/>
        <v>45116</v>
      </c>
      <c r="P556" s="9" t="str">
        <f t="shared" ca="1" si="62"/>
        <v>ATRASADO</v>
      </c>
      <c r="Q556" s="150" t="s">
        <v>1556</v>
      </c>
      <c r="R556" s="147"/>
      <c r="S556" s="9" t="str">
        <f t="shared" si="70"/>
        <v/>
      </c>
    </row>
    <row r="557" spans="1:19" x14ac:dyDescent="0.3">
      <c r="A557" s="10">
        <v>553</v>
      </c>
      <c r="B557" s="153" t="s">
        <v>111</v>
      </c>
      <c r="C557" s="148" t="s">
        <v>2039</v>
      </c>
      <c r="D557" s="150" t="s">
        <v>2040</v>
      </c>
      <c r="E557" s="151">
        <v>32433</v>
      </c>
      <c r="F557" s="9">
        <f t="shared" ca="1" si="57"/>
        <v>37</v>
      </c>
      <c r="G557" s="152">
        <v>43142</v>
      </c>
      <c r="H557" s="150" t="s">
        <v>275</v>
      </c>
      <c r="I557" s="152">
        <v>44759</v>
      </c>
      <c r="J557" s="578" t="s">
        <v>8</v>
      </c>
      <c r="K557" s="4" t="str">
        <f t="shared" si="66"/>
        <v>SI</v>
      </c>
      <c r="L557" s="7" t="str">
        <f t="shared" si="67"/>
        <v xml:space="preserve">N </v>
      </c>
      <c r="M557" s="7" t="str">
        <f t="shared" si="68"/>
        <v>RE</v>
      </c>
      <c r="N557" s="62" t="str">
        <f t="shared" si="69"/>
        <v>GI</v>
      </c>
      <c r="O557" s="8">
        <f t="shared" si="64"/>
        <v>45855</v>
      </c>
      <c r="P557" s="9" t="str">
        <f t="shared" ca="1" si="62"/>
        <v>ATRASADO</v>
      </c>
      <c r="Q557" s="150" t="s">
        <v>1556</v>
      </c>
      <c r="R557" s="147"/>
      <c r="S557" s="9" t="str">
        <f t="shared" si="70"/>
        <v/>
      </c>
    </row>
    <row r="558" spans="1:19" x14ac:dyDescent="0.3">
      <c r="A558" s="10">
        <v>554</v>
      </c>
      <c r="B558" s="153" t="s">
        <v>111</v>
      </c>
      <c r="C558" s="148" t="s">
        <v>2041</v>
      </c>
      <c r="D558" s="150" t="s">
        <v>2042</v>
      </c>
      <c r="E558" s="151">
        <v>34207</v>
      </c>
      <c r="F558" s="9">
        <f t="shared" ca="1" si="57"/>
        <v>33</v>
      </c>
      <c r="G558" s="152">
        <v>44086</v>
      </c>
      <c r="H558" s="150" t="s">
        <v>8</v>
      </c>
      <c r="I558" s="152">
        <v>44759</v>
      </c>
      <c r="J558" s="578" t="s">
        <v>340</v>
      </c>
      <c r="K558" s="4" t="str">
        <f t="shared" si="66"/>
        <v>I</v>
      </c>
      <c r="L558" s="7" t="str">
        <f t="shared" si="67"/>
        <v>G8</v>
      </c>
      <c r="M558" s="7" t="str">
        <f t="shared" si="68"/>
        <v>S</v>
      </c>
      <c r="N558" s="62" t="str">
        <f t="shared" si="69"/>
        <v/>
      </c>
      <c r="O558" s="8">
        <f t="shared" si="64"/>
        <v>45124</v>
      </c>
      <c r="P558" s="9" t="str">
        <f t="shared" ca="1" si="62"/>
        <v>ATRASADO</v>
      </c>
      <c r="Q558" s="150" t="s">
        <v>1556</v>
      </c>
      <c r="R558" s="147"/>
      <c r="S558" s="9" t="str">
        <f t="shared" si="70"/>
        <v/>
      </c>
    </row>
    <row r="559" spans="1:19" x14ac:dyDescent="0.3">
      <c r="A559" s="10">
        <v>555</v>
      </c>
      <c r="B559" s="153" t="s">
        <v>111</v>
      </c>
      <c r="C559" s="148" t="s">
        <v>2043</v>
      </c>
      <c r="D559" s="150" t="s">
        <v>2044</v>
      </c>
      <c r="E559" s="151">
        <v>33535</v>
      </c>
      <c r="F559" s="9">
        <f t="shared" ca="1" si="57"/>
        <v>34</v>
      </c>
      <c r="G559" s="152">
        <v>43438</v>
      </c>
      <c r="H559" s="150" t="s">
        <v>271</v>
      </c>
      <c r="I559" s="152">
        <v>44764</v>
      </c>
      <c r="J559" s="578" t="s">
        <v>275</v>
      </c>
      <c r="K559" s="4" t="str">
        <f t="shared" si="66"/>
        <v>I</v>
      </c>
      <c r="L559" s="7" t="str">
        <f t="shared" si="67"/>
        <v>G8</v>
      </c>
      <c r="M559" s="7" t="str">
        <f t="shared" si="68"/>
        <v/>
      </c>
      <c r="N559" s="62" t="str">
        <f t="shared" si="69"/>
        <v/>
      </c>
      <c r="O559" s="8">
        <f t="shared" si="64"/>
        <v>45860</v>
      </c>
      <c r="P559" s="9" t="str">
        <f t="shared" ca="1" si="62"/>
        <v>ATRASADO</v>
      </c>
      <c r="Q559" s="150" t="s">
        <v>1556</v>
      </c>
      <c r="R559" s="149"/>
      <c r="S559" s="9" t="str">
        <f t="shared" si="70"/>
        <v/>
      </c>
    </row>
    <row r="560" spans="1:19" x14ac:dyDescent="0.3">
      <c r="A560" s="10">
        <v>556</v>
      </c>
      <c r="B560" s="153" t="s">
        <v>111</v>
      </c>
      <c r="C560" s="148" t="s">
        <v>2045</v>
      </c>
      <c r="D560" s="150" t="s">
        <v>2046</v>
      </c>
      <c r="E560" s="151">
        <v>31116</v>
      </c>
      <c r="F560" s="9">
        <f t="shared" ca="1" si="57"/>
        <v>41</v>
      </c>
      <c r="G560" s="152">
        <v>43147</v>
      </c>
      <c r="H560" s="150" t="s">
        <v>271</v>
      </c>
      <c r="I560" s="152">
        <v>44766</v>
      </c>
      <c r="J560" s="578" t="s">
        <v>954</v>
      </c>
      <c r="K560" s="4" t="str">
        <f t="shared" si="66"/>
        <v>A1</v>
      </c>
      <c r="L560" s="7" t="str">
        <f t="shared" si="67"/>
        <v>S</v>
      </c>
      <c r="M560" s="7" t="str">
        <f t="shared" si="68"/>
        <v/>
      </c>
      <c r="N560" s="62" t="str">
        <f t="shared" si="69"/>
        <v/>
      </c>
      <c r="O560" s="8">
        <f t="shared" si="64"/>
        <v>45131</v>
      </c>
      <c r="P560" s="9" t="str">
        <f t="shared" ca="1" si="62"/>
        <v>ATRASADO</v>
      </c>
      <c r="Q560" s="150" t="s">
        <v>1556</v>
      </c>
      <c r="R560" s="147"/>
      <c r="S560" s="9" t="str">
        <f t="shared" si="70"/>
        <v>VPH</v>
      </c>
    </row>
    <row r="561" spans="1:19" x14ac:dyDescent="0.3">
      <c r="A561" s="10">
        <v>557</v>
      </c>
      <c r="B561" s="153" t="s">
        <v>111</v>
      </c>
      <c r="C561" s="148" t="s">
        <v>2047</v>
      </c>
      <c r="D561" s="150" t="s">
        <v>2048</v>
      </c>
      <c r="E561" s="151">
        <v>28507</v>
      </c>
      <c r="F561" s="9">
        <f t="shared" ca="1" si="57"/>
        <v>48</v>
      </c>
      <c r="G561" s="152">
        <v>44435</v>
      </c>
      <c r="H561" s="150" t="s">
        <v>275</v>
      </c>
      <c r="I561" s="152">
        <v>44767</v>
      </c>
      <c r="J561" s="578" t="s">
        <v>275</v>
      </c>
      <c r="K561" s="4" t="str">
        <f t="shared" si="66"/>
        <v>I</v>
      </c>
      <c r="L561" s="7" t="str">
        <f t="shared" si="67"/>
        <v>G8</v>
      </c>
      <c r="M561" s="7" t="str">
        <f t="shared" si="68"/>
        <v/>
      </c>
      <c r="N561" s="62" t="str">
        <f t="shared" si="69"/>
        <v/>
      </c>
      <c r="O561" s="8">
        <f t="shared" si="64"/>
        <v>45863</v>
      </c>
      <c r="P561" s="9" t="str">
        <f t="shared" ca="1" si="62"/>
        <v>ATRASADO</v>
      </c>
      <c r="Q561" s="150" t="s">
        <v>1556</v>
      </c>
      <c r="R561" s="147"/>
      <c r="S561" s="9" t="str">
        <f t="shared" si="70"/>
        <v/>
      </c>
    </row>
    <row r="562" spans="1:19" x14ac:dyDescent="0.3">
      <c r="A562" s="10">
        <v>558</v>
      </c>
      <c r="B562" s="153" t="s">
        <v>111</v>
      </c>
      <c r="C562" s="148" t="s">
        <v>2049</v>
      </c>
      <c r="D562" s="150" t="s">
        <v>2050</v>
      </c>
      <c r="E562" s="151">
        <v>21223</v>
      </c>
      <c r="F562" s="9">
        <f t="shared" ca="1" si="57"/>
        <v>68</v>
      </c>
      <c r="G562" s="152">
        <v>43563</v>
      </c>
      <c r="H562" s="150" t="s">
        <v>271</v>
      </c>
      <c r="I562" s="152">
        <v>44761</v>
      </c>
      <c r="J562" s="578" t="s">
        <v>275</v>
      </c>
      <c r="K562" s="4" t="str">
        <f t="shared" si="66"/>
        <v>I</v>
      </c>
      <c r="L562" s="7" t="str">
        <f t="shared" si="67"/>
        <v>G8</v>
      </c>
      <c r="M562" s="7" t="str">
        <f t="shared" si="68"/>
        <v/>
      </c>
      <c r="N562" s="62" t="str">
        <f t="shared" si="69"/>
        <v/>
      </c>
      <c r="O562" s="8">
        <f t="shared" si="64"/>
        <v>45857</v>
      </c>
      <c r="P562" s="9" t="str">
        <f t="shared" ca="1" si="62"/>
        <v>ATRASADO</v>
      </c>
      <c r="Q562" s="150" t="s">
        <v>1556</v>
      </c>
      <c r="R562" s="147"/>
      <c r="S562" s="9" t="str">
        <f t="shared" si="70"/>
        <v/>
      </c>
    </row>
    <row r="563" spans="1:19" x14ac:dyDescent="0.3">
      <c r="A563" s="10">
        <v>559</v>
      </c>
      <c r="B563" s="160" t="s">
        <v>111</v>
      </c>
      <c r="C563" s="155" t="s">
        <v>2051</v>
      </c>
      <c r="D563" s="157" t="s">
        <v>2052</v>
      </c>
      <c r="E563" s="158">
        <v>26744</v>
      </c>
      <c r="F563" s="9">
        <f t="shared" ca="1" si="57"/>
        <v>53</v>
      </c>
      <c r="G563" s="159">
        <v>43830</v>
      </c>
      <c r="H563" s="157" t="s">
        <v>275</v>
      </c>
      <c r="I563" s="159">
        <v>44759</v>
      </c>
      <c r="J563" s="578" t="s">
        <v>8</v>
      </c>
      <c r="K563" s="4" t="str">
        <f t="shared" si="66"/>
        <v>SI</v>
      </c>
      <c r="L563" s="7" t="str">
        <f t="shared" si="67"/>
        <v xml:space="preserve">N </v>
      </c>
      <c r="M563" s="7" t="str">
        <f t="shared" si="68"/>
        <v>RE</v>
      </c>
      <c r="N563" s="62" t="str">
        <f t="shared" si="69"/>
        <v>GI</v>
      </c>
      <c r="O563" s="8">
        <f t="shared" si="64"/>
        <v>45855</v>
      </c>
      <c r="P563" s="9" t="str">
        <f t="shared" ca="1" si="62"/>
        <v>ATRASADO</v>
      </c>
      <c r="Q563" s="157" t="s">
        <v>1556</v>
      </c>
      <c r="R563" s="156"/>
      <c r="S563" s="9" t="str">
        <f t="shared" si="70"/>
        <v/>
      </c>
    </row>
    <row r="564" spans="1:19" x14ac:dyDescent="0.3">
      <c r="A564" s="10">
        <v>560</v>
      </c>
      <c r="B564" s="160" t="s">
        <v>111</v>
      </c>
      <c r="C564" s="155" t="s">
        <v>2053</v>
      </c>
      <c r="D564" s="157" t="s">
        <v>2054</v>
      </c>
      <c r="E564" s="158">
        <v>33731</v>
      </c>
      <c r="F564" s="9">
        <f t="shared" ca="1" si="57"/>
        <v>34</v>
      </c>
      <c r="G564" s="159">
        <v>43454</v>
      </c>
      <c r="H564" s="157" t="s">
        <v>271</v>
      </c>
      <c r="I564" s="159">
        <v>44770</v>
      </c>
      <c r="J564" s="578" t="s">
        <v>275</v>
      </c>
      <c r="K564" s="4" t="str">
        <f t="shared" si="66"/>
        <v>I</v>
      </c>
      <c r="L564" s="7" t="str">
        <f t="shared" si="67"/>
        <v>G8</v>
      </c>
      <c r="M564" s="7" t="str">
        <f t="shared" si="68"/>
        <v/>
      </c>
      <c r="N564" s="62" t="str">
        <f t="shared" si="69"/>
        <v/>
      </c>
      <c r="O564" s="8">
        <f t="shared" si="64"/>
        <v>45866</v>
      </c>
      <c r="P564" s="9" t="str">
        <f t="shared" ca="1" si="62"/>
        <v>ATRASADO</v>
      </c>
      <c r="Q564" s="157" t="s">
        <v>1556</v>
      </c>
      <c r="R564" s="154"/>
      <c r="S564" s="9" t="str">
        <f t="shared" si="70"/>
        <v/>
      </c>
    </row>
    <row r="565" spans="1:19" x14ac:dyDescent="0.3">
      <c r="A565" s="10">
        <v>561</v>
      </c>
      <c r="B565" s="160" t="s">
        <v>111</v>
      </c>
      <c r="C565" s="155" t="s">
        <v>2055</v>
      </c>
      <c r="D565" s="157" t="s">
        <v>2056</v>
      </c>
      <c r="E565" s="158">
        <v>28587</v>
      </c>
      <c r="F565" s="9">
        <f t="shared" ca="1" si="57"/>
        <v>48</v>
      </c>
      <c r="G565" s="159">
        <v>43992</v>
      </c>
      <c r="H565" s="157" t="s">
        <v>271</v>
      </c>
      <c r="I565" s="159">
        <v>44752</v>
      </c>
      <c r="J565" s="578" t="s">
        <v>340</v>
      </c>
      <c r="K565" s="4" t="str">
        <f t="shared" si="66"/>
        <v>I</v>
      </c>
      <c r="L565" s="7" t="str">
        <f t="shared" si="67"/>
        <v>G8</v>
      </c>
      <c r="M565" s="7" t="str">
        <f t="shared" si="68"/>
        <v>S</v>
      </c>
      <c r="N565" s="62" t="str">
        <f t="shared" si="69"/>
        <v/>
      </c>
      <c r="O565" s="8">
        <f t="shared" si="64"/>
        <v>45117</v>
      </c>
      <c r="P565" s="9" t="str">
        <f t="shared" ca="1" si="62"/>
        <v>ATRASADO</v>
      </c>
      <c r="Q565" s="157" t="s">
        <v>1556</v>
      </c>
      <c r="R565" s="156"/>
      <c r="S565" s="9" t="str">
        <f t="shared" si="70"/>
        <v/>
      </c>
    </row>
    <row r="566" spans="1:19" x14ac:dyDescent="0.3">
      <c r="A566" s="10">
        <v>562</v>
      </c>
      <c r="B566" s="160" t="s">
        <v>111</v>
      </c>
      <c r="C566" s="155" t="s">
        <v>2057</v>
      </c>
      <c r="D566" s="157" t="s">
        <v>2058</v>
      </c>
      <c r="E566" s="158">
        <v>35425</v>
      </c>
      <c r="F566" s="9">
        <f t="shared" ca="1" si="57"/>
        <v>29</v>
      </c>
      <c r="G566" s="159">
        <v>44181</v>
      </c>
      <c r="H566" s="157" t="s">
        <v>275</v>
      </c>
      <c r="I566" s="159">
        <v>44765</v>
      </c>
      <c r="J566" s="578" t="s">
        <v>275</v>
      </c>
      <c r="K566" s="4" t="str">
        <f t="shared" si="66"/>
        <v>I</v>
      </c>
      <c r="L566" s="7" t="str">
        <f t="shared" si="67"/>
        <v>G8</v>
      </c>
      <c r="M566" s="7" t="str">
        <f t="shared" si="68"/>
        <v/>
      </c>
      <c r="N566" s="62" t="str">
        <f t="shared" si="69"/>
        <v/>
      </c>
      <c r="O566" s="8">
        <f t="shared" si="64"/>
        <v>45861</v>
      </c>
      <c r="P566" s="9" t="str">
        <f t="shared" ca="1" si="62"/>
        <v>ATRASADO</v>
      </c>
      <c r="Q566" s="157" t="s">
        <v>1556</v>
      </c>
      <c r="R566" s="154"/>
      <c r="S566" s="9" t="str">
        <f t="shared" si="70"/>
        <v/>
      </c>
    </row>
    <row r="567" spans="1:19" x14ac:dyDescent="0.3">
      <c r="A567" s="10">
        <v>563</v>
      </c>
      <c r="B567" s="160" t="s">
        <v>111</v>
      </c>
      <c r="C567" s="155" t="s">
        <v>2059</v>
      </c>
      <c r="D567" s="157" t="s">
        <v>2060</v>
      </c>
      <c r="E567" s="158">
        <v>29540</v>
      </c>
      <c r="F567" s="9">
        <f t="shared" ca="1" si="57"/>
        <v>45</v>
      </c>
      <c r="G567" s="159">
        <v>43783</v>
      </c>
      <c r="H567" s="157" t="s">
        <v>275</v>
      </c>
      <c r="I567" s="159">
        <v>44750</v>
      </c>
      <c r="J567" s="578" t="s">
        <v>275</v>
      </c>
      <c r="K567" s="4" t="str">
        <f t="shared" si="66"/>
        <v>I</v>
      </c>
      <c r="L567" s="7" t="str">
        <f t="shared" si="67"/>
        <v>G8</v>
      </c>
      <c r="M567" s="7" t="str">
        <f t="shared" si="68"/>
        <v/>
      </c>
      <c r="N567" s="62" t="str">
        <f t="shared" si="69"/>
        <v/>
      </c>
      <c r="O567" s="8">
        <f t="shared" si="64"/>
        <v>45846</v>
      </c>
      <c r="P567" s="9" t="str">
        <f t="shared" ca="1" si="62"/>
        <v>ATRASADO</v>
      </c>
      <c r="Q567" s="157" t="s">
        <v>1556</v>
      </c>
      <c r="R567" s="154"/>
      <c r="S567" s="9" t="str">
        <f t="shared" si="70"/>
        <v/>
      </c>
    </row>
    <row r="568" spans="1:19" x14ac:dyDescent="0.3">
      <c r="A568" s="10">
        <v>564</v>
      </c>
      <c r="B568" s="160" t="s">
        <v>111</v>
      </c>
      <c r="C568" s="155" t="s">
        <v>2061</v>
      </c>
      <c r="D568" s="157" t="s">
        <v>2062</v>
      </c>
      <c r="E568" s="158">
        <v>25347</v>
      </c>
      <c r="F568" s="9">
        <f t="shared" ca="1" si="57"/>
        <v>57</v>
      </c>
      <c r="G568" s="159">
        <v>44164</v>
      </c>
      <c r="H568" s="157" t="s">
        <v>8</v>
      </c>
      <c r="I568" s="159">
        <v>44743</v>
      </c>
      <c r="J568" s="578" t="s">
        <v>8</v>
      </c>
      <c r="K568" s="4" t="str">
        <f t="shared" si="66"/>
        <v>SI</v>
      </c>
      <c r="L568" s="7" t="str">
        <f t="shared" si="67"/>
        <v xml:space="preserve">N </v>
      </c>
      <c r="M568" s="7" t="str">
        <f t="shared" si="68"/>
        <v>RE</v>
      </c>
      <c r="N568" s="62" t="str">
        <f t="shared" si="69"/>
        <v>GI</v>
      </c>
      <c r="O568" s="8">
        <f t="shared" si="64"/>
        <v>45839</v>
      </c>
      <c r="P568" s="9" t="str">
        <f t="shared" ca="1" si="62"/>
        <v>ATRASADO</v>
      </c>
      <c r="Q568" s="157" t="s">
        <v>1556</v>
      </c>
      <c r="R568" s="154"/>
      <c r="S568" s="9" t="str">
        <f t="shared" si="70"/>
        <v/>
      </c>
    </row>
    <row r="569" spans="1:19" x14ac:dyDescent="0.3">
      <c r="A569" s="10">
        <v>565</v>
      </c>
      <c r="B569" s="160" t="s">
        <v>111</v>
      </c>
      <c r="C569" s="155" t="s">
        <v>2063</v>
      </c>
      <c r="D569" s="157" t="s">
        <v>2064</v>
      </c>
      <c r="E569" s="158">
        <v>31826</v>
      </c>
      <c r="F569" s="9">
        <f t="shared" ca="1" si="57"/>
        <v>39</v>
      </c>
      <c r="G569" s="159">
        <v>43546</v>
      </c>
      <c r="H569" s="157" t="s">
        <v>275</v>
      </c>
      <c r="I569" s="159">
        <v>44752</v>
      </c>
      <c r="J569" s="578" t="s">
        <v>271</v>
      </c>
      <c r="K569" s="4" t="str">
        <f t="shared" si="66"/>
        <v>I</v>
      </c>
      <c r="L569" s="7" t="str">
        <f t="shared" si="67"/>
        <v>G8</v>
      </c>
      <c r="M569" s="7" t="str">
        <f t="shared" si="68"/>
        <v>J1</v>
      </c>
      <c r="N569" s="62" t="str">
        <f t="shared" si="69"/>
        <v/>
      </c>
      <c r="O569" s="8">
        <f t="shared" si="64"/>
        <v>45848</v>
      </c>
      <c r="P569" s="9" t="str">
        <f t="shared" ca="1" si="62"/>
        <v>ATRASADO</v>
      </c>
      <c r="Q569" s="157" t="s">
        <v>1556</v>
      </c>
      <c r="R569" s="154"/>
      <c r="S569" s="9" t="str">
        <f t="shared" si="70"/>
        <v/>
      </c>
    </row>
    <row r="570" spans="1:19" x14ac:dyDescent="0.3">
      <c r="A570" s="10">
        <v>566</v>
      </c>
      <c r="B570" s="160" t="s">
        <v>111</v>
      </c>
      <c r="C570" s="155" t="s">
        <v>2065</v>
      </c>
      <c r="D570" s="157" t="s">
        <v>2066</v>
      </c>
      <c r="E570" s="158">
        <v>20622</v>
      </c>
      <c r="F570" s="9">
        <f t="shared" ca="1" si="57"/>
        <v>70</v>
      </c>
      <c r="G570" s="159">
        <v>43367</v>
      </c>
      <c r="H570" s="157" t="s">
        <v>8</v>
      </c>
      <c r="I570" s="159">
        <v>44767</v>
      </c>
      <c r="J570" s="578" t="s">
        <v>275</v>
      </c>
      <c r="K570" s="4" t="str">
        <f t="shared" si="66"/>
        <v>I</v>
      </c>
      <c r="L570" s="7" t="str">
        <f t="shared" si="67"/>
        <v>G8</v>
      </c>
      <c r="M570" s="7" t="str">
        <f t="shared" si="68"/>
        <v/>
      </c>
      <c r="N570" s="62" t="str">
        <f t="shared" si="69"/>
        <v/>
      </c>
      <c r="O570" s="8">
        <f t="shared" si="64"/>
        <v>45863</v>
      </c>
      <c r="P570" s="9" t="str">
        <f t="shared" ca="1" si="62"/>
        <v>ATRASADO</v>
      </c>
      <c r="Q570" s="157" t="s">
        <v>1556</v>
      </c>
      <c r="R570" s="154"/>
      <c r="S570" s="9" t="str">
        <f t="shared" si="70"/>
        <v/>
      </c>
    </row>
    <row r="571" spans="1:19" x14ac:dyDescent="0.3">
      <c r="A571" s="10">
        <v>567</v>
      </c>
      <c r="B571" s="160" t="s">
        <v>111</v>
      </c>
      <c r="C571" s="155" t="s">
        <v>2067</v>
      </c>
      <c r="D571" s="157" t="s">
        <v>2068</v>
      </c>
      <c r="E571" s="158">
        <v>23665</v>
      </c>
      <c r="F571" s="9">
        <f t="shared" ca="1" si="57"/>
        <v>61</v>
      </c>
      <c r="G571" s="157" t="s">
        <v>8</v>
      </c>
      <c r="H571" s="157" t="s">
        <v>340</v>
      </c>
      <c r="I571" s="159">
        <v>44768</v>
      </c>
      <c r="J571" s="578" t="s">
        <v>271</v>
      </c>
      <c r="K571" s="4" t="str">
        <f t="shared" si="66"/>
        <v>I</v>
      </c>
      <c r="L571" s="7" t="str">
        <f t="shared" si="67"/>
        <v>G8</v>
      </c>
      <c r="M571" s="7" t="str">
        <f t="shared" si="68"/>
        <v>J1</v>
      </c>
      <c r="N571" s="62" t="str">
        <f t="shared" si="69"/>
        <v/>
      </c>
      <c r="O571" s="8">
        <f t="shared" si="64"/>
        <v>45864</v>
      </c>
      <c r="P571" s="9" t="str">
        <f t="shared" ca="1" si="62"/>
        <v>ATRASADO</v>
      </c>
      <c r="Q571" s="157" t="s">
        <v>1556</v>
      </c>
      <c r="R571" s="154"/>
      <c r="S571" s="9" t="str">
        <f t="shared" si="70"/>
        <v/>
      </c>
    </row>
    <row r="572" spans="1:19" x14ac:dyDescent="0.3">
      <c r="A572" s="10">
        <v>568</v>
      </c>
      <c r="B572" s="160" t="s">
        <v>111</v>
      </c>
      <c r="C572" s="155" t="s">
        <v>2069</v>
      </c>
      <c r="D572" s="157" t="s">
        <v>2070</v>
      </c>
      <c r="E572" s="158">
        <v>24490</v>
      </c>
      <c r="F572" s="9">
        <f t="shared" ca="1" si="57"/>
        <v>59</v>
      </c>
      <c r="G572" s="157" t="s">
        <v>8</v>
      </c>
      <c r="H572" s="157" t="s">
        <v>271</v>
      </c>
      <c r="I572" s="159">
        <v>44759</v>
      </c>
      <c r="J572" s="578" t="s">
        <v>735</v>
      </c>
      <c r="K572" s="4" t="str">
        <f t="shared" si="66"/>
        <v>G3</v>
      </c>
      <c r="L572" s="7" t="str">
        <f t="shared" si="67"/>
        <v>O5</v>
      </c>
      <c r="M572" s="7" t="str">
        <f t="shared" si="68"/>
        <v/>
      </c>
      <c r="N572" s="62" t="str">
        <f t="shared" si="69"/>
        <v/>
      </c>
      <c r="O572" s="8">
        <f t="shared" si="64"/>
        <v>44851</v>
      </c>
      <c r="P572" s="9" t="str">
        <f t="shared" ca="1" si="62"/>
        <v>ATRASADO</v>
      </c>
      <c r="Q572" s="157" t="s">
        <v>1556</v>
      </c>
      <c r="R572" s="156"/>
      <c r="S572" s="9" t="str">
        <f t="shared" si="70"/>
        <v/>
      </c>
    </row>
    <row r="573" spans="1:19" x14ac:dyDescent="0.3">
      <c r="A573" s="10">
        <v>569</v>
      </c>
      <c r="B573" s="160" t="s">
        <v>111</v>
      </c>
      <c r="C573" s="155" t="s">
        <v>2071</v>
      </c>
      <c r="D573" s="157" t="s">
        <v>2072</v>
      </c>
      <c r="E573" s="158">
        <v>30560</v>
      </c>
      <c r="F573" s="9">
        <f t="shared" ca="1" si="57"/>
        <v>43</v>
      </c>
      <c r="G573" s="157" t="s">
        <v>8</v>
      </c>
      <c r="H573" s="157" t="s">
        <v>275</v>
      </c>
      <c r="I573" s="159">
        <v>44748</v>
      </c>
      <c r="J573" s="578" t="s">
        <v>275</v>
      </c>
      <c r="K573" s="4" t="str">
        <f t="shared" si="66"/>
        <v>I</v>
      </c>
      <c r="L573" s="7" t="str">
        <f t="shared" si="67"/>
        <v>G8</v>
      </c>
      <c r="M573" s="7" t="str">
        <f t="shared" si="68"/>
        <v/>
      </c>
      <c r="N573" s="62" t="str">
        <f t="shared" si="69"/>
        <v/>
      </c>
      <c r="O573" s="8">
        <f t="shared" si="64"/>
        <v>45844</v>
      </c>
      <c r="P573" s="9" t="str">
        <f t="shared" ca="1" si="62"/>
        <v>ATRASADO</v>
      </c>
      <c r="Q573" s="157" t="s">
        <v>1556</v>
      </c>
      <c r="R573" s="154"/>
      <c r="S573" s="9" t="str">
        <f t="shared" si="70"/>
        <v/>
      </c>
    </row>
    <row r="574" spans="1:19" x14ac:dyDescent="0.3">
      <c r="A574" s="10">
        <v>570</v>
      </c>
      <c r="B574" s="166" t="s">
        <v>111</v>
      </c>
      <c r="C574" s="162" t="s">
        <v>2073</v>
      </c>
      <c r="D574" s="163" t="s">
        <v>2074</v>
      </c>
      <c r="E574" s="164">
        <v>34513</v>
      </c>
      <c r="F574" s="9">
        <f t="shared" ca="1" si="57"/>
        <v>32</v>
      </c>
      <c r="G574" s="165">
        <v>43773</v>
      </c>
      <c r="H574" s="163" t="s">
        <v>8</v>
      </c>
      <c r="I574" s="165">
        <v>44754</v>
      </c>
      <c r="J574" s="578" t="s">
        <v>275</v>
      </c>
      <c r="K574" s="4" t="str">
        <f t="shared" si="66"/>
        <v>I</v>
      </c>
      <c r="L574" s="7" t="str">
        <f t="shared" si="67"/>
        <v>G8</v>
      </c>
      <c r="M574" s="7" t="str">
        <f t="shared" si="68"/>
        <v/>
      </c>
      <c r="N574" s="62" t="str">
        <f t="shared" si="69"/>
        <v/>
      </c>
      <c r="O574" s="8">
        <f t="shared" si="64"/>
        <v>45850</v>
      </c>
      <c r="P574" s="9" t="str">
        <f t="shared" ca="1" si="62"/>
        <v>ATRASADO</v>
      </c>
      <c r="Q574" s="163" t="s">
        <v>1556</v>
      </c>
      <c r="R574" s="161"/>
      <c r="S574" s="9" t="str">
        <f t="shared" si="70"/>
        <v/>
      </c>
    </row>
    <row r="575" spans="1:19" x14ac:dyDescent="0.3">
      <c r="A575" s="10">
        <v>571</v>
      </c>
      <c r="B575" s="172" t="s">
        <v>56</v>
      </c>
      <c r="C575" s="168" t="s">
        <v>2075</v>
      </c>
      <c r="D575" s="169" t="s">
        <v>2076</v>
      </c>
      <c r="E575" s="170">
        <v>21281</v>
      </c>
      <c r="F575" s="9">
        <f t="shared" ca="1" si="57"/>
        <v>68</v>
      </c>
      <c r="G575" s="171">
        <v>44077</v>
      </c>
      <c r="H575" s="169" t="s">
        <v>8</v>
      </c>
      <c r="I575" s="171">
        <v>44801</v>
      </c>
      <c r="J575" s="578" t="s">
        <v>275</v>
      </c>
      <c r="K575" s="4" t="str">
        <f t="shared" si="66"/>
        <v>I</v>
      </c>
      <c r="L575" s="7" t="str">
        <f t="shared" si="67"/>
        <v>G8</v>
      </c>
      <c r="M575" s="7" t="str">
        <f t="shared" si="68"/>
        <v/>
      </c>
      <c r="N575" s="62" t="str">
        <f t="shared" si="69"/>
        <v/>
      </c>
      <c r="O575" s="8">
        <f t="shared" si="64"/>
        <v>45897</v>
      </c>
      <c r="P575" s="9" t="str">
        <f t="shared" ca="1" si="62"/>
        <v>ATRASADO</v>
      </c>
      <c r="Q575" s="169" t="s">
        <v>1556</v>
      </c>
      <c r="R575" s="167"/>
      <c r="S575" s="9" t="str">
        <f t="shared" si="70"/>
        <v/>
      </c>
    </row>
    <row r="576" spans="1:19" x14ac:dyDescent="0.3">
      <c r="A576" s="10">
        <v>572</v>
      </c>
      <c r="B576" s="173" t="s">
        <v>78</v>
      </c>
      <c r="C576" s="168" t="s">
        <v>2077</v>
      </c>
      <c r="D576" s="169" t="s">
        <v>2078</v>
      </c>
      <c r="E576" s="170">
        <v>23432</v>
      </c>
      <c r="F576" s="9">
        <f t="shared" ca="1" si="57"/>
        <v>62</v>
      </c>
      <c r="G576" s="171">
        <v>44034</v>
      </c>
      <c r="H576" s="169" t="s">
        <v>275</v>
      </c>
      <c r="I576" s="171">
        <v>44791</v>
      </c>
      <c r="J576" s="578" t="s">
        <v>8</v>
      </c>
      <c r="K576" s="4" t="str">
        <f t="shared" si="66"/>
        <v>SI</v>
      </c>
      <c r="L576" s="7" t="str">
        <f t="shared" si="67"/>
        <v xml:space="preserve">N </v>
      </c>
      <c r="M576" s="7" t="str">
        <f t="shared" si="68"/>
        <v>RE</v>
      </c>
      <c r="N576" s="62" t="str">
        <f t="shared" si="69"/>
        <v>GI</v>
      </c>
      <c r="O576" s="8">
        <f t="shared" si="64"/>
        <v>45887</v>
      </c>
      <c r="P576" s="9" t="str">
        <f t="shared" ca="1" si="62"/>
        <v>ATRASADO</v>
      </c>
      <c r="Q576" s="169" t="s">
        <v>1556</v>
      </c>
      <c r="R576" s="167"/>
      <c r="S576" s="9" t="str">
        <f t="shared" si="70"/>
        <v/>
      </c>
    </row>
    <row r="577" spans="1:19" x14ac:dyDescent="0.3">
      <c r="A577" s="10">
        <v>573</v>
      </c>
      <c r="B577" s="173" t="s">
        <v>45</v>
      </c>
      <c r="C577" s="175" t="s">
        <v>2079</v>
      </c>
      <c r="D577" s="177" t="s">
        <v>2080</v>
      </c>
      <c r="E577" s="178">
        <v>35448</v>
      </c>
      <c r="F577" s="9">
        <f t="shared" ca="1" si="57"/>
        <v>29</v>
      </c>
      <c r="G577" s="177" t="s">
        <v>8</v>
      </c>
      <c r="H577" s="177" t="s">
        <v>275</v>
      </c>
      <c r="I577" s="179">
        <v>44801</v>
      </c>
      <c r="J577" s="578" t="s">
        <v>275</v>
      </c>
      <c r="K577" s="4" t="str">
        <f t="shared" si="66"/>
        <v>I</v>
      </c>
      <c r="L577" s="7" t="str">
        <f t="shared" si="67"/>
        <v>G8</v>
      </c>
      <c r="M577" s="7" t="str">
        <f t="shared" si="68"/>
        <v/>
      </c>
      <c r="N577" s="62" t="str">
        <f t="shared" si="69"/>
        <v/>
      </c>
      <c r="O577" s="8">
        <f t="shared" si="64"/>
        <v>45897</v>
      </c>
      <c r="P577" s="9" t="str">
        <f t="shared" ca="1" si="62"/>
        <v>ATRASADO</v>
      </c>
      <c r="Q577" s="177" t="s">
        <v>1556</v>
      </c>
      <c r="R577" s="174"/>
      <c r="S577" s="9" t="str">
        <f t="shared" si="70"/>
        <v/>
      </c>
    </row>
    <row r="578" spans="1:19" x14ac:dyDescent="0.3">
      <c r="A578" s="10">
        <v>574</v>
      </c>
      <c r="B578" s="173" t="s">
        <v>56</v>
      </c>
      <c r="C578" s="175" t="s">
        <v>2081</v>
      </c>
      <c r="D578" s="177" t="s">
        <v>2082</v>
      </c>
      <c r="E578" s="178">
        <v>34864</v>
      </c>
      <c r="F578" s="9">
        <f t="shared" ca="1" si="57"/>
        <v>31</v>
      </c>
      <c r="G578" s="177" t="s">
        <v>8</v>
      </c>
      <c r="H578" s="177" t="s">
        <v>275</v>
      </c>
      <c r="I578" s="179">
        <v>44803</v>
      </c>
      <c r="J578" s="578" t="s">
        <v>8</v>
      </c>
      <c r="K578" s="4" t="str">
        <f t="shared" si="66"/>
        <v>SI</v>
      </c>
      <c r="L578" s="7" t="str">
        <f t="shared" si="67"/>
        <v xml:space="preserve">N </v>
      </c>
      <c r="M578" s="7" t="str">
        <f t="shared" si="68"/>
        <v>RE</v>
      </c>
      <c r="N578" s="62" t="str">
        <f t="shared" si="69"/>
        <v>GI</v>
      </c>
      <c r="O578" s="8">
        <f t="shared" si="64"/>
        <v>45899</v>
      </c>
      <c r="P578" s="9" t="str">
        <f t="shared" ca="1" si="62"/>
        <v>ATRASADO</v>
      </c>
      <c r="Q578" s="177" t="s">
        <v>1556</v>
      </c>
      <c r="R578" s="176"/>
      <c r="S578" s="9" t="str">
        <f t="shared" si="70"/>
        <v/>
      </c>
    </row>
    <row r="579" spans="1:19" x14ac:dyDescent="0.3">
      <c r="A579" s="10">
        <v>575</v>
      </c>
      <c r="B579" s="173" t="s">
        <v>56</v>
      </c>
      <c r="C579" s="175" t="s">
        <v>2083</v>
      </c>
      <c r="D579" s="177" t="s">
        <v>2084</v>
      </c>
      <c r="E579" s="178">
        <v>25892</v>
      </c>
      <c r="F579" s="9">
        <f t="shared" ca="1" si="57"/>
        <v>55</v>
      </c>
      <c r="G579" s="179">
        <v>44011</v>
      </c>
      <c r="H579" s="177" t="s">
        <v>271</v>
      </c>
      <c r="I579" s="179">
        <v>44800</v>
      </c>
      <c r="J579" s="578" t="s">
        <v>8</v>
      </c>
      <c r="K579" s="4" t="str">
        <f t="shared" si="66"/>
        <v>SI</v>
      </c>
      <c r="L579" s="7" t="str">
        <f t="shared" si="67"/>
        <v xml:space="preserve">N </v>
      </c>
      <c r="M579" s="7" t="str">
        <f t="shared" si="68"/>
        <v>RE</v>
      </c>
      <c r="N579" s="62" t="str">
        <f t="shared" si="69"/>
        <v>GI</v>
      </c>
      <c r="O579" s="8">
        <f t="shared" si="64"/>
        <v>45896</v>
      </c>
      <c r="P579" s="9" t="str">
        <f t="shared" ca="1" si="62"/>
        <v>ATRASADO</v>
      </c>
      <c r="Q579" s="177" t="s">
        <v>1556</v>
      </c>
      <c r="R579" s="174"/>
      <c r="S579" s="9" t="str">
        <f t="shared" si="70"/>
        <v/>
      </c>
    </row>
    <row r="580" spans="1:19" x14ac:dyDescent="0.3">
      <c r="A580" s="10">
        <v>576</v>
      </c>
      <c r="B580" s="173" t="s">
        <v>56</v>
      </c>
      <c r="C580" s="175" t="s">
        <v>2085</v>
      </c>
      <c r="D580" s="177" t="s">
        <v>2086</v>
      </c>
      <c r="E580" s="178">
        <v>33273</v>
      </c>
      <c r="F580" s="9">
        <f t="shared" ca="1" si="57"/>
        <v>35</v>
      </c>
      <c r="G580" s="179">
        <v>43611</v>
      </c>
      <c r="H580" s="177" t="s">
        <v>271</v>
      </c>
      <c r="I580" s="179">
        <v>44789</v>
      </c>
      <c r="J580" s="578" t="s">
        <v>275</v>
      </c>
      <c r="K580" s="4" t="str">
        <f t="shared" si="66"/>
        <v>I</v>
      </c>
      <c r="L580" s="7" t="str">
        <f t="shared" si="67"/>
        <v>G8</v>
      </c>
      <c r="M580" s="7" t="str">
        <f t="shared" si="68"/>
        <v/>
      </c>
      <c r="N580" s="62" t="str">
        <f t="shared" si="69"/>
        <v/>
      </c>
      <c r="O580" s="8">
        <f t="shared" si="64"/>
        <v>45885</v>
      </c>
      <c r="P580" s="9" t="str">
        <f t="shared" ca="1" si="62"/>
        <v>ATRASADO</v>
      </c>
      <c r="Q580" s="177" t="s">
        <v>1556</v>
      </c>
      <c r="R580" s="176"/>
      <c r="S580" s="9" t="str">
        <f t="shared" si="70"/>
        <v/>
      </c>
    </row>
    <row r="581" spans="1:19" x14ac:dyDescent="0.3">
      <c r="A581" s="10">
        <v>577</v>
      </c>
      <c r="B581" s="173" t="s">
        <v>56</v>
      </c>
      <c r="C581" s="175" t="s">
        <v>2087</v>
      </c>
      <c r="D581" s="177" t="s">
        <v>2088</v>
      </c>
      <c r="E581" s="178">
        <v>28220</v>
      </c>
      <c r="F581" s="9">
        <f t="shared" ca="1" si="57"/>
        <v>49</v>
      </c>
      <c r="G581" s="179">
        <v>43315</v>
      </c>
      <c r="H581" s="177" t="s">
        <v>275</v>
      </c>
      <c r="I581" s="179">
        <v>44785</v>
      </c>
      <c r="J581" s="578" t="s">
        <v>993</v>
      </c>
      <c r="K581" s="4" t="str">
        <f t="shared" si="66"/>
        <v>A1</v>
      </c>
      <c r="L581" s="7" t="str">
        <f t="shared" si="67"/>
        <v>O3</v>
      </c>
      <c r="M581" s="7" t="str">
        <f t="shared" si="68"/>
        <v/>
      </c>
      <c r="N581" s="62" t="str">
        <f t="shared" si="69"/>
        <v/>
      </c>
      <c r="O581" s="8">
        <f t="shared" si="64"/>
        <v>44969</v>
      </c>
      <c r="P581" s="9" t="str">
        <f t="shared" ca="1" si="62"/>
        <v>ATRASADO</v>
      </c>
      <c r="Q581" s="177" t="s">
        <v>1556</v>
      </c>
      <c r="R581" s="174"/>
      <c r="S581" s="9" t="str">
        <f t="shared" si="70"/>
        <v>VPH</v>
      </c>
    </row>
    <row r="582" spans="1:19" x14ac:dyDescent="0.3">
      <c r="A582" s="10">
        <v>578</v>
      </c>
      <c r="B582" s="173" t="s">
        <v>56</v>
      </c>
      <c r="C582" s="175" t="s">
        <v>2089</v>
      </c>
      <c r="D582" s="177" t="s">
        <v>2090</v>
      </c>
      <c r="E582" s="178">
        <v>26804</v>
      </c>
      <c r="F582" s="9">
        <f t="shared" ca="1" si="57"/>
        <v>53</v>
      </c>
      <c r="G582" s="179">
        <v>43659</v>
      </c>
      <c r="H582" s="177" t="s">
        <v>327</v>
      </c>
      <c r="I582" s="179">
        <v>44779</v>
      </c>
      <c r="J582" s="578" t="s">
        <v>327</v>
      </c>
      <c r="K582" s="4" t="str">
        <f t="shared" si="66"/>
        <v>I</v>
      </c>
      <c r="L582" s="7" t="str">
        <f t="shared" si="67"/>
        <v>G7</v>
      </c>
      <c r="M582" s="7" t="str">
        <f t="shared" si="68"/>
        <v>S</v>
      </c>
      <c r="N582" s="62" t="str">
        <f t="shared" si="69"/>
        <v/>
      </c>
      <c r="O582" s="8">
        <f t="shared" si="64"/>
        <v>45144</v>
      </c>
      <c r="P582" s="9" t="str">
        <f t="shared" ca="1" si="62"/>
        <v>ATRASADO</v>
      </c>
      <c r="Q582" s="177" t="s">
        <v>1556</v>
      </c>
      <c r="R582" s="174"/>
      <c r="S582" s="9" t="str">
        <f t="shared" si="70"/>
        <v/>
      </c>
    </row>
    <row r="583" spans="1:19" x14ac:dyDescent="0.3">
      <c r="A583" s="10">
        <v>579</v>
      </c>
      <c r="B583" s="186" t="s">
        <v>56</v>
      </c>
      <c r="C583" s="181" t="s">
        <v>2091</v>
      </c>
      <c r="D583" s="183" t="s">
        <v>2092</v>
      </c>
      <c r="E583" s="184">
        <v>25312</v>
      </c>
      <c r="F583" s="9">
        <f t="shared" ca="1" si="57"/>
        <v>57</v>
      </c>
      <c r="G583" s="185">
        <v>44105</v>
      </c>
      <c r="H583" s="183" t="s">
        <v>8</v>
      </c>
      <c r="I583" s="185">
        <v>44775</v>
      </c>
      <c r="J583" s="578" t="s">
        <v>8</v>
      </c>
      <c r="K583" s="4" t="str">
        <f t="shared" si="66"/>
        <v>SI</v>
      </c>
      <c r="L583" s="7" t="str">
        <f t="shared" si="67"/>
        <v xml:space="preserve">N </v>
      </c>
      <c r="M583" s="7" t="str">
        <f t="shared" si="68"/>
        <v>RE</v>
      </c>
      <c r="N583" s="62" t="str">
        <f t="shared" si="69"/>
        <v>GI</v>
      </c>
      <c r="O583" s="8">
        <f t="shared" si="64"/>
        <v>45871</v>
      </c>
      <c r="P583" s="9" t="str">
        <f t="shared" ca="1" si="62"/>
        <v>ATRASADO</v>
      </c>
      <c r="Q583" s="183" t="s">
        <v>1556</v>
      </c>
      <c r="R583" s="182"/>
      <c r="S583" s="9" t="str">
        <f t="shared" si="70"/>
        <v/>
      </c>
    </row>
    <row r="584" spans="1:19" ht="16.5" customHeight="1" x14ac:dyDescent="0.3">
      <c r="A584" s="10">
        <v>580</v>
      </c>
      <c r="B584" s="186" t="s">
        <v>75</v>
      </c>
      <c r="C584" s="181" t="s">
        <v>2093</v>
      </c>
      <c r="D584" s="183" t="s">
        <v>2094</v>
      </c>
      <c r="E584" s="184">
        <v>20566</v>
      </c>
      <c r="F584" s="9">
        <f t="shared" ca="1" si="57"/>
        <v>70</v>
      </c>
      <c r="G584" s="183" t="s">
        <v>8</v>
      </c>
      <c r="H584" s="183" t="s">
        <v>271</v>
      </c>
      <c r="I584" s="185">
        <v>44777</v>
      </c>
      <c r="J584" s="578" t="s">
        <v>275</v>
      </c>
      <c r="K584" s="4" t="str">
        <f t="shared" si="66"/>
        <v>I</v>
      </c>
      <c r="L584" s="7" t="str">
        <f t="shared" si="67"/>
        <v>G8</v>
      </c>
      <c r="M584" s="7" t="str">
        <f t="shared" si="68"/>
        <v/>
      </c>
      <c r="N584" s="62" t="str">
        <f t="shared" si="69"/>
        <v/>
      </c>
      <c r="O584" s="8">
        <f t="shared" si="64"/>
        <v>45873</v>
      </c>
      <c r="P584" s="9" t="str">
        <f t="shared" ca="1" si="62"/>
        <v>ATRASADO</v>
      </c>
      <c r="Q584" s="183" t="s">
        <v>1556</v>
      </c>
      <c r="R584" s="180"/>
      <c r="S584" s="9" t="str">
        <f t="shared" si="70"/>
        <v/>
      </c>
    </row>
    <row r="585" spans="1:19" x14ac:dyDescent="0.3">
      <c r="A585" s="10">
        <v>581</v>
      </c>
      <c r="B585" s="186" t="s">
        <v>56</v>
      </c>
      <c r="C585" s="181" t="s">
        <v>2095</v>
      </c>
      <c r="D585" s="183" t="s">
        <v>2096</v>
      </c>
      <c r="E585" s="184">
        <v>31733</v>
      </c>
      <c r="F585" s="9">
        <f t="shared" ca="1" si="57"/>
        <v>39</v>
      </c>
      <c r="G585" s="185">
        <v>43930</v>
      </c>
      <c r="H585" s="183" t="s">
        <v>327</v>
      </c>
      <c r="I585" s="185">
        <v>44778</v>
      </c>
      <c r="J585" s="578" t="s">
        <v>275</v>
      </c>
      <c r="K585" s="4" t="str">
        <f t="shared" si="66"/>
        <v>I</v>
      </c>
      <c r="L585" s="7" t="str">
        <f t="shared" si="67"/>
        <v>G8</v>
      </c>
      <c r="M585" s="7" t="str">
        <f t="shared" si="68"/>
        <v/>
      </c>
      <c r="N585" s="62" t="str">
        <f t="shared" si="69"/>
        <v/>
      </c>
      <c r="O585" s="8">
        <f t="shared" si="64"/>
        <v>45874</v>
      </c>
      <c r="P585" s="9" t="str">
        <f t="shared" ca="1" si="62"/>
        <v>ATRASADO</v>
      </c>
      <c r="Q585" s="183" t="s">
        <v>1556</v>
      </c>
      <c r="R585" s="182"/>
      <c r="S585" s="9" t="str">
        <f t="shared" si="70"/>
        <v/>
      </c>
    </row>
    <row r="586" spans="1:19" x14ac:dyDescent="0.3">
      <c r="A586" s="10">
        <v>582</v>
      </c>
      <c r="B586" s="186" t="s">
        <v>45</v>
      </c>
      <c r="C586" s="181" t="s">
        <v>2097</v>
      </c>
      <c r="D586" s="183" t="s">
        <v>2098</v>
      </c>
      <c r="E586" s="184">
        <v>31785</v>
      </c>
      <c r="F586" s="9">
        <f t="shared" ca="1" si="57"/>
        <v>39</v>
      </c>
      <c r="G586" s="185">
        <v>43142</v>
      </c>
      <c r="H586" s="183" t="s">
        <v>340</v>
      </c>
      <c r="I586" s="185">
        <v>44800</v>
      </c>
      <c r="J586" s="578" t="s">
        <v>271</v>
      </c>
      <c r="K586" s="4" t="str">
        <f t="shared" si="66"/>
        <v>I</v>
      </c>
      <c r="L586" s="7" t="str">
        <f t="shared" si="67"/>
        <v>G8</v>
      </c>
      <c r="M586" s="7" t="str">
        <f t="shared" si="68"/>
        <v>J1</v>
      </c>
      <c r="N586" s="62" t="str">
        <f t="shared" si="69"/>
        <v/>
      </c>
      <c r="O586" s="8">
        <f t="shared" si="64"/>
        <v>45896</v>
      </c>
      <c r="P586" s="9" t="str">
        <f t="shared" ca="1" si="62"/>
        <v>ATRASADO</v>
      </c>
      <c r="Q586" s="183" t="s">
        <v>1556</v>
      </c>
      <c r="R586" s="182"/>
      <c r="S586" s="9" t="str">
        <f t="shared" si="70"/>
        <v/>
      </c>
    </row>
    <row r="587" spans="1:19" x14ac:dyDescent="0.3">
      <c r="A587" s="10">
        <v>583</v>
      </c>
      <c r="B587" s="186" t="s">
        <v>45</v>
      </c>
      <c r="C587" s="181" t="s">
        <v>2099</v>
      </c>
      <c r="D587" s="183" t="s">
        <v>2100</v>
      </c>
      <c r="E587" s="184">
        <v>25246</v>
      </c>
      <c r="F587" s="9">
        <f t="shared" ca="1" si="57"/>
        <v>57</v>
      </c>
      <c r="G587" s="185">
        <v>43683</v>
      </c>
      <c r="H587" s="183" t="s">
        <v>317</v>
      </c>
      <c r="I587" s="185">
        <v>44789</v>
      </c>
      <c r="J587" s="578" t="s">
        <v>275</v>
      </c>
      <c r="K587" s="4" t="str">
        <f t="shared" si="66"/>
        <v>I</v>
      </c>
      <c r="L587" s="7" t="str">
        <f t="shared" si="67"/>
        <v>G8</v>
      </c>
      <c r="M587" s="7" t="str">
        <f t="shared" si="68"/>
        <v/>
      </c>
      <c r="N587" s="62" t="str">
        <f t="shared" si="69"/>
        <v/>
      </c>
      <c r="O587" s="8">
        <f t="shared" si="64"/>
        <v>45885</v>
      </c>
      <c r="P587" s="9" t="str">
        <f t="shared" ca="1" si="62"/>
        <v>ATRASADO</v>
      </c>
      <c r="Q587" s="183" t="s">
        <v>1556</v>
      </c>
      <c r="R587" s="180"/>
      <c r="S587" s="9" t="str">
        <f t="shared" si="70"/>
        <v/>
      </c>
    </row>
    <row r="588" spans="1:19" ht="15" customHeight="1" x14ac:dyDescent="0.3">
      <c r="A588" s="10">
        <v>584</v>
      </c>
      <c r="B588" s="186" t="s">
        <v>45</v>
      </c>
      <c r="C588" s="181" t="s">
        <v>2101</v>
      </c>
      <c r="D588" s="183" t="s">
        <v>2102</v>
      </c>
      <c r="E588" s="184">
        <v>27853</v>
      </c>
      <c r="F588" s="9">
        <f t="shared" ca="1" si="57"/>
        <v>50</v>
      </c>
      <c r="G588" s="183" t="s">
        <v>8</v>
      </c>
      <c r="H588" s="183" t="s">
        <v>275</v>
      </c>
      <c r="I588" s="185">
        <v>44803</v>
      </c>
      <c r="J588" s="578" t="s">
        <v>2861</v>
      </c>
      <c r="K588" s="4" t="str">
        <f t="shared" si="66"/>
        <v>I</v>
      </c>
      <c r="L588" s="7" t="str">
        <f t="shared" si="67"/>
        <v>G7</v>
      </c>
      <c r="M588" s="7" t="str">
        <f t="shared" si="68"/>
        <v>J1</v>
      </c>
      <c r="N588" s="62" t="str">
        <f t="shared" si="69"/>
        <v/>
      </c>
      <c r="O588" s="8">
        <f t="shared" si="64"/>
        <v>45168</v>
      </c>
      <c r="P588" s="9" t="str">
        <f t="shared" ca="1" si="62"/>
        <v>ATRASADO</v>
      </c>
      <c r="Q588" s="183" t="s">
        <v>1556</v>
      </c>
      <c r="R588" s="180"/>
      <c r="S588" s="9" t="str">
        <f t="shared" si="70"/>
        <v/>
      </c>
    </row>
    <row r="589" spans="1:19" ht="16.5" customHeight="1" x14ac:dyDescent="0.3">
      <c r="A589" s="10">
        <v>585</v>
      </c>
      <c r="B589" s="186" t="s">
        <v>56</v>
      </c>
      <c r="C589" s="181" t="s">
        <v>2103</v>
      </c>
      <c r="D589" s="183" t="s">
        <v>2104</v>
      </c>
      <c r="E589" s="184">
        <v>33432</v>
      </c>
      <c r="F589" s="9">
        <f t="shared" ca="1" si="57"/>
        <v>35</v>
      </c>
      <c r="G589" s="183" t="s">
        <v>8</v>
      </c>
      <c r="H589" s="183" t="s">
        <v>275</v>
      </c>
      <c r="I589" s="185">
        <v>44803</v>
      </c>
      <c r="J589" s="578" t="s">
        <v>275</v>
      </c>
      <c r="K589" s="4" t="str">
        <f t="shared" si="66"/>
        <v>I</v>
      </c>
      <c r="L589" s="7" t="str">
        <f t="shared" si="67"/>
        <v>G8</v>
      </c>
      <c r="M589" s="7" t="str">
        <f t="shared" si="68"/>
        <v/>
      </c>
      <c r="N589" s="62" t="str">
        <f t="shared" si="69"/>
        <v/>
      </c>
      <c r="O589" s="8">
        <f t="shared" si="64"/>
        <v>45899</v>
      </c>
      <c r="P589" s="9" t="str">
        <f t="shared" ca="1" si="62"/>
        <v>ATRASADO</v>
      </c>
      <c r="Q589" s="183" t="s">
        <v>1556</v>
      </c>
      <c r="R589" s="180"/>
      <c r="S589" s="9" t="str">
        <f t="shared" si="70"/>
        <v/>
      </c>
    </row>
    <row r="590" spans="1:19" x14ac:dyDescent="0.3">
      <c r="A590" s="10">
        <v>586</v>
      </c>
      <c r="B590" s="186" t="s">
        <v>56</v>
      </c>
      <c r="C590" s="181" t="s">
        <v>2105</v>
      </c>
      <c r="D590" s="183" t="s">
        <v>2106</v>
      </c>
      <c r="E590" s="184">
        <v>29214</v>
      </c>
      <c r="F590" s="9">
        <f t="shared" ca="1" si="57"/>
        <v>46</v>
      </c>
      <c r="G590" s="185">
        <v>43598</v>
      </c>
      <c r="H590" s="183" t="s">
        <v>275</v>
      </c>
      <c r="I590" s="185">
        <v>44779</v>
      </c>
      <c r="J590" s="578" t="s">
        <v>324</v>
      </c>
      <c r="K590" s="4" t="str">
        <f t="shared" si="66"/>
        <v>G1</v>
      </c>
      <c r="L590" s="7" t="str">
        <f t="shared" si="67"/>
        <v>O5</v>
      </c>
      <c r="M590" s="7" t="str">
        <f t="shared" si="68"/>
        <v/>
      </c>
      <c r="N590" s="62" t="str">
        <f t="shared" si="69"/>
        <v/>
      </c>
      <c r="O590" s="8">
        <f t="shared" si="64"/>
        <v>44871</v>
      </c>
      <c r="P590" s="9" t="str">
        <f t="shared" ca="1" si="62"/>
        <v>ATRASADO</v>
      </c>
      <c r="Q590" s="183" t="s">
        <v>1556</v>
      </c>
      <c r="R590" s="180"/>
      <c r="S590" s="9" t="str">
        <f t="shared" si="70"/>
        <v/>
      </c>
    </row>
    <row r="591" spans="1:19" ht="16.5" customHeight="1" x14ac:dyDescent="0.3">
      <c r="A591" s="10">
        <v>587</v>
      </c>
      <c r="B591" s="186" t="s">
        <v>75</v>
      </c>
      <c r="C591" s="181" t="s">
        <v>2107</v>
      </c>
      <c r="D591" s="183" t="s">
        <v>2108</v>
      </c>
      <c r="E591" s="184">
        <v>32968</v>
      </c>
      <c r="F591" s="9">
        <f t="shared" ca="1" si="57"/>
        <v>36</v>
      </c>
      <c r="G591" s="185">
        <v>43123</v>
      </c>
      <c r="H591" s="183" t="s">
        <v>275</v>
      </c>
      <c r="I591" s="185">
        <v>44792</v>
      </c>
      <c r="J591" s="578" t="s">
        <v>271</v>
      </c>
      <c r="K591" s="4" t="str">
        <f t="shared" si="66"/>
        <v>I</v>
      </c>
      <c r="L591" s="7" t="str">
        <f t="shared" si="67"/>
        <v>G8</v>
      </c>
      <c r="M591" s="7" t="str">
        <f t="shared" si="68"/>
        <v>J1</v>
      </c>
      <c r="N591" s="62" t="str">
        <f t="shared" si="69"/>
        <v/>
      </c>
      <c r="O591" s="8">
        <f t="shared" si="64"/>
        <v>45888</v>
      </c>
      <c r="P591" s="9" t="str">
        <f t="shared" ca="1" si="62"/>
        <v>ATRASADO</v>
      </c>
      <c r="Q591" s="183" t="s">
        <v>1556</v>
      </c>
      <c r="R591" s="180"/>
      <c r="S591" s="9" t="str">
        <f t="shared" si="70"/>
        <v/>
      </c>
    </row>
    <row r="592" spans="1:19" x14ac:dyDescent="0.3">
      <c r="A592" s="10">
        <v>588</v>
      </c>
      <c r="B592" s="229" t="s">
        <v>56</v>
      </c>
      <c r="C592" s="225" t="s">
        <v>2109</v>
      </c>
      <c r="D592" s="226" t="s">
        <v>2110</v>
      </c>
      <c r="E592" s="227">
        <v>25552</v>
      </c>
      <c r="F592" s="9">
        <f t="shared" ca="1" si="57"/>
        <v>56</v>
      </c>
      <c r="G592" s="226" t="s">
        <v>8</v>
      </c>
      <c r="H592" s="226" t="s">
        <v>275</v>
      </c>
      <c r="I592" s="228">
        <v>44792</v>
      </c>
      <c r="J592" s="578" t="s">
        <v>735</v>
      </c>
      <c r="K592" s="4" t="str">
        <f t="shared" si="66"/>
        <v>G3</v>
      </c>
      <c r="L592" s="7" t="str">
        <f t="shared" si="67"/>
        <v>O5</v>
      </c>
      <c r="M592" s="7" t="str">
        <f t="shared" si="68"/>
        <v/>
      </c>
      <c r="N592" s="62" t="str">
        <f t="shared" si="69"/>
        <v/>
      </c>
      <c r="O592" s="8">
        <f t="shared" si="64"/>
        <v>44884</v>
      </c>
      <c r="P592" s="9" t="str">
        <f t="shared" ca="1" si="62"/>
        <v>ATRASADO</v>
      </c>
      <c r="Q592" s="226" t="s">
        <v>1556</v>
      </c>
      <c r="R592" s="223"/>
      <c r="S592" s="9" t="str">
        <f t="shared" si="70"/>
        <v/>
      </c>
    </row>
    <row r="593" spans="1:19" x14ac:dyDescent="0.3">
      <c r="A593" s="10">
        <v>589</v>
      </c>
      <c r="B593" s="229" t="s">
        <v>579</v>
      </c>
      <c r="C593" s="225" t="s">
        <v>2111</v>
      </c>
      <c r="D593" s="226" t="s">
        <v>2112</v>
      </c>
      <c r="E593" s="227">
        <v>33216</v>
      </c>
      <c r="F593" s="9">
        <f t="shared" ca="1" si="57"/>
        <v>35</v>
      </c>
      <c r="G593" s="228">
        <v>44094</v>
      </c>
      <c r="H593" s="226" t="s">
        <v>275</v>
      </c>
      <c r="I593" s="228">
        <v>44783</v>
      </c>
      <c r="J593" s="578" t="s">
        <v>8</v>
      </c>
      <c r="K593" s="4" t="str">
        <f t="shared" si="66"/>
        <v>SI</v>
      </c>
      <c r="L593" s="7" t="str">
        <f t="shared" si="67"/>
        <v xml:space="preserve">N </v>
      </c>
      <c r="M593" s="7" t="str">
        <f t="shared" si="68"/>
        <v>RE</v>
      </c>
      <c r="N593" s="62" t="str">
        <f t="shared" si="69"/>
        <v>GI</v>
      </c>
      <c r="O593" s="8">
        <f t="shared" si="64"/>
        <v>45879</v>
      </c>
      <c r="P593" s="9" t="str">
        <f t="shared" ca="1" si="62"/>
        <v>ATRASADO</v>
      </c>
      <c r="Q593" s="226" t="s">
        <v>1556</v>
      </c>
      <c r="R593" s="223"/>
      <c r="S593" s="9" t="str">
        <f t="shared" si="70"/>
        <v/>
      </c>
    </row>
    <row r="594" spans="1:19" x14ac:dyDescent="0.3">
      <c r="A594" s="10">
        <v>590</v>
      </c>
      <c r="B594" s="229" t="s">
        <v>56</v>
      </c>
      <c r="C594" s="225" t="s">
        <v>2113</v>
      </c>
      <c r="D594" s="226" t="s">
        <v>2114</v>
      </c>
      <c r="E594" s="227">
        <v>23494</v>
      </c>
      <c r="F594" s="9">
        <f t="shared" ca="1" si="57"/>
        <v>62</v>
      </c>
      <c r="G594" s="226" t="s">
        <v>8</v>
      </c>
      <c r="H594" s="226" t="s">
        <v>275</v>
      </c>
      <c r="I594" s="228">
        <v>44798</v>
      </c>
      <c r="J594" s="578" t="s">
        <v>327</v>
      </c>
      <c r="K594" s="4" t="str">
        <f t="shared" si="66"/>
        <v>I</v>
      </c>
      <c r="L594" s="7" t="str">
        <f t="shared" si="67"/>
        <v>G7</v>
      </c>
      <c r="M594" s="7" t="str">
        <f t="shared" si="68"/>
        <v>S</v>
      </c>
      <c r="N594" s="62" t="str">
        <f t="shared" si="69"/>
        <v/>
      </c>
      <c r="O594" s="8">
        <f t="shared" si="64"/>
        <v>45163</v>
      </c>
      <c r="P594" s="9" t="str">
        <f t="shared" ca="1" si="62"/>
        <v>ATRASADO</v>
      </c>
      <c r="Q594" s="226" t="s">
        <v>1556</v>
      </c>
      <c r="R594" s="223"/>
      <c r="S594" s="9" t="str">
        <f t="shared" si="70"/>
        <v/>
      </c>
    </row>
    <row r="595" spans="1:19" x14ac:dyDescent="0.3">
      <c r="A595" s="10">
        <v>591</v>
      </c>
      <c r="B595" s="229" t="s">
        <v>45</v>
      </c>
      <c r="C595" s="225" t="s">
        <v>2115</v>
      </c>
      <c r="D595" s="226" t="s">
        <v>2116</v>
      </c>
      <c r="E595" s="227">
        <v>21568</v>
      </c>
      <c r="F595" s="9">
        <f t="shared" ca="1" si="57"/>
        <v>67</v>
      </c>
      <c r="G595" s="226" t="s">
        <v>8</v>
      </c>
      <c r="H595" s="226" t="s">
        <v>271</v>
      </c>
      <c r="I595" s="228">
        <v>44777</v>
      </c>
      <c r="J595" s="578" t="s">
        <v>275</v>
      </c>
      <c r="K595" s="4" t="str">
        <f t="shared" si="66"/>
        <v>I</v>
      </c>
      <c r="L595" s="7" t="str">
        <f t="shared" si="67"/>
        <v>G8</v>
      </c>
      <c r="M595" s="7" t="str">
        <f t="shared" si="68"/>
        <v/>
      </c>
      <c r="N595" s="62" t="str">
        <f t="shared" si="69"/>
        <v/>
      </c>
      <c r="O595" s="8">
        <f t="shared" si="64"/>
        <v>45873</v>
      </c>
      <c r="P595" s="9" t="str">
        <f t="shared" ca="1" si="62"/>
        <v>ATRASADO</v>
      </c>
      <c r="Q595" s="226" t="s">
        <v>1556</v>
      </c>
      <c r="R595" s="223"/>
      <c r="S595" s="9" t="str">
        <f t="shared" si="70"/>
        <v/>
      </c>
    </row>
    <row r="596" spans="1:19" x14ac:dyDescent="0.3">
      <c r="A596" s="10">
        <v>592</v>
      </c>
      <c r="B596" s="229" t="s">
        <v>56</v>
      </c>
      <c r="C596" s="225" t="s">
        <v>2117</v>
      </c>
      <c r="D596" s="226" t="s">
        <v>2118</v>
      </c>
      <c r="E596" s="227">
        <v>25364</v>
      </c>
      <c r="F596" s="9">
        <f t="shared" ca="1" si="57"/>
        <v>57</v>
      </c>
      <c r="G596" s="226" t="s">
        <v>8</v>
      </c>
      <c r="H596" s="226" t="s">
        <v>8</v>
      </c>
      <c r="I596" s="228">
        <v>44790</v>
      </c>
      <c r="J596" s="578" t="s">
        <v>275</v>
      </c>
      <c r="K596" s="4" t="str">
        <f t="shared" si="66"/>
        <v>I</v>
      </c>
      <c r="L596" s="7" t="str">
        <f t="shared" si="67"/>
        <v>G8</v>
      </c>
      <c r="M596" s="7" t="str">
        <f t="shared" si="68"/>
        <v/>
      </c>
      <c r="N596" s="62" t="str">
        <f t="shared" si="69"/>
        <v/>
      </c>
      <c r="O596" s="8">
        <f t="shared" si="64"/>
        <v>45886</v>
      </c>
      <c r="P596" s="9" t="str">
        <f t="shared" ca="1" si="62"/>
        <v>ATRASADO</v>
      </c>
      <c r="Q596" s="226" t="s">
        <v>1556</v>
      </c>
      <c r="R596" s="224"/>
      <c r="S596" s="9" t="str">
        <f t="shared" si="70"/>
        <v/>
      </c>
    </row>
    <row r="597" spans="1:19" x14ac:dyDescent="0.3">
      <c r="A597" s="10">
        <v>593</v>
      </c>
      <c r="B597" s="229" t="s">
        <v>75</v>
      </c>
      <c r="C597" s="225" t="s">
        <v>2119</v>
      </c>
      <c r="D597" s="226" t="s">
        <v>2120</v>
      </c>
      <c r="E597" s="227">
        <v>26415</v>
      </c>
      <c r="F597" s="9">
        <f t="shared" ca="1" si="57"/>
        <v>54</v>
      </c>
      <c r="G597" s="228">
        <v>43119</v>
      </c>
      <c r="H597" s="226" t="s">
        <v>275</v>
      </c>
      <c r="I597" s="228">
        <v>44788</v>
      </c>
      <c r="J597" s="578" t="s">
        <v>275</v>
      </c>
      <c r="K597" s="4" t="str">
        <f t="shared" si="66"/>
        <v>I</v>
      </c>
      <c r="L597" s="7" t="str">
        <f t="shared" si="67"/>
        <v>G8</v>
      </c>
      <c r="M597" s="7" t="str">
        <f t="shared" si="68"/>
        <v/>
      </c>
      <c r="N597" s="62" t="str">
        <f t="shared" si="69"/>
        <v/>
      </c>
      <c r="O597" s="8">
        <f t="shared" si="64"/>
        <v>45884</v>
      </c>
      <c r="P597" s="9" t="str">
        <f t="shared" ca="1" si="62"/>
        <v>ATRASADO</v>
      </c>
      <c r="Q597" s="226" t="s">
        <v>1556</v>
      </c>
      <c r="R597" s="223"/>
      <c r="S597" s="9" t="str">
        <f t="shared" si="70"/>
        <v/>
      </c>
    </row>
    <row r="598" spans="1:19" x14ac:dyDescent="0.3">
      <c r="A598" s="10">
        <v>594</v>
      </c>
      <c r="B598" s="229" t="s">
        <v>56</v>
      </c>
      <c r="C598" s="225" t="s">
        <v>2121</v>
      </c>
      <c r="D598" s="226" t="s">
        <v>2122</v>
      </c>
      <c r="E598" s="227">
        <v>30073</v>
      </c>
      <c r="F598" s="9">
        <f t="shared" ca="1" si="57"/>
        <v>44</v>
      </c>
      <c r="G598" s="226" t="s">
        <v>8</v>
      </c>
      <c r="H598" s="226" t="s">
        <v>271</v>
      </c>
      <c r="I598" s="228">
        <v>44802</v>
      </c>
      <c r="J598" s="578" t="s">
        <v>8</v>
      </c>
      <c r="K598" s="4" t="str">
        <f t="shared" si="66"/>
        <v>SI</v>
      </c>
      <c r="L598" s="7" t="str">
        <f t="shared" si="67"/>
        <v xml:space="preserve">N </v>
      </c>
      <c r="M598" s="7" t="str">
        <f t="shared" si="68"/>
        <v>RE</v>
      </c>
      <c r="N598" s="62" t="str">
        <f t="shared" si="69"/>
        <v>GI</v>
      </c>
      <c r="O598" s="8">
        <f t="shared" si="64"/>
        <v>45898</v>
      </c>
      <c r="P598" s="9" t="str">
        <f t="shared" ca="1" si="62"/>
        <v>ATRASADO</v>
      </c>
      <c r="Q598" s="226" t="s">
        <v>1556</v>
      </c>
      <c r="R598" s="223"/>
      <c r="S598" s="9" t="str">
        <f t="shared" si="70"/>
        <v/>
      </c>
    </row>
    <row r="599" spans="1:19" x14ac:dyDescent="0.3">
      <c r="A599" s="10">
        <v>595</v>
      </c>
      <c r="B599" s="239" t="s">
        <v>56</v>
      </c>
      <c r="C599" s="235" t="s">
        <v>2123</v>
      </c>
      <c r="D599" s="236" t="s">
        <v>2124</v>
      </c>
      <c r="E599" s="237">
        <v>24268</v>
      </c>
      <c r="F599" s="9">
        <f t="shared" ca="1" si="57"/>
        <v>60</v>
      </c>
      <c r="G599" s="238">
        <v>43752</v>
      </c>
      <c r="H599" s="236" t="s">
        <v>275</v>
      </c>
      <c r="I599" s="238">
        <v>44800</v>
      </c>
      <c r="J599" s="578" t="s">
        <v>271</v>
      </c>
      <c r="K599" s="4" t="str">
        <f t="shared" si="66"/>
        <v>I</v>
      </c>
      <c r="L599" s="7" t="str">
        <f t="shared" si="67"/>
        <v>G8</v>
      </c>
      <c r="M599" s="7" t="str">
        <f t="shared" si="68"/>
        <v>J1</v>
      </c>
      <c r="N599" s="62" t="str">
        <f t="shared" si="69"/>
        <v/>
      </c>
      <c r="O599" s="8">
        <f t="shared" si="64"/>
        <v>45896</v>
      </c>
      <c r="P599" s="9" t="str">
        <f t="shared" ca="1" si="62"/>
        <v>ATRASADO</v>
      </c>
      <c r="Q599" s="236" t="s">
        <v>1556</v>
      </c>
      <c r="R599" s="234"/>
      <c r="S599" s="9" t="str">
        <f t="shared" si="70"/>
        <v/>
      </c>
    </row>
    <row r="600" spans="1:19" x14ac:dyDescent="0.3">
      <c r="A600" s="10">
        <v>596</v>
      </c>
      <c r="B600" s="246" t="s">
        <v>56</v>
      </c>
      <c r="C600" s="241" t="s">
        <v>2125</v>
      </c>
      <c r="D600" s="243" t="s">
        <v>2126</v>
      </c>
      <c r="E600" s="244">
        <v>21167</v>
      </c>
      <c r="F600" s="9">
        <f t="shared" ca="1" si="57"/>
        <v>68</v>
      </c>
      <c r="G600" s="243" t="s">
        <v>8</v>
      </c>
      <c r="H600" s="243" t="s">
        <v>271</v>
      </c>
      <c r="I600" s="245">
        <v>44785</v>
      </c>
      <c r="J600" s="578" t="s">
        <v>271</v>
      </c>
      <c r="K600" s="4" t="str">
        <f t="shared" si="66"/>
        <v>I</v>
      </c>
      <c r="L600" s="7" t="str">
        <f t="shared" si="67"/>
        <v>G8</v>
      </c>
      <c r="M600" s="7" t="str">
        <f t="shared" si="68"/>
        <v>J1</v>
      </c>
      <c r="N600" s="62" t="str">
        <f t="shared" si="69"/>
        <v/>
      </c>
      <c r="O600" s="8">
        <f t="shared" si="64"/>
        <v>45881</v>
      </c>
      <c r="P600" s="9" t="str">
        <f t="shared" ca="1" si="62"/>
        <v>ATRASADO</v>
      </c>
      <c r="Q600" s="243" t="s">
        <v>1556</v>
      </c>
      <c r="R600" s="242"/>
      <c r="S600" s="9" t="str">
        <f t="shared" si="70"/>
        <v/>
      </c>
    </row>
    <row r="601" spans="1:19" x14ac:dyDescent="0.3">
      <c r="A601" s="10">
        <v>597</v>
      </c>
      <c r="B601" s="246" t="s">
        <v>270</v>
      </c>
      <c r="C601" s="241" t="s">
        <v>2127</v>
      </c>
      <c r="D601" s="243" t="s">
        <v>2128</v>
      </c>
      <c r="E601" s="244">
        <v>26534</v>
      </c>
      <c r="F601" s="9">
        <f t="shared" ca="1" si="57"/>
        <v>54</v>
      </c>
      <c r="G601" s="243" t="s">
        <v>8</v>
      </c>
      <c r="H601" s="243" t="s">
        <v>275</v>
      </c>
      <c r="I601" s="245">
        <v>44779</v>
      </c>
      <c r="J601" s="578" t="s">
        <v>275</v>
      </c>
      <c r="K601" s="4" t="str">
        <f t="shared" si="66"/>
        <v>I</v>
      </c>
      <c r="L601" s="7" t="str">
        <f t="shared" si="67"/>
        <v>G8</v>
      </c>
      <c r="M601" s="7" t="str">
        <f t="shared" si="68"/>
        <v/>
      </c>
      <c r="N601" s="62" t="str">
        <f t="shared" si="69"/>
        <v/>
      </c>
      <c r="O601" s="8">
        <f t="shared" si="64"/>
        <v>45875</v>
      </c>
      <c r="P601" s="9" t="str">
        <f t="shared" ca="1" si="62"/>
        <v>ATRASADO</v>
      </c>
      <c r="Q601" s="243" t="s">
        <v>1556</v>
      </c>
      <c r="R601" s="240"/>
      <c r="S601" s="9" t="str">
        <f t="shared" si="70"/>
        <v/>
      </c>
    </row>
    <row r="602" spans="1:19" x14ac:dyDescent="0.3">
      <c r="A602" s="10">
        <v>598</v>
      </c>
      <c r="B602" s="246" t="s">
        <v>56</v>
      </c>
      <c r="C602" s="241" t="s">
        <v>2129</v>
      </c>
      <c r="D602" s="243" t="s">
        <v>2130</v>
      </c>
      <c r="E602" s="244">
        <v>33434</v>
      </c>
      <c r="F602" s="9">
        <f t="shared" ca="1" si="57"/>
        <v>35</v>
      </c>
      <c r="G602" s="243" t="s">
        <v>8</v>
      </c>
      <c r="H602" s="243" t="s">
        <v>271</v>
      </c>
      <c r="I602" s="245">
        <v>44784</v>
      </c>
      <c r="J602" s="578" t="s">
        <v>271</v>
      </c>
      <c r="K602" s="4" t="str">
        <f t="shared" si="66"/>
        <v>I</v>
      </c>
      <c r="L602" s="7" t="str">
        <f t="shared" si="67"/>
        <v>G8</v>
      </c>
      <c r="M602" s="7" t="str">
        <f t="shared" si="68"/>
        <v>J1</v>
      </c>
      <c r="N602" s="62" t="str">
        <f t="shared" si="69"/>
        <v/>
      </c>
      <c r="O602" s="8">
        <f t="shared" si="64"/>
        <v>45880</v>
      </c>
      <c r="P602" s="9" t="str">
        <f t="shared" ca="1" si="62"/>
        <v>ATRASADO</v>
      </c>
      <c r="Q602" s="243" t="s">
        <v>1556</v>
      </c>
      <c r="R602" s="240"/>
      <c r="S602" s="9" t="str">
        <f t="shared" si="70"/>
        <v/>
      </c>
    </row>
    <row r="603" spans="1:19" x14ac:dyDescent="0.3">
      <c r="A603" s="10">
        <v>599</v>
      </c>
      <c r="B603" s="246" t="s">
        <v>56</v>
      </c>
      <c r="C603" s="241" t="s">
        <v>2131</v>
      </c>
      <c r="D603" s="243" t="s">
        <v>2132</v>
      </c>
      <c r="E603" s="244">
        <v>35050</v>
      </c>
      <c r="F603" s="9">
        <f t="shared" ca="1" si="57"/>
        <v>30</v>
      </c>
      <c r="G603" s="245">
        <v>44002</v>
      </c>
      <c r="H603" s="243" t="s">
        <v>271</v>
      </c>
      <c r="I603" s="245">
        <v>44780</v>
      </c>
      <c r="J603" s="578" t="s">
        <v>271</v>
      </c>
      <c r="K603" s="4" t="str">
        <f t="shared" si="66"/>
        <v>I</v>
      </c>
      <c r="L603" s="7" t="str">
        <f t="shared" si="67"/>
        <v>G8</v>
      </c>
      <c r="M603" s="7" t="str">
        <f t="shared" si="68"/>
        <v>J1</v>
      </c>
      <c r="N603" s="62" t="str">
        <f t="shared" si="69"/>
        <v/>
      </c>
      <c r="O603" s="8">
        <f t="shared" si="64"/>
        <v>45876</v>
      </c>
      <c r="P603" s="9" t="str">
        <f t="shared" ca="1" si="62"/>
        <v>ATRASADO</v>
      </c>
      <c r="Q603" s="243" t="s">
        <v>1556</v>
      </c>
      <c r="R603" s="242"/>
      <c r="S603" s="9" t="str">
        <f t="shared" si="70"/>
        <v/>
      </c>
    </row>
    <row r="604" spans="1:19" x14ac:dyDescent="0.3">
      <c r="A604" s="10">
        <v>600</v>
      </c>
      <c r="B604" s="246" t="s">
        <v>270</v>
      </c>
      <c r="C604" s="241" t="s">
        <v>2133</v>
      </c>
      <c r="D604" s="243" t="s">
        <v>2134</v>
      </c>
      <c r="E604" s="244">
        <v>33228</v>
      </c>
      <c r="F604" s="9">
        <f t="shared" ca="1" si="57"/>
        <v>35</v>
      </c>
      <c r="G604" s="245">
        <v>43792</v>
      </c>
      <c r="H604" s="243" t="s">
        <v>271</v>
      </c>
      <c r="I604" s="245">
        <v>44781</v>
      </c>
      <c r="J604" s="578" t="s">
        <v>271</v>
      </c>
      <c r="K604" s="4" t="str">
        <f t="shared" si="66"/>
        <v>I</v>
      </c>
      <c r="L604" s="7" t="str">
        <f t="shared" si="67"/>
        <v>G8</v>
      </c>
      <c r="M604" s="7" t="str">
        <f t="shared" si="68"/>
        <v>J1</v>
      </c>
      <c r="N604" s="62" t="str">
        <f t="shared" si="69"/>
        <v/>
      </c>
      <c r="O604" s="8">
        <f t="shared" si="64"/>
        <v>45877</v>
      </c>
      <c r="P604" s="9" t="str">
        <f t="shared" ca="1" si="62"/>
        <v>ATRASADO</v>
      </c>
      <c r="Q604" s="243" t="s">
        <v>1556</v>
      </c>
      <c r="R604" s="242" t="s">
        <v>1601</v>
      </c>
      <c r="S604" s="9" t="str">
        <f t="shared" si="70"/>
        <v/>
      </c>
    </row>
    <row r="605" spans="1:19" x14ac:dyDescent="0.3">
      <c r="A605" s="10">
        <v>601</v>
      </c>
      <c r="B605" s="246" t="s">
        <v>56</v>
      </c>
      <c r="C605" s="241" t="s">
        <v>2135</v>
      </c>
      <c r="D605" s="243" t="s">
        <v>2136</v>
      </c>
      <c r="E605" s="244">
        <v>31125</v>
      </c>
      <c r="F605" s="9">
        <f t="shared" ca="1" si="57"/>
        <v>41</v>
      </c>
      <c r="G605" s="245">
        <v>43703</v>
      </c>
      <c r="H605" s="243" t="s">
        <v>275</v>
      </c>
      <c r="I605" s="245">
        <v>44775</v>
      </c>
      <c r="J605" s="578" t="s">
        <v>271</v>
      </c>
      <c r="K605" s="4" t="str">
        <f t="shared" si="66"/>
        <v>I</v>
      </c>
      <c r="L605" s="7" t="str">
        <f t="shared" si="67"/>
        <v>G8</v>
      </c>
      <c r="M605" s="7" t="str">
        <f t="shared" si="68"/>
        <v>J1</v>
      </c>
      <c r="N605" s="62" t="str">
        <f t="shared" si="69"/>
        <v/>
      </c>
      <c r="O605" s="8">
        <f t="shared" si="64"/>
        <v>45871</v>
      </c>
      <c r="P605" s="9" t="str">
        <f t="shared" ca="1" si="62"/>
        <v>ATRASADO</v>
      </c>
      <c r="Q605" s="243" t="s">
        <v>1556</v>
      </c>
      <c r="R605" s="242"/>
      <c r="S605" s="9" t="str">
        <f t="shared" si="70"/>
        <v/>
      </c>
    </row>
    <row r="606" spans="1:19" x14ac:dyDescent="0.3">
      <c r="A606" s="10">
        <v>602</v>
      </c>
      <c r="B606" s="246" t="s">
        <v>56</v>
      </c>
      <c r="C606" s="241" t="s">
        <v>2137</v>
      </c>
      <c r="D606" s="243" t="s">
        <v>2138</v>
      </c>
      <c r="E606" s="244">
        <v>25453</v>
      </c>
      <c r="F606" s="9">
        <f t="shared" ca="1" si="57"/>
        <v>57</v>
      </c>
      <c r="G606" s="245">
        <v>43612</v>
      </c>
      <c r="H606" s="243" t="s">
        <v>275</v>
      </c>
      <c r="I606" s="245">
        <v>44787</v>
      </c>
      <c r="J606" s="578" t="s">
        <v>275</v>
      </c>
      <c r="K606" s="4" t="str">
        <f t="shared" si="66"/>
        <v>I</v>
      </c>
      <c r="L606" s="7" t="str">
        <f t="shared" si="67"/>
        <v>G8</v>
      </c>
      <c r="M606" s="7" t="str">
        <f t="shared" si="68"/>
        <v/>
      </c>
      <c r="N606" s="62" t="str">
        <f t="shared" si="69"/>
        <v/>
      </c>
      <c r="O606" s="8">
        <f t="shared" si="64"/>
        <v>45883</v>
      </c>
      <c r="P606" s="9" t="str">
        <f t="shared" ca="1" si="62"/>
        <v>ATRASADO</v>
      </c>
      <c r="Q606" s="243" t="s">
        <v>1556</v>
      </c>
      <c r="R606" s="242"/>
      <c r="S606" s="9" t="str">
        <f t="shared" si="70"/>
        <v/>
      </c>
    </row>
    <row r="607" spans="1:19" x14ac:dyDescent="0.3">
      <c r="A607" s="10">
        <v>603</v>
      </c>
      <c r="B607" s="253" t="s">
        <v>56</v>
      </c>
      <c r="C607" s="248" t="s">
        <v>2139</v>
      </c>
      <c r="D607" s="250" t="s">
        <v>2140</v>
      </c>
      <c r="E607" s="251">
        <v>34126</v>
      </c>
      <c r="F607" s="9">
        <f t="shared" ca="1" si="57"/>
        <v>33</v>
      </c>
      <c r="G607" s="252">
        <v>43586</v>
      </c>
      <c r="H607" s="250" t="s">
        <v>327</v>
      </c>
      <c r="I607" s="252">
        <v>44784</v>
      </c>
      <c r="J607" s="578" t="s">
        <v>275</v>
      </c>
      <c r="K607" s="4" t="str">
        <f t="shared" si="66"/>
        <v>I</v>
      </c>
      <c r="L607" s="7" t="str">
        <f t="shared" si="67"/>
        <v>G8</v>
      </c>
      <c r="M607" s="7" t="str">
        <f t="shared" si="68"/>
        <v/>
      </c>
      <c r="N607" s="62" t="str">
        <f t="shared" si="69"/>
        <v/>
      </c>
      <c r="O607" s="8">
        <f t="shared" si="64"/>
        <v>45880</v>
      </c>
      <c r="P607" s="9" t="str">
        <f t="shared" ca="1" si="62"/>
        <v>ATRASADO</v>
      </c>
      <c r="Q607" s="250" t="s">
        <v>1556</v>
      </c>
      <c r="R607" s="247"/>
      <c r="S607" s="9" t="str">
        <f t="shared" si="70"/>
        <v/>
      </c>
    </row>
    <row r="608" spans="1:19" x14ac:dyDescent="0.3">
      <c r="A608" s="10">
        <v>604</v>
      </c>
      <c r="B608" s="253" t="s">
        <v>56</v>
      </c>
      <c r="C608" s="248" t="s">
        <v>2141</v>
      </c>
      <c r="D608" s="250" t="s">
        <v>2142</v>
      </c>
      <c r="E608" s="251">
        <v>29986</v>
      </c>
      <c r="F608" s="9">
        <f t="shared" ca="1" si="57"/>
        <v>44</v>
      </c>
      <c r="G608" s="250" t="s">
        <v>8</v>
      </c>
      <c r="H608" s="250" t="s">
        <v>271</v>
      </c>
      <c r="I608" s="252">
        <v>44774</v>
      </c>
      <c r="J608" s="578" t="s">
        <v>275</v>
      </c>
      <c r="K608" s="4" t="str">
        <f t="shared" si="66"/>
        <v>I</v>
      </c>
      <c r="L608" s="7" t="str">
        <f t="shared" si="67"/>
        <v>G8</v>
      </c>
      <c r="M608" s="7" t="str">
        <f t="shared" si="68"/>
        <v/>
      </c>
      <c r="N608" s="62" t="str">
        <f t="shared" si="69"/>
        <v/>
      </c>
      <c r="O608" s="8">
        <f t="shared" si="64"/>
        <v>45870</v>
      </c>
      <c r="P608" s="9" t="str">
        <f t="shared" ca="1" si="62"/>
        <v>ATRASADO</v>
      </c>
      <c r="Q608" s="250" t="s">
        <v>1556</v>
      </c>
      <c r="R608" s="249" t="s">
        <v>1601</v>
      </c>
      <c r="S608" s="9" t="str">
        <f t="shared" si="70"/>
        <v/>
      </c>
    </row>
    <row r="609" spans="1:19" x14ac:dyDescent="0.3">
      <c r="A609" s="10">
        <v>605</v>
      </c>
      <c r="B609" s="260" t="s">
        <v>56</v>
      </c>
      <c r="C609" s="255" t="s">
        <v>2143</v>
      </c>
      <c r="D609" s="257" t="s">
        <v>2144</v>
      </c>
      <c r="E609" s="258">
        <v>22786</v>
      </c>
      <c r="F609" s="9">
        <f t="shared" ca="1" si="57"/>
        <v>64</v>
      </c>
      <c r="G609" s="259">
        <v>43270</v>
      </c>
      <c r="H609" s="257" t="s">
        <v>327</v>
      </c>
      <c r="I609" s="259">
        <v>44799</v>
      </c>
      <c r="J609" s="578" t="s">
        <v>275</v>
      </c>
      <c r="K609" s="4" t="str">
        <f t="shared" si="66"/>
        <v>I</v>
      </c>
      <c r="L609" s="7" t="str">
        <f t="shared" si="67"/>
        <v>G8</v>
      </c>
      <c r="M609" s="7" t="str">
        <f t="shared" si="68"/>
        <v/>
      </c>
      <c r="N609" s="62" t="str">
        <f t="shared" si="69"/>
        <v/>
      </c>
      <c r="O609" s="8">
        <f t="shared" si="64"/>
        <v>45895</v>
      </c>
      <c r="P609" s="9" t="str">
        <f t="shared" ca="1" si="62"/>
        <v>ATRASADO</v>
      </c>
      <c r="Q609" s="257" t="s">
        <v>1556</v>
      </c>
      <c r="R609" s="254"/>
      <c r="S609" s="9" t="str">
        <f t="shared" si="70"/>
        <v/>
      </c>
    </row>
    <row r="610" spans="1:19" x14ac:dyDescent="0.3">
      <c r="A610" s="10">
        <v>606</v>
      </c>
      <c r="B610" s="260" t="s">
        <v>56</v>
      </c>
      <c r="C610" s="255" t="s">
        <v>2145</v>
      </c>
      <c r="D610" s="257" t="s">
        <v>2146</v>
      </c>
      <c r="E610" s="258">
        <v>32575</v>
      </c>
      <c r="F610" s="9">
        <f t="shared" ca="1" si="57"/>
        <v>37</v>
      </c>
      <c r="G610" s="259">
        <v>44298</v>
      </c>
      <c r="H610" s="257" t="s">
        <v>275</v>
      </c>
      <c r="I610" s="259">
        <v>44789</v>
      </c>
      <c r="J610" s="578" t="s">
        <v>275</v>
      </c>
      <c r="K610" s="4" t="str">
        <f t="shared" si="66"/>
        <v>I</v>
      </c>
      <c r="L610" s="7" t="str">
        <f t="shared" si="67"/>
        <v>G8</v>
      </c>
      <c r="M610" s="7" t="str">
        <f t="shared" si="68"/>
        <v/>
      </c>
      <c r="N610" s="62" t="str">
        <f t="shared" si="69"/>
        <v/>
      </c>
      <c r="O610" s="8">
        <f t="shared" si="64"/>
        <v>45885</v>
      </c>
      <c r="P610" s="9" t="str">
        <f t="shared" ca="1" si="62"/>
        <v>ATRASADO</v>
      </c>
      <c r="Q610" s="257" t="s">
        <v>1556</v>
      </c>
      <c r="R610" s="254"/>
      <c r="S610" s="9" t="str">
        <f t="shared" si="70"/>
        <v/>
      </c>
    </row>
    <row r="611" spans="1:19" x14ac:dyDescent="0.3">
      <c r="A611" s="10">
        <v>607</v>
      </c>
      <c r="B611" s="260" t="s">
        <v>56</v>
      </c>
      <c r="C611" s="255" t="s">
        <v>2147</v>
      </c>
      <c r="D611" s="257" t="s">
        <v>2148</v>
      </c>
      <c r="E611" s="258">
        <v>33512</v>
      </c>
      <c r="F611" s="9">
        <f t="shared" ca="1" si="57"/>
        <v>35</v>
      </c>
      <c r="G611" s="257" t="s">
        <v>8</v>
      </c>
      <c r="H611" s="257" t="s">
        <v>275</v>
      </c>
      <c r="I611" s="259">
        <v>44790</v>
      </c>
      <c r="J611" s="578" t="s">
        <v>275</v>
      </c>
      <c r="K611" s="4" t="str">
        <f t="shared" si="66"/>
        <v>I</v>
      </c>
      <c r="L611" s="7" t="str">
        <f t="shared" si="67"/>
        <v>G8</v>
      </c>
      <c r="M611" s="7" t="str">
        <f t="shared" si="68"/>
        <v/>
      </c>
      <c r="N611" s="62" t="str">
        <f t="shared" si="69"/>
        <v/>
      </c>
      <c r="O611" s="8">
        <f t="shared" si="64"/>
        <v>45886</v>
      </c>
      <c r="P611" s="9" t="str">
        <f t="shared" ca="1" si="62"/>
        <v>ATRASADO</v>
      </c>
      <c r="Q611" s="257" t="s">
        <v>1556</v>
      </c>
      <c r="R611" s="254"/>
      <c r="S611" s="9" t="str">
        <f t="shared" si="70"/>
        <v/>
      </c>
    </row>
    <row r="612" spans="1:19" x14ac:dyDescent="0.3">
      <c r="A612" s="10">
        <v>608</v>
      </c>
      <c r="B612" s="260" t="s">
        <v>56</v>
      </c>
      <c r="C612" s="255" t="s">
        <v>2149</v>
      </c>
      <c r="D612" s="257" t="s">
        <v>2150</v>
      </c>
      <c r="E612" s="258">
        <v>30624</v>
      </c>
      <c r="F612" s="9">
        <f t="shared" ca="1" si="57"/>
        <v>42</v>
      </c>
      <c r="G612" s="259">
        <v>43325</v>
      </c>
      <c r="H612" s="257" t="s">
        <v>8</v>
      </c>
      <c r="I612" s="259">
        <v>44781</v>
      </c>
      <c r="J612" s="578" t="s">
        <v>275</v>
      </c>
      <c r="K612" s="4" t="str">
        <f t="shared" si="66"/>
        <v>I</v>
      </c>
      <c r="L612" s="7" t="str">
        <f t="shared" si="67"/>
        <v>G8</v>
      </c>
      <c r="M612" s="7" t="str">
        <f t="shared" si="68"/>
        <v/>
      </c>
      <c r="N612" s="62" t="str">
        <f t="shared" si="69"/>
        <v/>
      </c>
      <c r="O612" s="8">
        <f t="shared" si="64"/>
        <v>45877</v>
      </c>
      <c r="P612" s="9" t="str">
        <f t="shared" ca="1" si="62"/>
        <v>ATRASADO</v>
      </c>
      <c r="Q612" s="257" t="s">
        <v>1556</v>
      </c>
      <c r="R612" s="256"/>
      <c r="S612" s="9" t="str">
        <f t="shared" si="70"/>
        <v/>
      </c>
    </row>
    <row r="613" spans="1:19" x14ac:dyDescent="0.3">
      <c r="A613" s="10">
        <v>609</v>
      </c>
      <c r="B613" s="260" t="s">
        <v>56</v>
      </c>
      <c r="C613" s="255" t="s">
        <v>2151</v>
      </c>
      <c r="D613" s="257" t="s">
        <v>2152</v>
      </c>
      <c r="E613" s="258">
        <v>22863</v>
      </c>
      <c r="F613" s="9">
        <f t="shared" ca="1" si="57"/>
        <v>64</v>
      </c>
      <c r="G613" s="259">
        <v>43823</v>
      </c>
      <c r="H613" s="257" t="s">
        <v>275</v>
      </c>
      <c r="I613" s="259">
        <v>44784</v>
      </c>
      <c r="J613" s="578" t="s">
        <v>8</v>
      </c>
      <c r="K613" s="4" t="str">
        <f t="shared" si="66"/>
        <v>SI</v>
      </c>
      <c r="L613" s="7" t="str">
        <f t="shared" si="67"/>
        <v xml:space="preserve">N </v>
      </c>
      <c r="M613" s="7" t="str">
        <f t="shared" si="68"/>
        <v>RE</v>
      </c>
      <c r="N613" s="62" t="str">
        <f t="shared" si="69"/>
        <v>GI</v>
      </c>
      <c r="O613" s="8">
        <f t="shared" si="64"/>
        <v>45880</v>
      </c>
      <c r="P613" s="9" t="str">
        <f t="shared" ca="1" si="62"/>
        <v>ATRASADO</v>
      </c>
      <c r="Q613" s="257" t="s">
        <v>1556</v>
      </c>
      <c r="R613" s="254"/>
      <c r="S613" s="9" t="str">
        <f t="shared" si="70"/>
        <v/>
      </c>
    </row>
    <row r="614" spans="1:19" x14ac:dyDescent="0.3">
      <c r="A614" s="10">
        <v>610</v>
      </c>
      <c r="B614" s="260" t="s">
        <v>45</v>
      </c>
      <c r="C614" s="255" t="s">
        <v>2153</v>
      </c>
      <c r="D614" s="257" t="s">
        <v>2154</v>
      </c>
      <c r="E614" s="258">
        <v>22439</v>
      </c>
      <c r="F614" s="9">
        <f t="shared" ca="1" si="57"/>
        <v>65</v>
      </c>
      <c r="G614" s="257" t="s">
        <v>8</v>
      </c>
      <c r="H614" s="257" t="s">
        <v>271</v>
      </c>
      <c r="I614" s="259">
        <v>44795</v>
      </c>
      <c r="J614" s="578" t="s">
        <v>8</v>
      </c>
      <c r="K614" s="4" t="str">
        <f t="shared" si="66"/>
        <v>SI</v>
      </c>
      <c r="L614" s="7" t="str">
        <f t="shared" si="67"/>
        <v xml:space="preserve">N </v>
      </c>
      <c r="M614" s="7" t="str">
        <f t="shared" si="68"/>
        <v>RE</v>
      </c>
      <c r="N614" s="62" t="str">
        <f t="shared" si="69"/>
        <v>GI</v>
      </c>
      <c r="O614" s="8">
        <f t="shared" si="64"/>
        <v>45891</v>
      </c>
      <c r="P614" s="9" t="str">
        <f t="shared" ca="1" si="62"/>
        <v>ATRASADO</v>
      </c>
      <c r="Q614" s="257" t="s">
        <v>1556</v>
      </c>
      <c r="R614" s="254"/>
      <c r="S614" s="9" t="str">
        <f t="shared" si="70"/>
        <v/>
      </c>
    </row>
    <row r="615" spans="1:19" x14ac:dyDescent="0.3">
      <c r="A615" s="10">
        <v>611</v>
      </c>
      <c r="B615" s="267" t="s">
        <v>56</v>
      </c>
      <c r="C615" s="262" t="s">
        <v>2155</v>
      </c>
      <c r="D615" s="264" t="s">
        <v>2156</v>
      </c>
      <c r="E615" s="265">
        <v>32623</v>
      </c>
      <c r="F615" s="9">
        <f t="shared" ca="1" si="57"/>
        <v>37</v>
      </c>
      <c r="G615" s="266">
        <v>43590</v>
      </c>
      <c r="H615" s="264" t="s">
        <v>8</v>
      </c>
      <c r="I615" s="266">
        <v>44804</v>
      </c>
      <c r="J615" s="578" t="s">
        <v>275</v>
      </c>
      <c r="K615" s="4" t="str">
        <f t="shared" si="66"/>
        <v>I</v>
      </c>
      <c r="L615" s="7" t="str">
        <f t="shared" si="67"/>
        <v>G8</v>
      </c>
      <c r="M615" s="7" t="str">
        <f t="shared" si="68"/>
        <v/>
      </c>
      <c r="N615" s="62" t="str">
        <f t="shared" si="69"/>
        <v/>
      </c>
      <c r="O615" s="8">
        <f t="shared" si="64"/>
        <v>45900</v>
      </c>
      <c r="P615" s="9" t="str">
        <f t="shared" ca="1" si="62"/>
        <v>ATRASADO</v>
      </c>
      <c r="Q615" s="264" t="s">
        <v>1556</v>
      </c>
      <c r="R615" s="261"/>
      <c r="S615" s="9" t="str">
        <f t="shared" si="70"/>
        <v/>
      </c>
    </row>
    <row r="616" spans="1:19" x14ac:dyDescent="0.3">
      <c r="A616" s="10">
        <v>612</v>
      </c>
      <c r="B616" s="267" t="s">
        <v>56</v>
      </c>
      <c r="C616" s="262" t="s">
        <v>2157</v>
      </c>
      <c r="D616" s="264" t="s">
        <v>2158</v>
      </c>
      <c r="E616" s="265">
        <v>31805</v>
      </c>
      <c r="F616" s="9">
        <f t="shared" ca="1" si="57"/>
        <v>39</v>
      </c>
      <c r="G616" s="266">
        <v>44404</v>
      </c>
      <c r="H616" s="264" t="s">
        <v>271</v>
      </c>
      <c r="I616" s="266">
        <v>44791</v>
      </c>
      <c r="J616" s="578" t="s">
        <v>275</v>
      </c>
      <c r="K616" s="4" t="str">
        <f t="shared" si="66"/>
        <v>I</v>
      </c>
      <c r="L616" s="7" t="str">
        <f t="shared" si="67"/>
        <v>G8</v>
      </c>
      <c r="M616" s="7" t="str">
        <f t="shared" si="68"/>
        <v/>
      </c>
      <c r="N616" s="62" t="str">
        <f t="shared" si="69"/>
        <v/>
      </c>
      <c r="O616" s="8">
        <f t="shared" si="64"/>
        <v>45887</v>
      </c>
      <c r="P616" s="9" t="str">
        <f t="shared" ca="1" si="62"/>
        <v>ATRASADO</v>
      </c>
      <c r="Q616" s="264" t="s">
        <v>1556</v>
      </c>
      <c r="R616" s="261"/>
      <c r="S616" s="9" t="str">
        <f t="shared" si="70"/>
        <v/>
      </c>
    </row>
    <row r="617" spans="1:19" ht="15" customHeight="1" x14ac:dyDescent="0.3">
      <c r="A617" s="10">
        <v>613</v>
      </c>
      <c r="B617" s="267" t="s">
        <v>346</v>
      </c>
      <c r="C617" s="262" t="s">
        <v>2159</v>
      </c>
      <c r="D617" s="264" t="s">
        <v>2160</v>
      </c>
      <c r="E617" s="265">
        <v>23418</v>
      </c>
      <c r="F617" s="9">
        <f t="shared" ca="1" si="57"/>
        <v>62</v>
      </c>
      <c r="G617" s="266">
        <v>44081</v>
      </c>
      <c r="H617" s="264" t="s">
        <v>275</v>
      </c>
      <c r="I617" s="266">
        <v>44776</v>
      </c>
      <c r="J617" s="578" t="s">
        <v>275</v>
      </c>
      <c r="K617" s="4" t="str">
        <f t="shared" si="66"/>
        <v>I</v>
      </c>
      <c r="L617" s="7" t="str">
        <f t="shared" si="67"/>
        <v>G8</v>
      </c>
      <c r="M617" s="7" t="str">
        <f t="shared" si="68"/>
        <v/>
      </c>
      <c r="N617" s="62" t="str">
        <f t="shared" si="69"/>
        <v/>
      </c>
      <c r="O617" s="8">
        <f t="shared" si="64"/>
        <v>45872</v>
      </c>
      <c r="P617" s="9" t="str">
        <f t="shared" ca="1" si="62"/>
        <v>ATRASADO</v>
      </c>
      <c r="Q617" s="264" t="s">
        <v>1556</v>
      </c>
      <c r="R617" s="261"/>
      <c r="S617" s="9" t="str">
        <f t="shared" si="70"/>
        <v/>
      </c>
    </row>
    <row r="618" spans="1:19" x14ac:dyDescent="0.3">
      <c r="A618" s="10">
        <v>614</v>
      </c>
      <c r="B618" s="267" t="s">
        <v>78</v>
      </c>
      <c r="C618" s="262" t="s">
        <v>2161</v>
      </c>
      <c r="D618" s="264" t="s">
        <v>2162</v>
      </c>
      <c r="E618" s="265">
        <v>23264</v>
      </c>
      <c r="F618" s="9">
        <f t="shared" ca="1" si="57"/>
        <v>63</v>
      </c>
      <c r="G618" s="266">
        <v>44321</v>
      </c>
      <c r="H618" s="264" t="s">
        <v>271</v>
      </c>
      <c r="I618" s="266">
        <v>44798</v>
      </c>
      <c r="J618" s="578" t="s">
        <v>271</v>
      </c>
      <c r="K618" s="4" t="str">
        <f t="shared" si="66"/>
        <v>I</v>
      </c>
      <c r="L618" s="7" t="str">
        <f t="shared" si="67"/>
        <v>G8</v>
      </c>
      <c r="M618" s="7" t="str">
        <f t="shared" si="68"/>
        <v>J1</v>
      </c>
      <c r="N618" s="62" t="str">
        <f t="shared" si="69"/>
        <v/>
      </c>
      <c r="O618" s="8">
        <f t="shared" si="64"/>
        <v>45894</v>
      </c>
      <c r="P618" s="9" t="str">
        <f t="shared" ca="1" si="62"/>
        <v>ATRASADO</v>
      </c>
      <c r="Q618" s="264" t="s">
        <v>1556</v>
      </c>
      <c r="R618" s="261"/>
      <c r="S618" s="9" t="str">
        <f t="shared" si="70"/>
        <v/>
      </c>
    </row>
    <row r="619" spans="1:19" x14ac:dyDescent="0.3">
      <c r="A619" s="10">
        <v>615</v>
      </c>
      <c r="B619" s="267" t="s">
        <v>45</v>
      </c>
      <c r="C619" s="262" t="s">
        <v>2163</v>
      </c>
      <c r="D619" s="264" t="s">
        <v>2164</v>
      </c>
      <c r="E619" s="265">
        <v>30876</v>
      </c>
      <c r="F619" s="9">
        <f t="shared" ca="1" si="57"/>
        <v>42</v>
      </c>
      <c r="G619" s="266">
        <v>43349</v>
      </c>
      <c r="H619" s="264" t="s">
        <v>275</v>
      </c>
      <c r="I619" s="266">
        <v>44786</v>
      </c>
      <c r="J619" s="578" t="s">
        <v>271</v>
      </c>
      <c r="K619" s="4" t="str">
        <f t="shared" si="66"/>
        <v>I</v>
      </c>
      <c r="L619" s="7" t="str">
        <f t="shared" si="67"/>
        <v>G8</v>
      </c>
      <c r="M619" s="7" t="str">
        <f t="shared" si="68"/>
        <v>J1</v>
      </c>
      <c r="N619" s="62" t="str">
        <f t="shared" si="69"/>
        <v/>
      </c>
      <c r="O619" s="8">
        <f t="shared" si="64"/>
        <v>45882</v>
      </c>
      <c r="P619" s="9" t="str">
        <f t="shared" ca="1" si="62"/>
        <v>ATRASADO</v>
      </c>
      <c r="Q619" s="264" t="s">
        <v>1556</v>
      </c>
      <c r="R619" s="263"/>
      <c r="S619" s="9" t="str">
        <f t="shared" ref="S619:S682" si="71">IF(OR(K619="T1",L619="T1",M619="T1",N619="T1",),"LESION SOSPECHOSA A UPC",IF(OR(K619="T2",L619="T2",M619="T2",N619="T2",),"DERIVAR A UPC POR SEGUNDO ATIPICO",IF(OR(K619="J2",L619="J2",M619="J2",N619="J2",),"TRICOMONAS",IF(OR(K619="J3",L619="J3",M619="J3",N619="J3",),"HERPES SIMPLEX",IF(OR(K619="J5",L619="J5",M619="J5",N619="J5",),"CANDIDA",IF(OR(K619="J6",L619="J6",M619="J6",N619="J6",),"ACTINOMYCES",IF(OR(K619="A1",L619="A1",M619="A1",N619="A1",),"VPH",IF(OR(K619="ASC-H",L619="ASC-H",M619="ASC-H",K619="H2",K619="H3",K619="H4",N619="ASC-H",K619="AGUS",L619="AGUS",L619="H2",L619="H3",L619="H4",M619="AGUS",M619="H2",M619="H3",M619="H4",N619="AGUS",N619="H2",N619="H3",N619="H4"),"MANDAR A UPC / COLPOSCOPIA",IF(OR(K619="A",K619="B",K619="C",K619="D",K619="D0",K619="D1",K619="D2",K619="D3",K619="E",K619="E1",K619="E2",K619="K",K619="T",L619="A",L619="B",L619="C",L619="D",L619="D0",L619="D1",L619="D2",L619="D3",L619="E",L619="E1",L619="E2",L619="K",L619="T",M619="A",M619="B",M619="C",M619="D",M619="D0",M619="D1",M619="D2",M619="D3",M619="E",M619="E1",M619="E2",M619="K",M619="T",N619="A",N619="B",N619="C",N619="D",N619="D0",N619="D1",K619="D2",N619="D2",N619="D3",N619="E",N619="E1",N619="E2",N619="K",N619="T",),"CITAR A UPC","")))))))))</f>
        <v/>
      </c>
    </row>
    <row r="620" spans="1:19" x14ac:dyDescent="0.3">
      <c r="A620" s="10">
        <v>616</v>
      </c>
      <c r="B620" s="267" t="s">
        <v>56</v>
      </c>
      <c r="C620" s="262" t="s">
        <v>2165</v>
      </c>
      <c r="D620" s="264" t="s">
        <v>2166</v>
      </c>
      <c r="E620" s="265">
        <v>28631</v>
      </c>
      <c r="F620" s="9">
        <f t="shared" ca="1" si="57"/>
        <v>48</v>
      </c>
      <c r="G620" s="266">
        <v>43217</v>
      </c>
      <c r="H620" s="264" t="s">
        <v>340</v>
      </c>
      <c r="I620" s="266">
        <v>44804</v>
      </c>
      <c r="J620" s="578" t="s">
        <v>271</v>
      </c>
      <c r="K620" s="4" t="str">
        <f t="shared" si="66"/>
        <v>I</v>
      </c>
      <c r="L620" s="7" t="str">
        <f t="shared" si="67"/>
        <v>G8</v>
      </c>
      <c r="M620" s="7" t="str">
        <f t="shared" si="68"/>
        <v>J1</v>
      </c>
      <c r="N620" s="62" t="str">
        <f t="shared" si="69"/>
        <v/>
      </c>
      <c r="O620" s="8">
        <f t="shared" si="64"/>
        <v>45900</v>
      </c>
      <c r="P620" s="9" t="str">
        <f t="shared" ca="1" si="62"/>
        <v>ATRASADO</v>
      </c>
      <c r="Q620" s="264" t="s">
        <v>1556</v>
      </c>
      <c r="R620" s="261"/>
      <c r="S620" s="9" t="str">
        <f t="shared" si="71"/>
        <v/>
      </c>
    </row>
    <row r="621" spans="1:19" x14ac:dyDescent="0.3">
      <c r="A621" s="10">
        <v>617</v>
      </c>
      <c r="B621" s="267" t="s">
        <v>56</v>
      </c>
      <c r="C621" s="262" t="s">
        <v>2167</v>
      </c>
      <c r="D621" s="264" t="s">
        <v>2168</v>
      </c>
      <c r="E621" s="265">
        <v>21276</v>
      </c>
      <c r="F621" s="9">
        <f t="shared" ca="1" si="57"/>
        <v>68</v>
      </c>
      <c r="G621" s="264" t="s">
        <v>8</v>
      </c>
      <c r="H621" s="264" t="s">
        <v>275</v>
      </c>
      <c r="I621" s="266">
        <v>44801</v>
      </c>
      <c r="J621" s="578" t="s">
        <v>8</v>
      </c>
      <c r="K621" s="4" t="str">
        <f t="shared" si="66"/>
        <v>SI</v>
      </c>
      <c r="L621" s="7" t="str">
        <f t="shared" si="67"/>
        <v xml:space="preserve">N </v>
      </c>
      <c r="M621" s="7" t="str">
        <f t="shared" si="68"/>
        <v>RE</v>
      </c>
      <c r="N621" s="62" t="str">
        <f t="shared" si="69"/>
        <v>GI</v>
      </c>
      <c r="O621" s="8">
        <f t="shared" si="64"/>
        <v>45897</v>
      </c>
      <c r="P621" s="9" t="str">
        <f t="shared" ca="1" si="62"/>
        <v>ATRASADO</v>
      </c>
      <c r="Q621" s="264" t="s">
        <v>1556</v>
      </c>
      <c r="R621" s="261"/>
      <c r="S621" s="9" t="str">
        <f t="shared" si="71"/>
        <v/>
      </c>
    </row>
    <row r="622" spans="1:19" x14ac:dyDescent="0.3">
      <c r="A622" s="10">
        <v>618</v>
      </c>
      <c r="B622" s="267" t="s">
        <v>270</v>
      </c>
      <c r="C622" s="262" t="s">
        <v>2169</v>
      </c>
      <c r="D622" s="264" t="s">
        <v>2170</v>
      </c>
      <c r="E622" s="265">
        <v>31544</v>
      </c>
      <c r="F622" s="9">
        <f t="shared" ca="1" si="57"/>
        <v>40</v>
      </c>
      <c r="G622" s="266">
        <v>43325</v>
      </c>
      <c r="H622" s="264" t="s">
        <v>8</v>
      </c>
      <c r="I622" s="266">
        <v>44797</v>
      </c>
      <c r="J622" s="578" t="s">
        <v>271</v>
      </c>
      <c r="K622" s="4" t="str">
        <f t="shared" si="66"/>
        <v>I</v>
      </c>
      <c r="L622" s="7" t="str">
        <f t="shared" si="67"/>
        <v>G8</v>
      </c>
      <c r="M622" s="7" t="str">
        <f t="shared" si="68"/>
        <v>J1</v>
      </c>
      <c r="N622" s="62" t="str">
        <f t="shared" si="69"/>
        <v/>
      </c>
      <c r="O622" s="8">
        <f t="shared" si="64"/>
        <v>45893</v>
      </c>
      <c r="P622" s="9" t="str">
        <f t="shared" ca="1" si="62"/>
        <v>ATRASADO</v>
      </c>
      <c r="Q622" s="264" t="s">
        <v>1556</v>
      </c>
      <c r="R622" s="261"/>
      <c r="S622" s="9" t="str">
        <f t="shared" si="71"/>
        <v/>
      </c>
    </row>
    <row r="623" spans="1:19" x14ac:dyDescent="0.3">
      <c r="A623" s="10">
        <v>619</v>
      </c>
      <c r="B623" s="267" t="s">
        <v>111</v>
      </c>
      <c r="C623" s="262" t="s">
        <v>2171</v>
      </c>
      <c r="D623" s="264" t="s">
        <v>2172</v>
      </c>
      <c r="E623" s="265">
        <v>25564</v>
      </c>
      <c r="F623" s="9">
        <f t="shared" ca="1" si="57"/>
        <v>56</v>
      </c>
      <c r="G623" s="264" t="s">
        <v>8</v>
      </c>
      <c r="H623" s="264" t="s">
        <v>8</v>
      </c>
      <c r="I623" s="266">
        <v>44779</v>
      </c>
      <c r="J623" s="578" t="s">
        <v>275</v>
      </c>
      <c r="K623" s="4" t="str">
        <f t="shared" si="66"/>
        <v>I</v>
      </c>
      <c r="L623" s="7" t="str">
        <f t="shared" si="67"/>
        <v>G8</v>
      </c>
      <c r="M623" s="7" t="str">
        <f t="shared" si="68"/>
        <v/>
      </c>
      <c r="N623" s="62" t="str">
        <f t="shared" si="69"/>
        <v/>
      </c>
      <c r="O623" s="8">
        <f t="shared" si="64"/>
        <v>45875</v>
      </c>
      <c r="P623" s="9" t="str">
        <f t="shared" ca="1" si="62"/>
        <v>ATRASADO</v>
      </c>
      <c r="Q623" s="264" t="s">
        <v>1556</v>
      </c>
      <c r="R623" s="261"/>
      <c r="S623" s="9" t="str">
        <f t="shared" si="71"/>
        <v/>
      </c>
    </row>
    <row r="624" spans="1:19" x14ac:dyDescent="0.3">
      <c r="A624" s="10">
        <v>620</v>
      </c>
      <c r="B624" s="267" t="s">
        <v>56</v>
      </c>
      <c r="C624" s="262" t="s">
        <v>2173</v>
      </c>
      <c r="D624" s="264" t="s">
        <v>2174</v>
      </c>
      <c r="E624" s="265">
        <v>27113</v>
      </c>
      <c r="F624" s="9">
        <f t="shared" ca="1" si="57"/>
        <v>52</v>
      </c>
      <c r="G624" s="264" t="s">
        <v>8</v>
      </c>
      <c r="H624" s="264" t="s">
        <v>275</v>
      </c>
      <c r="I624" s="266">
        <v>44797</v>
      </c>
      <c r="J624" s="578" t="s">
        <v>8</v>
      </c>
      <c r="K624" s="4" t="str">
        <f t="shared" si="66"/>
        <v>SI</v>
      </c>
      <c r="L624" s="7" t="str">
        <f t="shared" si="67"/>
        <v xml:space="preserve">N </v>
      </c>
      <c r="M624" s="7" t="str">
        <f t="shared" si="68"/>
        <v>RE</v>
      </c>
      <c r="N624" s="62" t="str">
        <f t="shared" si="69"/>
        <v>GI</v>
      </c>
      <c r="O624" s="8">
        <f t="shared" si="64"/>
        <v>45893</v>
      </c>
      <c r="P624" s="9" t="str">
        <f t="shared" ca="1" si="62"/>
        <v>ATRASADO</v>
      </c>
      <c r="Q624" s="264" t="s">
        <v>1556</v>
      </c>
      <c r="R624" s="263"/>
      <c r="S624" s="9" t="str">
        <f t="shared" si="71"/>
        <v/>
      </c>
    </row>
    <row r="625" spans="1:19" x14ac:dyDescent="0.3">
      <c r="A625" s="10">
        <v>621</v>
      </c>
      <c r="B625" s="267" t="s">
        <v>45</v>
      </c>
      <c r="C625" s="262" t="s">
        <v>2175</v>
      </c>
      <c r="D625" s="264" t="s">
        <v>2176</v>
      </c>
      <c r="E625" s="265">
        <v>28256</v>
      </c>
      <c r="F625" s="9">
        <f t="shared" ca="1" si="57"/>
        <v>49</v>
      </c>
      <c r="G625" s="266">
        <v>43323</v>
      </c>
      <c r="H625" s="264" t="s">
        <v>300</v>
      </c>
      <c r="I625" s="266">
        <v>44791</v>
      </c>
      <c r="J625" s="578" t="s">
        <v>275</v>
      </c>
      <c r="K625" s="4" t="str">
        <f t="shared" si="66"/>
        <v>I</v>
      </c>
      <c r="L625" s="7" t="str">
        <f t="shared" si="67"/>
        <v>G8</v>
      </c>
      <c r="M625" s="7" t="str">
        <f t="shared" si="68"/>
        <v/>
      </c>
      <c r="N625" s="62" t="str">
        <f t="shared" si="69"/>
        <v/>
      </c>
      <c r="O625" s="8">
        <f t="shared" si="64"/>
        <v>45887</v>
      </c>
      <c r="P625" s="9" t="str">
        <f t="shared" ca="1" si="62"/>
        <v>ATRASADO</v>
      </c>
      <c r="Q625" s="264" t="s">
        <v>1556</v>
      </c>
      <c r="R625" s="261"/>
      <c r="S625" s="9" t="str">
        <f t="shared" si="71"/>
        <v/>
      </c>
    </row>
    <row r="626" spans="1:19" x14ac:dyDescent="0.3">
      <c r="A626" s="10">
        <v>622</v>
      </c>
      <c r="B626" s="273" t="s">
        <v>75</v>
      </c>
      <c r="C626" s="269" t="s">
        <v>2177</v>
      </c>
      <c r="D626" s="270" t="s">
        <v>2178</v>
      </c>
      <c r="E626" s="271">
        <v>24793</v>
      </c>
      <c r="F626" s="9">
        <f t="shared" ca="1" si="57"/>
        <v>58</v>
      </c>
      <c r="G626" s="272">
        <v>44182</v>
      </c>
      <c r="H626" s="270" t="s">
        <v>735</v>
      </c>
      <c r="I626" s="272">
        <v>44791</v>
      </c>
      <c r="J626" s="578" t="s">
        <v>275</v>
      </c>
      <c r="K626" s="4" t="str">
        <f t="shared" si="66"/>
        <v>I</v>
      </c>
      <c r="L626" s="7" t="str">
        <f t="shared" si="67"/>
        <v>G8</v>
      </c>
      <c r="M626" s="7" t="str">
        <f t="shared" si="68"/>
        <v/>
      </c>
      <c r="N626" s="62" t="str">
        <f t="shared" si="69"/>
        <v/>
      </c>
      <c r="O626" s="8">
        <f t="shared" si="64"/>
        <v>45887</v>
      </c>
      <c r="P626" s="9" t="str">
        <f t="shared" ca="1" si="62"/>
        <v>ATRASADO</v>
      </c>
      <c r="Q626" s="270" t="s">
        <v>1556</v>
      </c>
      <c r="R626" s="268"/>
      <c r="S626" s="9" t="str">
        <f t="shared" si="71"/>
        <v/>
      </c>
    </row>
    <row r="627" spans="1:19" x14ac:dyDescent="0.3">
      <c r="A627" s="10">
        <v>623</v>
      </c>
      <c r="B627" s="273" t="s">
        <v>56</v>
      </c>
      <c r="C627" s="269" t="s">
        <v>2179</v>
      </c>
      <c r="D627" s="270" t="s">
        <v>2180</v>
      </c>
      <c r="E627" s="271">
        <v>28600</v>
      </c>
      <c r="F627" s="9">
        <f t="shared" ca="1" si="57"/>
        <v>48</v>
      </c>
      <c r="G627" s="272">
        <v>44117</v>
      </c>
      <c r="H627" s="270" t="s">
        <v>8</v>
      </c>
      <c r="I627" s="272">
        <v>44778</v>
      </c>
      <c r="J627" s="578" t="s">
        <v>320</v>
      </c>
      <c r="K627" s="4" t="str">
        <f t="shared" si="66"/>
        <v>I</v>
      </c>
      <c r="L627" s="7" t="str">
        <f t="shared" si="67"/>
        <v>G8</v>
      </c>
      <c r="M627" s="7" t="str">
        <f t="shared" si="68"/>
        <v>J1</v>
      </c>
      <c r="N627" s="62" t="str">
        <f t="shared" si="69"/>
        <v>S</v>
      </c>
      <c r="O627" s="8">
        <f t="shared" si="64"/>
        <v>45143</v>
      </c>
      <c r="P627" s="9" t="str">
        <f t="shared" ca="1" si="62"/>
        <v>ATRASADO</v>
      </c>
      <c r="Q627" s="270" t="s">
        <v>1556</v>
      </c>
      <c r="R627" s="268"/>
      <c r="S627" s="9" t="str">
        <f t="shared" si="71"/>
        <v/>
      </c>
    </row>
    <row r="628" spans="1:19" x14ac:dyDescent="0.3">
      <c r="A628" s="10">
        <v>624</v>
      </c>
      <c r="B628" s="273" t="s">
        <v>111</v>
      </c>
      <c r="C628" s="269" t="s">
        <v>2181</v>
      </c>
      <c r="D628" s="270" t="s">
        <v>2182</v>
      </c>
      <c r="E628" s="271">
        <v>28462</v>
      </c>
      <c r="F628" s="9">
        <f t="shared" ca="1" si="57"/>
        <v>48</v>
      </c>
      <c r="G628" s="272">
        <v>44206</v>
      </c>
      <c r="H628" s="270" t="s">
        <v>275</v>
      </c>
      <c r="I628" s="272">
        <v>44794</v>
      </c>
      <c r="J628" s="578" t="s">
        <v>275</v>
      </c>
      <c r="K628" s="4" t="str">
        <f t="shared" si="66"/>
        <v>I</v>
      </c>
      <c r="L628" s="7" t="str">
        <f t="shared" si="67"/>
        <v>G8</v>
      </c>
      <c r="M628" s="7" t="str">
        <f t="shared" si="68"/>
        <v/>
      </c>
      <c r="N628" s="62" t="str">
        <f t="shared" si="69"/>
        <v/>
      </c>
      <c r="O628" s="8">
        <f t="shared" si="64"/>
        <v>45890</v>
      </c>
      <c r="P628" s="9" t="str">
        <f t="shared" ca="1" si="62"/>
        <v>ATRASADO</v>
      </c>
      <c r="Q628" s="270" t="s">
        <v>1556</v>
      </c>
      <c r="R628" s="268"/>
      <c r="S628" s="9" t="str">
        <f t="shared" si="71"/>
        <v/>
      </c>
    </row>
    <row r="629" spans="1:19" x14ac:dyDescent="0.3">
      <c r="A629" s="10">
        <v>625</v>
      </c>
      <c r="B629" s="273" t="s">
        <v>56</v>
      </c>
      <c r="C629" s="269" t="s">
        <v>2183</v>
      </c>
      <c r="D629" s="270" t="s">
        <v>2184</v>
      </c>
      <c r="E629" s="271">
        <v>28710</v>
      </c>
      <c r="F629" s="9">
        <f t="shared" ca="1" si="57"/>
        <v>48</v>
      </c>
      <c r="G629" s="272">
        <v>43527</v>
      </c>
      <c r="H629" s="270" t="s">
        <v>275</v>
      </c>
      <c r="I629" s="272">
        <v>44776</v>
      </c>
      <c r="J629" s="578" t="s">
        <v>271</v>
      </c>
      <c r="K629" s="4" t="str">
        <f t="shared" si="66"/>
        <v>I</v>
      </c>
      <c r="L629" s="7" t="str">
        <f t="shared" si="67"/>
        <v>G8</v>
      </c>
      <c r="M629" s="7" t="str">
        <f t="shared" si="68"/>
        <v>J1</v>
      </c>
      <c r="N629" s="62" t="str">
        <f t="shared" si="69"/>
        <v/>
      </c>
      <c r="O629" s="8">
        <f t="shared" si="64"/>
        <v>45872</v>
      </c>
      <c r="P629" s="9" t="str">
        <f t="shared" ca="1" si="62"/>
        <v>ATRASADO</v>
      </c>
      <c r="Q629" s="270" t="s">
        <v>1556</v>
      </c>
      <c r="R629" s="268"/>
      <c r="S629" s="9" t="str">
        <f t="shared" si="71"/>
        <v/>
      </c>
    </row>
    <row r="630" spans="1:19" x14ac:dyDescent="0.3">
      <c r="A630" s="10">
        <v>626</v>
      </c>
      <c r="B630" s="273" t="s">
        <v>75</v>
      </c>
      <c r="C630" s="269" t="s">
        <v>2185</v>
      </c>
      <c r="D630" s="270" t="s">
        <v>2186</v>
      </c>
      <c r="E630" s="271">
        <v>34551</v>
      </c>
      <c r="F630" s="9">
        <f t="shared" ca="1" si="57"/>
        <v>32</v>
      </c>
      <c r="G630" s="272">
        <v>44323</v>
      </c>
      <c r="H630" s="270" t="s">
        <v>275</v>
      </c>
      <c r="I630" s="272">
        <v>44779</v>
      </c>
      <c r="J630" s="578" t="s">
        <v>275</v>
      </c>
      <c r="K630" s="4" t="str">
        <f t="shared" si="66"/>
        <v>I</v>
      </c>
      <c r="L630" s="7" t="str">
        <f t="shared" si="67"/>
        <v>G8</v>
      </c>
      <c r="M630" s="7" t="str">
        <f t="shared" si="68"/>
        <v/>
      </c>
      <c r="N630" s="62" t="str">
        <f t="shared" si="69"/>
        <v/>
      </c>
      <c r="O630" s="8">
        <f t="shared" si="64"/>
        <v>45875</v>
      </c>
      <c r="P630" s="9" t="str">
        <f t="shared" ca="1" si="62"/>
        <v>ATRASADO</v>
      </c>
      <c r="Q630" s="270" t="s">
        <v>1556</v>
      </c>
      <c r="R630" s="268"/>
      <c r="S630" s="9" t="str">
        <f t="shared" si="71"/>
        <v/>
      </c>
    </row>
    <row r="631" spans="1:19" x14ac:dyDescent="0.3">
      <c r="A631" s="10">
        <v>627</v>
      </c>
      <c r="B631" s="273" t="s">
        <v>45</v>
      </c>
      <c r="C631" s="269" t="s">
        <v>2187</v>
      </c>
      <c r="D631" s="270" t="s">
        <v>2188</v>
      </c>
      <c r="E631" s="271">
        <v>31295</v>
      </c>
      <c r="F631" s="9">
        <f t="shared" ca="1" si="57"/>
        <v>41</v>
      </c>
      <c r="G631" s="272">
        <v>44400</v>
      </c>
      <c r="H631" s="270" t="s">
        <v>275</v>
      </c>
      <c r="I631" s="272">
        <v>44785</v>
      </c>
      <c r="J631" s="578" t="s">
        <v>320</v>
      </c>
      <c r="K631" s="4" t="str">
        <f t="shared" si="66"/>
        <v>I</v>
      </c>
      <c r="L631" s="7" t="str">
        <f t="shared" si="67"/>
        <v>G8</v>
      </c>
      <c r="M631" s="7" t="str">
        <f t="shared" si="68"/>
        <v>J1</v>
      </c>
      <c r="N631" s="62" t="str">
        <f t="shared" si="69"/>
        <v>S</v>
      </c>
      <c r="O631" s="8">
        <f t="shared" si="64"/>
        <v>45150</v>
      </c>
      <c r="P631" s="9" t="str">
        <f t="shared" ca="1" si="62"/>
        <v>ATRASADO</v>
      </c>
      <c r="Q631" s="270" t="s">
        <v>1556</v>
      </c>
      <c r="R631" s="268"/>
      <c r="S631" s="9" t="str">
        <f t="shared" si="71"/>
        <v/>
      </c>
    </row>
    <row r="632" spans="1:19" x14ac:dyDescent="0.3">
      <c r="A632" s="10">
        <v>628</v>
      </c>
      <c r="B632" s="273" t="s">
        <v>45</v>
      </c>
      <c r="C632" s="269" t="s">
        <v>2189</v>
      </c>
      <c r="D632" s="270" t="s">
        <v>2190</v>
      </c>
      <c r="E632" s="271">
        <v>22278</v>
      </c>
      <c r="F632" s="9">
        <f t="shared" ca="1" si="57"/>
        <v>65</v>
      </c>
      <c r="G632" s="270" t="s">
        <v>8</v>
      </c>
      <c r="H632" s="270" t="s">
        <v>271</v>
      </c>
      <c r="I632" s="272">
        <v>44778</v>
      </c>
      <c r="J632" s="578" t="s">
        <v>271</v>
      </c>
      <c r="K632" s="4" t="str">
        <f t="shared" si="66"/>
        <v>I</v>
      </c>
      <c r="L632" s="7" t="str">
        <f t="shared" si="67"/>
        <v>G8</v>
      </c>
      <c r="M632" s="7" t="str">
        <f t="shared" si="68"/>
        <v>J1</v>
      </c>
      <c r="N632" s="62" t="str">
        <f t="shared" si="69"/>
        <v/>
      </c>
      <c r="O632" s="8">
        <f t="shared" si="64"/>
        <v>45874</v>
      </c>
      <c r="P632" s="9" t="str">
        <f t="shared" ca="1" si="62"/>
        <v>ATRASADO</v>
      </c>
      <c r="Q632" s="270" t="s">
        <v>1556</v>
      </c>
      <c r="R632" s="268"/>
      <c r="S632" s="9" t="str">
        <f t="shared" si="71"/>
        <v/>
      </c>
    </row>
    <row r="633" spans="1:19" x14ac:dyDescent="0.3">
      <c r="A633" s="10">
        <v>629</v>
      </c>
      <c r="B633" s="273" t="s">
        <v>111</v>
      </c>
      <c r="C633" s="269" t="s">
        <v>2191</v>
      </c>
      <c r="D633" s="270" t="s">
        <v>2192</v>
      </c>
      <c r="E633" s="271">
        <v>32602</v>
      </c>
      <c r="F633" s="9">
        <f t="shared" ca="1" si="57"/>
        <v>37</v>
      </c>
      <c r="G633" s="272">
        <v>43709</v>
      </c>
      <c r="H633" s="270" t="s">
        <v>275</v>
      </c>
      <c r="I633" s="272">
        <v>44779</v>
      </c>
      <c r="J633" s="578" t="s">
        <v>275</v>
      </c>
      <c r="K633" s="4" t="str">
        <f t="shared" si="66"/>
        <v>I</v>
      </c>
      <c r="L633" s="7" t="str">
        <f t="shared" si="67"/>
        <v>G8</v>
      </c>
      <c r="M633" s="7" t="str">
        <f t="shared" si="68"/>
        <v/>
      </c>
      <c r="N633" s="62" t="str">
        <f t="shared" si="69"/>
        <v/>
      </c>
      <c r="O633" s="8">
        <f t="shared" si="64"/>
        <v>45875</v>
      </c>
      <c r="P633" s="9" t="str">
        <f t="shared" ca="1" si="62"/>
        <v>ATRASADO</v>
      </c>
      <c r="Q633" s="270" t="s">
        <v>1556</v>
      </c>
      <c r="R633" s="268"/>
      <c r="S633" s="9" t="str">
        <f t="shared" si="71"/>
        <v/>
      </c>
    </row>
    <row r="634" spans="1:19" x14ac:dyDescent="0.3">
      <c r="A634" s="10">
        <v>630</v>
      </c>
      <c r="B634" s="273" t="s">
        <v>56</v>
      </c>
      <c r="C634" s="269" t="s">
        <v>2193</v>
      </c>
      <c r="D634" s="270" t="s">
        <v>2194</v>
      </c>
      <c r="E634" s="271">
        <v>20610</v>
      </c>
      <c r="F634" s="9">
        <f t="shared" ca="1" si="57"/>
        <v>70</v>
      </c>
      <c r="G634" s="272">
        <v>43912</v>
      </c>
      <c r="H634" s="270" t="s">
        <v>291</v>
      </c>
      <c r="I634" s="272">
        <v>44784</v>
      </c>
      <c r="J634" s="578" t="s">
        <v>275</v>
      </c>
      <c r="K634" s="4" t="str">
        <f t="shared" si="66"/>
        <v>I</v>
      </c>
      <c r="L634" s="7" t="str">
        <f t="shared" si="67"/>
        <v>G8</v>
      </c>
      <c r="M634" s="7" t="str">
        <f t="shared" si="68"/>
        <v/>
      </c>
      <c r="N634" s="62" t="str">
        <f t="shared" si="69"/>
        <v/>
      </c>
      <c r="O634" s="8">
        <f t="shared" si="64"/>
        <v>45880</v>
      </c>
      <c r="P634" s="9" t="str">
        <f t="shared" ca="1" si="62"/>
        <v>ATRASADO</v>
      </c>
      <c r="Q634" s="270" t="s">
        <v>1556</v>
      </c>
      <c r="R634" s="268"/>
      <c r="S634" s="9" t="str">
        <f t="shared" si="71"/>
        <v/>
      </c>
    </row>
    <row r="635" spans="1:19" x14ac:dyDescent="0.3">
      <c r="A635" s="10">
        <v>631</v>
      </c>
      <c r="B635" s="273" t="s">
        <v>56</v>
      </c>
      <c r="C635" s="269" t="s">
        <v>2195</v>
      </c>
      <c r="D635" s="270" t="s">
        <v>2196</v>
      </c>
      <c r="E635" s="271">
        <v>34642</v>
      </c>
      <c r="F635" s="9">
        <f t="shared" ca="1" si="57"/>
        <v>31</v>
      </c>
      <c r="G635" s="272">
        <v>43028</v>
      </c>
      <c r="H635" s="270" t="s">
        <v>275</v>
      </c>
      <c r="I635" s="272">
        <v>44798</v>
      </c>
      <c r="J635" s="578" t="s">
        <v>271</v>
      </c>
      <c r="K635" s="4" t="str">
        <f t="shared" si="66"/>
        <v>I</v>
      </c>
      <c r="L635" s="7" t="str">
        <f t="shared" si="67"/>
        <v>G8</v>
      </c>
      <c r="M635" s="7" t="str">
        <f t="shared" si="68"/>
        <v>J1</v>
      </c>
      <c r="N635" s="62" t="str">
        <f t="shared" si="69"/>
        <v/>
      </c>
      <c r="O635" s="8">
        <f t="shared" si="64"/>
        <v>45894</v>
      </c>
      <c r="P635" s="9" t="str">
        <f t="shared" ca="1" si="62"/>
        <v>ATRASADO</v>
      </c>
      <c r="Q635" s="270" t="s">
        <v>1556</v>
      </c>
      <c r="R635" s="268"/>
      <c r="S635" s="9" t="str">
        <f t="shared" si="71"/>
        <v/>
      </c>
    </row>
    <row r="636" spans="1:19" x14ac:dyDescent="0.3">
      <c r="A636" s="10">
        <v>632</v>
      </c>
      <c r="B636" s="273" t="s">
        <v>270</v>
      </c>
      <c r="C636" s="269" t="s">
        <v>2197</v>
      </c>
      <c r="D636" s="270" t="s">
        <v>2198</v>
      </c>
      <c r="E636" s="271">
        <v>26705</v>
      </c>
      <c r="F636" s="9">
        <f t="shared" ca="1" si="57"/>
        <v>53</v>
      </c>
      <c r="G636" s="272">
        <v>42954</v>
      </c>
      <c r="H636" s="270" t="s">
        <v>271</v>
      </c>
      <c r="I636" s="272">
        <v>44779</v>
      </c>
      <c r="J636" s="578" t="s">
        <v>8</v>
      </c>
      <c r="K636" s="4" t="str">
        <f t="shared" si="66"/>
        <v>SI</v>
      </c>
      <c r="L636" s="7" t="str">
        <f t="shared" si="67"/>
        <v xml:space="preserve">N </v>
      </c>
      <c r="M636" s="7" t="str">
        <f t="shared" si="68"/>
        <v>RE</v>
      </c>
      <c r="N636" s="62" t="str">
        <f t="shared" si="69"/>
        <v>GI</v>
      </c>
      <c r="O636" s="8">
        <f t="shared" si="64"/>
        <v>45875</v>
      </c>
      <c r="P636" s="9" t="str">
        <f t="shared" ca="1" si="62"/>
        <v>ATRASADO</v>
      </c>
      <c r="Q636" s="270" t="s">
        <v>1556</v>
      </c>
      <c r="R636" s="268"/>
      <c r="S636" s="9" t="str">
        <f t="shared" si="71"/>
        <v/>
      </c>
    </row>
    <row r="637" spans="1:19" x14ac:dyDescent="0.3">
      <c r="A637" s="10">
        <v>633</v>
      </c>
      <c r="B637" s="280" t="s">
        <v>579</v>
      </c>
      <c r="C637" s="275" t="s">
        <v>2199</v>
      </c>
      <c r="D637" s="277" t="s">
        <v>2200</v>
      </c>
      <c r="E637" s="278">
        <v>30599</v>
      </c>
      <c r="F637" s="9">
        <f t="shared" ca="1" si="57"/>
        <v>42</v>
      </c>
      <c r="G637" s="279">
        <v>42988</v>
      </c>
      <c r="H637" s="277" t="s">
        <v>271</v>
      </c>
      <c r="I637" s="279">
        <v>44786</v>
      </c>
      <c r="J637" s="578" t="s">
        <v>271</v>
      </c>
      <c r="K637" s="4" t="str">
        <f t="shared" si="66"/>
        <v>I</v>
      </c>
      <c r="L637" s="7" t="str">
        <f t="shared" si="67"/>
        <v>G8</v>
      </c>
      <c r="M637" s="7" t="str">
        <f t="shared" si="68"/>
        <v>J1</v>
      </c>
      <c r="N637" s="62" t="str">
        <f t="shared" si="69"/>
        <v/>
      </c>
      <c r="O637" s="8">
        <f t="shared" si="64"/>
        <v>45882</v>
      </c>
      <c r="P637" s="9" t="str">
        <f t="shared" ca="1" si="62"/>
        <v>ATRASADO</v>
      </c>
      <c r="Q637" s="277" t="s">
        <v>1556</v>
      </c>
      <c r="R637" s="274"/>
      <c r="S637" s="9" t="str">
        <f t="shared" si="71"/>
        <v/>
      </c>
    </row>
    <row r="638" spans="1:19" x14ac:dyDescent="0.3">
      <c r="A638" s="10">
        <v>634</v>
      </c>
      <c r="B638" s="280" t="s">
        <v>111</v>
      </c>
      <c r="C638" s="275" t="s">
        <v>2201</v>
      </c>
      <c r="D638" s="277" t="s">
        <v>2202</v>
      </c>
      <c r="E638" s="278">
        <v>27430</v>
      </c>
      <c r="F638" s="9">
        <f t="shared" ca="1" si="57"/>
        <v>51</v>
      </c>
      <c r="G638" s="279">
        <v>44091</v>
      </c>
      <c r="H638" s="277" t="s">
        <v>275</v>
      </c>
      <c r="I638" s="279">
        <v>44793</v>
      </c>
      <c r="J638" s="578" t="s">
        <v>1139</v>
      </c>
      <c r="K638" s="4" t="str">
        <f t="shared" si="66"/>
        <v>I</v>
      </c>
      <c r="L638" s="7" t="str">
        <f t="shared" si="67"/>
        <v>G7</v>
      </c>
      <c r="M638" s="7" t="str">
        <f t="shared" si="68"/>
        <v>J5</v>
      </c>
      <c r="N638" s="62" t="str">
        <f t="shared" si="69"/>
        <v>S</v>
      </c>
      <c r="O638" s="8">
        <f t="shared" si="64"/>
        <v>45158</v>
      </c>
      <c r="P638" s="9" t="str">
        <f t="shared" ca="1" si="62"/>
        <v>ATRASADO</v>
      </c>
      <c r="Q638" s="277" t="s">
        <v>1556</v>
      </c>
      <c r="R638" s="276"/>
      <c r="S638" s="9" t="str">
        <f t="shared" si="71"/>
        <v>CANDIDA</v>
      </c>
    </row>
    <row r="639" spans="1:19" x14ac:dyDescent="0.3">
      <c r="A639" s="10">
        <v>635</v>
      </c>
      <c r="B639" s="280" t="s">
        <v>111</v>
      </c>
      <c r="C639" s="275" t="s">
        <v>2203</v>
      </c>
      <c r="D639" s="277" t="s">
        <v>2204</v>
      </c>
      <c r="E639" s="278">
        <v>26855</v>
      </c>
      <c r="F639" s="9">
        <f t="shared" ca="1" si="57"/>
        <v>53</v>
      </c>
      <c r="G639" s="279">
        <v>43097</v>
      </c>
      <c r="H639" s="277" t="s">
        <v>275</v>
      </c>
      <c r="I639" s="279">
        <v>44803</v>
      </c>
      <c r="J639" s="578" t="s">
        <v>271</v>
      </c>
      <c r="K639" s="4" t="str">
        <f t="shared" si="66"/>
        <v>I</v>
      </c>
      <c r="L639" s="7" t="str">
        <f t="shared" si="67"/>
        <v>G8</v>
      </c>
      <c r="M639" s="7" t="str">
        <f t="shared" si="68"/>
        <v>J1</v>
      </c>
      <c r="N639" s="62" t="str">
        <f t="shared" si="69"/>
        <v/>
      </c>
      <c r="O639" s="8">
        <f t="shared" si="64"/>
        <v>45899</v>
      </c>
      <c r="P639" s="9" t="str">
        <f t="shared" ca="1" si="62"/>
        <v>ATRASADO</v>
      </c>
      <c r="Q639" s="277" t="s">
        <v>1556</v>
      </c>
      <c r="R639" s="274"/>
      <c r="S639" s="9" t="str">
        <f t="shared" si="71"/>
        <v/>
      </c>
    </row>
    <row r="640" spans="1:19" x14ac:dyDescent="0.3">
      <c r="A640" s="10">
        <v>636</v>
      </c>
      <c r="B640" s="280" t="s">
        <v>579</v>
      </c>
      <c r="C640" s="275" t="s">
        <v>2205</v>
      </c>
      <c r="D640" s="277" t="s">
        <v>2206</v>
      </c>
      <c r="E640" s="278">
        <v>27360</v>
      </c>
      <c r="F640" s="9">
        <f t="shared" ca="1" si="57"/>
        <v>51</v>
      </c>
      <c r="G640" s="279">
        <v>43345</v>
      </c>
      <c r="H640" s="277" t="s">
        <v>275</v>
      </c>
      <c r="I640" s="279">
        <v>44801</v>
      </c>
      <c r="J640" s="578" t="s">
        <v>275</v>
      </c>
      <c r="K640" s="4" t="str">
        <f t="shared" si="66"/>
        <v>I</v>
      </c>
      <c r="L640" s="7" t="str">
        <f t="shared" si="67"/>
        <v>G8</v>
      </c>
      <c r="M640" s="7" t="str">
        <f t="shared" si="68"/>
        <v/>
      </c>
      <c r="N640" s="62" t="str">
        <f t="shared" si="69"/>
        <v/>
      </c>
      <c r="O640" s="8">
        <f t="shared" si="64"/>
        <v>45897</v>
      </c>
      <c r="P640" s="9" t="str">
        <f t="shared" ca="1" si="62"/>
        <v>ATRASADO</v>
      </c>
      <c r="Q640" s="277" t="s">
        <v>1556</v>
      </c>
      <c r="R640" s="274"/>
      <c r="S640" s="9" t="str">
        <f t="shared" si="71"/>
        <v/>
      </c>
    </row>
    <row r="641" spans="1:19" x14ac:dyDescent="0.3">
      <c r="A641" s="10">
        <v>637</v>
      </c>
      <c r="B641" s="280" t="s">
        <v>579</v>
      </c>
      <c r="C641" s="275" t="s">
        <v>2207</v>
      </c>
      <c r="D641" s="277" t="s">
        <v>2208</v>
      </c>
      <c r="E641" s="278">
        <v>26537</v>
      </c>
      <c r="F641" s="9">
        <f t="shared" ca="1" si="57"/>
        <v>54</v>
      </c>
      <c r="G641" s="279">
        <v>43954</v>
      </c>
      <c r="H641" s="277" t="s">
        <v>8</v>
      </c>
      <c r="I641" s="279">
        <v>44801</v>
      </c>
      <c r="J641" s="578" t="s">
        <v>275</v>
      </c>
      <c r="K641" s="4" t="str">
        <f t="shared" si="66"/>
        <v>I</v>
      </c>
      <c r="L641" s="7" t="str">
        <f t="shared" si="67"/>
        <v>G8</v>
      </c>
      <c r="M641" s="7" t="str">
        <f t="shared" si="68"/>
        <v/>
      </c>
      <c r="N641" s="62" t="str">
        <f t="shared" si="69"/>
        <v/>
      </c>
      <c r="O641" s="8">
        <f t="shared" si="64"/>
        <v>45897</v>
      </c>
      <c r="P641" s="9" t="str">
        <f t="shared" ca="1" si="62"/>
        <v>ATRASADO</v>
      </c>
      <c r="Q641" s="277" t="s">
        <v>1556</v>
      </c>
      <c r="R641" s="274"/>
      <c r="S641" s="9" t="str">
        <f t="shared" si="71"/>
        <v/>
      </c>
    </row>
    <row r="642" spans="1:19" x14ac:dyDescent="0.3">
      <c r="A642" s="10">
        <v>638</v>
      </c>
      <c r="B642" s="287" t="s">
        <v>579</v>
      </c>
      <c r="C642" s="282" t="s">
        <v>2209</v>
      </c>
      <c r="D642" s="284" t="s">
        <v>2210</v>
      </c>
      <c r="E642" s="285">
        <v>28859</v>
      </c>
      <c r="F642" s="9">
        <f t="shared" ca="1" si="57"/>
        <v>47</v>
      </c>
      <c r="G642" s="286">
        <v>43285</v>
      </c>
      <c r="H642" s="284" t="s">
        <v>275</v>
      </c>
      <c r="I642" s="286">
        <v>44804</v>
      </c>
      <c r="J642" s="578" t="s">
        <v>275</v>
      </c>
      <c r="K642" s="4" t="str">
        <f t="shared" si="66"/>
        <v>I</v>
      </c>
      <c r="L642" s="7" t="str">
        <f t="shared" si="67"/>
        <v>G8</v>
      </c>
      <c r="M642" s="7" t="str">
        <f t="shared" si="68"/>
        <v/>
      </c>
      <c r="N642" s="62" t="str">
        <f t="shared" si="69"/>
        <v/>
      </c>
      <c r="O642" s="8">
        <f t="shared" si="64"/>
        <v>45900</v>
      </c>
      <c r="P642" s="9" t="str">
        <f t="shared" ca="1" si="62"/>
        <v>ATRASADO</v>
      </c>
      <c r="Q642" s="284" t="s">
        <v>1556</v>
      </c>
      <c r="R642" s="281"/>
      <c r="S642" s="9" t="str">
        <f t="shared" si="71"/>
        <v/>
      </c>
    </row>
    <row r="643" spans="1:19" x14ac:dyDescent="0.3">
      <c r="A643" s="10">
        <v>639</v>
      </c>
      <c r="B643" s="287" t="s">
        <v>579</v>
      </c>
      <c r="C643" s="282" t="s">
        <v>2211</v>
      </c>
      <c r="D643" s="284" t="s">
        <v>2212</v>
      </c>
      <c r="E643" s="285">
        <v>34036</v>
      </c>
      <c r="F643" s="9">
        <f t="shared" ca="1" si="57"/>
        <v>33</v>
      </c>
      <c r="G643" s="286">
        <v>44288</v>
      </c>
      <c r="H643" s="284" t="s">
        <v>271</v>
      </c>
      <c r="I643" s="286">
        <v>44804</v>
      </c>
      <c r="J643" s="578" t="s">
        <v>271</v>
      </c>
      <c r="K643" s="4" t="str">
        <f t="shared" si="66"/>
        <v>I</v>
      </c>
      <c r="L643" s="7" t="str">
        <f t="shared" si="67"/>
        <v>G8</v>
      </c>
      <c r="M643" s="7" t="str">
        <f t="shared" si="68"/>
        <v>J1</v>
      </c>
      <c r="N643" s="62" t="str">
        <f t="shared" si="69"/>
        <v/>
      </c>
      <c r="O643" s="8">
        <f t="shared" si="64"/>
        <v>45900</v>
      </c>
      <c r="P643" s="9" t="str">
        <f t="shared" ca="1" si="62"/>
        <v>ATRASADO</v>
      </c>
      <c r="Q643" s="284" t="s">
        <v>1556</v>
      </c>
      <c r="R643" s="281"/>
      <c r="S643" s="9" t="str">
        <f t="shared" si="71"/>
        <v/>
      </c>
    </row>
    <row r="644" spans="1:19" x14ac:dyDescent="0.3">
      <c r="A644" s="10">
        <v>640</v>
      </c>
      <c r="B644" s="287" t="s">
        <v>312</v>
      </c>
      <c r="C644" s="282" t="s">
        <v>2213</v>
      </c>
      <c r="D644" s="284" t="s">
        <v>2214</v>
      </c>
      <c r="E644" s="285">
        <v>25547</v>
      </c>
      <c r="F644" s="9">
        <f t="shared" ca="1" si="57"/>
        <v>56</v>
      </c>
      <c r="G644" s="286">
        <v>43765</v>
      </c>
      <c r="H644" s="284" t="s">
        <v>8</v>
      </c>
      <c r="I644" s="286">
        <v>44799</v>
      </c>
      <c r="J644" s="578" t="s">
        <v>275</v>
      </c>
      <c r="K644" s="4" t="str">
        <f t="shared" si="66"/>
        <v>I</v>
      </c>
      <c r="L644" s="7" t="str">
        <f t="shared" si="67"/>
        <v>G8</v>
      </c>
      <c r="M644" s="7" t="str">
        <f t="shared" si="68"/>
        <v/>
      </c>
      <c r="N644" s="62" t="str">
        <f t="shared" si="69"/>
        <v/>
      </c>
      <c r="O644" s="8">
        <f t="shared" si="64"/>
        <v>45895</v>
      </c>
      <c r="P644" s="9" t="str">
        <f t="shared" ca="1" si="62"/>
        <v>ATRASADO</v>
      </c>
      <c r="Q644" s="284" t="s">
        <v>1556</v>
      </c>
      <c r="R644" s="281"/>
      <c r="S644" s="9" t="str">
        <f t="shared" si="71"/>
        <v/>
      </c>
    </row>
    <row r="645" spans="1:19" x14ac:dyDescent="0.3">
      <c r="A645" s="10">
        <v>641</v>
      </c>
      <c r="B645" s="287" t="s">
        <v>579</v>
      </c>
      <c r="C645" s="282" t="s">
        <v>2215</v>
      </c>
      <c r="D645" s="284" t="s">
        <v>2216</v>
      </c>
      <c r="E645" s="285">
        <v>21248</v>
      </c>
      <c r="F645" s="9">
        <f t="shared" ca="1" si="57"/>
        <v>68</v>
      </c>
      <c r="G645" s="286">
        <v>43069</v>
      </c>
      <c r="H645" s="284" t="s">
        <v>275</v>
      </c>
      <c r="I645" s="286">
        <v>44799</v>
      </c>
      <c r="J645" s="578" t="s">
        <v>275</v>
      </c>
      <c r="K645" s="4" t="str">
        <f t="shared" si="66"/>
        <v>I</v>
      </c>
      <c r="L645" s="7" t="str">
        <f t="shared" si="67"/>
        <v>G8</v>
      </c>
      <c r="M645" s="7" t="str">
        <f t="shared" si="68"/>
        <v/>
      </c>
      <c r="N645" s="62" t="str">
        <f t="shared" si="69"/>
        <v/>
      </c>
      <c r="O645" s="8">
        <f t="shared" si="64"/>
        <v>45895</v>
      </c>
      <c r="P645" s="9" t="str">
        <f t="shared" ca="1" si="62"/>
        <v>ATRASADO</v>
      </c>
      <c r="Q645" s="284" t="s">
        <v>1556</v>
      </c>
      <c r="R645" s="281"/>
      <c r="S645" s="9" t="str">
        <f t="shared" si="71"/>
        <v/>
      </c>
    </row>
    <row r="646" spans="1:19" x14ac:dyDescent="0.3">
      <c r="A646" s="10">
        <v>642</v>
      </c>
      <c r="B646" s="287" t="s">
        <v>579</v>
      </c>
      <c r="C646" s="282" t="s">
        <v>2217</v>
      </c>
      <c r="D646" s="284" t="s">
        <v>2218</v>
      </c>
      <c r="E646" s="285">
        <v>23129</v>
      </c>
      <c r="F646" s="9">
        <f t="shared" ca="1" si="57"/>
        <v>63</v>
      </c>
      <c r="G646" s="286">
        <v>43910</v>
      </c>
      <c r="H646" s="284" t="s">
        <v>271</v>
      </c>
      <c r="I646" s="286">
        <v>44796</v>
      </c>
      <c r="J646" s="578" t="s">
        <v>275</v>
      </c>
      <c r="K646" s="4" t="str">
        <f t="shared" si="66"/>
        <v>I</v>
      </c>
      <c r="L646" s="7" t="str">
        <f t="shared" si="67"/>
        <v>G8</v>
      </c>
      <c r="M646" s="7" t="str">
        <f t="shared" si="68"/>
        <v/>
      </c>
      <c r="N646" s="62" t="str">
        <f t="shared" si="69"/>
        <v/>
      </c>
      <c r="O646" s="8">
        <f t="shared" si="64"/>
        <v>45892</v>
      </c>
      <c r="P646" s="9" t="str">
        <f t="shared" ca="1" si="62"/>
        <v>ATRASADO</v>
      </c>
      <c r="Q646" s="284" t="s">
        <v>1556</v>
      </c>
      <c r="R646" s="281"/>
      <c r="S646" s="9" t="str">
        <f t="shared" si="71"/>
        <v/>
      </c>
    </row>
    <row r="647" spans="1:19" x14ac:dyDescent="0.3">
      <c r="A647" s="10">
        <v>643</v>
      </c>
      <c r="B647" s="287" t="s">
        <v>312</v>
      </c>
      <c r="C647" s="282" t="s">
        <v>2219</v>
      </c>
      <c r="D647" s="284" t="s">
        <v>2220</v>
      </c>
      <c r="E647" s="285">
        <v>30625</v>
      </c>
      <c r="F647" s="9">
        <f t="shared" ca="1" si="57"/>
        <v>42</v>
      </c>
      <c r="G647" s="286">
        <v>44347</v>
      </c>
      <c r="H647" s="284" t="s">
        <v>271</v>
      </c>
      <c r="I647" s="286">
        <v>44785</v>
      </c>
      <c r="J647" s="578" t="s">
        <v>275</v>
      </c>
      <c r="K647" s="4" t="str">
        <f t="shared" si="66"/>
        <v>I</v>
      </c>
      <c r="L647" s="7" t="str">
        <f t="shared" si="67"/>
        <v>G8</v>
      </c>
      <c r="M647" s="7" t="str">
        <f t="shared" si="68"/>
        <v/>
      </c>
      <c r="N647" s="62" t="str">
        <f t="shared" si="69"/>
        <v/>
      </c>
      <c r="O647" s="8">
        <f t="shared" si="64"/>
        <v>45881</v>
      </c>
      <c r="P647" s="9" t="str">
        <f t="shared" ca="1" si="62"/>
        <v>ATRASADO</v>
      </c>
      <c r="Q647" s="284" t="s">
        <v>1556</v>
      </c>
      <c r="R647" s="283"/>
      <c r="S647" s="9" t="str">
        <f t="shared" si="71"/>
        <v/>
      </c>
    </row>
    <row r="648" spans="1:19" x14ac:dyDescent="0.3">
      <c r="A648" s="10">
        <v>644</v>
      </c>
      <c r="B648" s="287" t="s">
        <v>312</v>
      </c>
      <c r="C648" s="282" t="s">
        <v>2221</v>
      </c>
      <c r="D648" s="284" t="s">
        <v>2222</v>
      </c>
      <c r="E648" s="285">
        <v>24463</v>
      </c>
      <c r="F648" s="9">
        <f t="shared" ca="1" si="57"/>
        <v>59</v>
      </c>
      <c r="G648" s="286">
        <v>43168</v>
      </c>
      <c r="H648" s="284" t="s">
        <v>275</v>
      </c>
      <c r="I648" s="286">
        <v>44774</v>
      </c>
      <c r="J648" s="578" t="s">
        <v>8</v>
      </c>
      <c r="K648" s="4" t="str">
        <f t="shared" si="66"/>
        <v>SI</v>
      </c>
      <c r="L648" s="7" t="str">
        <f t="shared" si="67"/>
        <v xml:space="preserve">N </v>
      </c>
      <c r="M648" s="7" t="str">
        <f t="shared" si="68"/>
        <v>RE</v>
      </c>
      <c r="N648" s="62" t="str">
        <f t="shared" si="69"/>
        <v>GI</v>
      </c>
      <c r="O648" s="8">
        <f t="shared" si="64"/>
        <v>45870</v>
      </c>
      <c r="P648" s="9" t="str">
        <f t="shared" ca="1" si="62"/>
        <v>ATRASADO</v>
      </c>
      <c r="Q648" s="284" t="s">
        <v>1556</v>
      </c>
      <c r="R648" s="281"/>
      <c r="S648" s="9" t="str">
        <f t="shared" si="71"/>
        <v/>
      </c>
    </row>
    <row r="649" spans="1:19" x14ac:dyDescent="0.3">
      <c r="A649" s="10">
        <v>645</v>
      </c>
      <c r="B649" s="287" t="s">
        <v>579</v>
      </c>
      <c r="C649" s="282" t="s">
        <v>2223</v>
      </c>
      <c r="D649" s="284" t="s">
        <v>2224</v>
      </c>
      <c r="E649" s="285">
        <v>32102</v>
      </c>
      <c r="F649" s="9">
        <f t="shared" ca="1" si="57"/>
        <v>38</v>
      </c>
      <c r="G649" s="284" t="s">
        <v>8</v>
      </c>
      <c r="H649" s="284" t="s">
        <v>271</v>
      </c>
      <c r="I649" s="286">
        <v>44790</v>
      </c>
      <c r="J649" s="578" t="s">
        <v>275</v>
      </c>
      <c r="K649" s="4" t="str">
        <f t="shared" si="66"/>
        <v>I</v>
      </c>
      <c r="L649" s="7" t="str">
        <f t="shared" si="67"/>
        <v>G8</v>
      </c>
      <c r="M649" s="7" t="str">
        <f t="shared" si="68"/>
        <v/>
      </c>
      <c r="N649" s="62" t="str">
        <f t="shared" si="69"/>
        <v/>
      </c>
      <c r="O649" s="8">
        <f t="shared" si="64"/>
        <v>45886</v>
      </c>
      <c r="P649" s="9" t="str">
        <f t="shared" ca="1" si="62"/>
        <v>ATRASADO</v>
      </c>
      <c r="Q649" s="284" t="s">
        <v>1556</v>
      </c>
      <c r="R649" s="281"/>
      <c r="S649" s="9" t="str">
        <f t="shared" si="71"/>
        <v/>
      </c>
    </row>
    <row r="650" spans="1:19" x14ac:dyDescent="0.3">
      <c r="A650" s="10">
        <v>646</v>
      </c>
      <c r="B650" s="287" t="s">
        <v>579</v>
      </c>
      <c r="C650" s="282" t="s">
        <v>2225</v>
      </c>
      <c r="D650" s="284" t="s">
        <v>2226</v>
      </c>
      <c r="E650" s="285">
        <v>31156</v>
      </c>
      <c r="F650" s="9">
        <f t="shared" ca="1" si="57"/>
        <v>41</v>
      </c>
      <c r="G650" s="286">
        <v>44131</v>
      </c>
      <c r="H650" s="284" t="s">
        <v>271</v>
      </c>
      <c r="I650" s="286">
        <v>44779</v>
      </c>
      <c r="J650" s="578" t="s">
        <v>275</v>
      </c>
      <c r="K650" s="4" t="str">
        <f t="shared" si="66"/>
        <v>I</v>
      </c>
      <c r="L650" s="7" t="str">
        <f t="shared" si="67"/>
        <v>G8</v>
      </c>
      <c r="M650" s="7" t="str">
        <f t="shared" si="68"/>
        <v/>
      </c>
      <c r="N650" s="62" t="str">
        <f t="shared" si="69"/>
        <v/>
      </c>
      <c r="O650" s="8">
        <f t="shared" si="64"/>
        <v>45875</v>
      </c>
      <c r="P650" s="9" t="str">
        <f t="shared" ca="1" si="62"/>
        <v>ATRASADO</v>
      </c>
      <c r="Q650" s="284" t="s">
        <v>1556</v>
      </c>
      <c r="R650" s="281"/>
      <c r="S650" s="9" t="str">
        <f t="shared" si="71"/>
        <v/>
      </c>
    </row>
    <row r="651" spans="1:19" x14ac:dyDescent="0.3">
      <c r="A651" s="10">
        <v>647</v>
      </c>
      <c r="B651" s="287" t="s">
        <v>579</v>
      </c>
      <c r="C651" s="282" t="s">
        <v>2227</v>
      </c>
      <c r="D651" s="284" t="s">
        <v>2228</v>
      </c>
      <c r="E651" s="285">
        <v>22165</v>
      </c>
      <c r="F651" s="9">
        <f t="shared" ca="1" si="57"/>
        <v>66</v>
      </c>
      <c r="G651" s="286">
        <v>43581</v>
      </c>
      <c r="H651" s="284" t="s">
        <v>8</v>
      </c>
      <c r="I651" s="286">
        <v>44775</v>
      </c>
      <c r="J651" s="578" t="s">
        <v>327</v>
      </c>
      <c r="K651" s="4" t="str">
        <f t="shared" si="66"/>
        <v>I</v>
      </c>
      <c r="L651" s="7" t="str">
        <f t="shared" si="67"/>
        <v>G7</v>
      </c>
      <c r="M651" s="7" t="str">
        <f t="shared" si="68"/>
        <v>S</v>
      </c>
      <c r="N651" s="62" t="str">
        <f t="shared" si="69"/>
        <v/>
      </c>
      <c r="O651" s="8">
        <f t="shared" si="64"/>
        <v>45140</v>
      </c>
      <c r="P651" s="9" t="str">
        <f t="shared" ca="1" si="62"/>
        <v>ATRASADO</v>
      </c>
      <c r="Q651" s="284" t="s">
        <v>1556</v>
      </c>
      <c r="R651" s="281"/>
      <c r="S651" s="9" t="str">
        <f t="shared" si="71"/>
        <v/>
      </c>
    </row>
    <row r="652" spans="1:19" x14ac:dyDescent="0.3">
      <c r="A652" s="10">
        <v>648</v>
      </c>
      <c r="B652" s="294" t="s">
        <v>312</v>
      </c>
      <c r="C652" s="289" t="s">
        <v>2229</v>
      </c>
      <c r="D652" s="549" t="s">
        <v>2230</v>
      </c>
      <c r="E652" s="292">
        <v>29640</v>
      </c>
      <c r="F652" s="9">
        <f t="shared" ca="1" si="57"/>
        <v>45</v>
      </c>
      <c r="G652" s="291" t="s">
        <v>8</v>
      </c>
      <c r="H652" s="291" t="s">
        <v>275</v>
      </c>
      <c r="I652" s="293">
        <v>44786</v>
      </c>
      <c r="J652" s="582" t="s">
        <v>271</v>
      </c>
      <c r="K652" s="4" t="str">
        <f t="shared" si="66"/>
        <v>I</v>
      </c>
      <c r="L652" s="7" t="str">
        <f t="shared" si="67"/>
        <v>G8</v>
      </c>
      <c r="M652" s="7" t="str">
        <f t="shared" si="68"/>
        <v>J1</v>
      </c>
      <c r="N652" s="62" t="str">
        <f t="shared" si="69"/>
        <v/>
      </c>
      <c r="O652" s="8">
        <f t="shared" si="64"/>
        <v>45882</v>
      </c>
      <c r="P652" s="9" t="str">
        <f t="shared" ca="1" si="62"/>
        <v>ATRASADO</v>
      </c>
      <c r="Q652" s="291" t="s">
        <v>1556</v>
      </c>
      <c r="R652" s="288"/>
      <c r="S652" s="9" t="str">
        <f t="shared" si="71"/>
        <v/>
      </c>
    </row>
    <row r="653" spans="1:19" x14ac:dyDescent="0.3">
      <c r="A653" s="10">
        <v>649</v>
      </c>
      <c r="B653" s="294" t="s">
        <v>111</v>
      </c>
      <c r="C653" s="289" t="s">
        <v>2231</v>
      </c>
      <c r="D653" s="291" t="s">
        <v>2232</v>
      </c>
      <c r="E653" s="292">
        <v>33515</v>
      </c>
      <c r="F653" s="9">
        <f t="shared" ca="1" si="57"/>
        <v>34</v>
      </c>
      <c r="G653" s="293">
        <v>43163</v>
      </c>
      <c r="H653" s="291" t="s">
        <v>275</v>
      </c>
      <c r="I653" s="293">
        <v>44788</v>
      </c>
      <c r="J653" s="578" t="s">
        <v>275</v>
      </c>
      <c r="K653" s="4" t="str">
        <f t="shared" si="66"/>
        <v>I</v>
      </c>
      <c r="L653" s="7" t="str">
        <f t="shared" si="67"/>
        <v>G8</v>
      </c>
      <c r="M653" s="7" t="str">
        <f t="shared" si="68"/>
        <v/>
      </c>
      <c r="N653" s="62" t="str">
        <f t="shared" si="69"/>
        <v/>
      </c>
      <c r="O653" s="8">
        <f t="shared" si="64"/>
        <v>45884</v>
      </c>
      <c r="P653" s="9" t="str">
        <f t="shared" ca="1" si="62"/>
        <v>ATRASADO</v>
      </c>
      <c r="Q653" s="291" t="s">
        <v>1556</v>
      </c>
      <c r="R653" s="288"/>
      <c r="S653" s="9" t="str">
        <f t="shared" si="71"/>
        <v/>
      </c>
    </row>
    <row r="654" spans="1:19" x14ac:dyDescent="0.3">
      <c r="A654" s="10">
        <v>650</v>
      </c>
      <c r="B654" s="294" t="s">
        <v>111</v>
      </c>
      <c r="C654" s="289" t="s">
        <v>2233</v>
      </c>
      <c r="D654" s="291" t="s">
        <v>2234</v>
      </c>
      <c r="E654" s="292">
        <v>30609</v>
      </c>
      <c r="F654" s="9">
        <f t="shared" ca="1" si="57"/>
        <v>42</v>
      </c>
      <c r="G654" s="293">
        <v>43828</v>
      </c>
      <c r="H654" s="291" t="s">
        <v>271</v>
      </c>
      <c r="I654" s="293">
        <v>44796</v>
      </c>
      <c r="J654" s="578" t="s">
        <v>275</v>
      </c>
      <c r="K654" s="4" t="str">
        <f t="shared" si="66"/>
        <v>I</v>
      </c>
      <c r="L654" s="7" t="str">
        <f t="shared" si="67"/>
        <v>G8</v>
      </c>
      <c r="M654" s="7" t="str">
        <f t="shared" si="68"/>
        <v/>
      </c>
      <c r="N654" s="62" t="str">
        <f t="shared" si="69"/>
        <v/>
      </c>
      <c r="O654" s="8">
        <f t="shared" si="64"/>
        <v>45892</v>
      </c>
      <c r="P654" s="9" t="str">
        <f t="shared" ca="1" si="62"/>
        <v>ATRASADO</v>
      </c>
      <c r="Q654" s="291" t="s">
        <v>1556</v>
      </c>
      <c r="R654" s="288"/>
      <c r="S654" s="9" t="str">
        <f t="shared" si="71"/>
        <v/>
      </c>
    </row>
    <row r="655" spans="1:19" x14ac:dyDescent="0.3">
      <c r="A655" s="10">
        <v>651</v>
      </c>
      <c r="B655" s="294" t="s">
        <v>111</v>
      </c>
      <c r="C655" s="289" t="s">
        <v>2235</v>
      </c>
      <c r="D655" s="291" t="s">
        <v>2236</v>
      </c>
      <c r="E655" s="292">
        <v>26204</v>
      </c>
      <c r="F655" s="9">
        <f t="shared" ca="1" si="57"/>
        <v>55</v>
      </c>
      <c r="G655" s="293">
        <v>44244</v>
      </c>
      <c r="H655" s="291" t="s">
        <v>300</v>
      </c>
      <c r="I655" s="293">
        <v>44783</v>
      </c>
      <c r="J655" s="578" t="s">
        <v>8</v>
      </c>
      <c r="K655" s="4" t="str">
        <f t="shared" si="66"/>
        <v>SI</v>
      </c>
      <c r="L655" s="7" t="str">
        <f t="shared" si="67"/>
        <v xml:space="preserve">N </v>
      </c>
      <c r="M655" s="7" t="str">
        <f t="shared" si="68"/>
        <v>RE</v>
      </c>
      <c r="N655" s="62" t="str">
        <f t="shared" si="69"/>
        <v>GI</v>
      </c>
      <c r="O655" s="8">
        <f t="shared" si="64"/>
        <v>45879</v>
      </c>
      <c r="P655" s="9" t="str">
        <f t="shared" ca="1" si="62"/>
        <v>ATRASADO</v>
      </c>
      <c r="Q655" s="291" t="s">
        <v>1556</v>
      </c>
      <c r="R655" s="290"/>
      <c r="S655" s="9" t="str">
        <f t="shared" si="71"/>
        <v/>
      </c>
    </row>
    <row r="656" spans="1:19" x14ac:dyDescent="0.3">
      <c r="A656" s="10">
        <v>652</v>
      </c>
      <c r="B656" s="294" t="s">
        <v>579</v>
      </c>
      <c r="C656" s="289" t="s">
        <v>2237</v>
      </c>
      <c r="D656" s="291" t="s">
        <v>2238</v>
      </c>
      <c r="E656" s="292">
        <v>35036</v>
      </c>
      <c r="F656" s="9">
        <f t="shared" ca="1" si="57"/>
        <v>30</v>
      </c>
      <c r="G656" s="293">
        <v>44027</v>
      </c>
      <c r="H656" s="291" t="s">
        <v>275</v>
      </c>
      <c r="I656" s="293">
        <v>44779</v>
      </c>
      <c r="J656" s="578" t="s">
        <v>320</v>
      </c>
      <c r="K656" s="4" t="str">
        <f t="shared" si="66"/>
        <v>I</v>
      </c>
      <c r="L656" s="7" t="str">
        <f t="shared" si="67"/>
        <v>G8</v>
      </c>
      <c r="M656" s="7" t="str">
        <f t="shared" si="68"/>
        <v>J1</v>
      </c>
      <c r="N656" s="62" t="str">
        <f t="shared" si="69"/>
        <v>S</v>
      </c>
      <c r="O656" s="8">
        <f t="shared" si="64"/>
        <v>45144</v>
      </c>
      <c r="P656" s="9" t="str">
        <f t="shared" ca="1" si="62"/>
        <v>ATRASADO</v>
      </c>
      <c r="Q656" s="291" t="s">
        <v>1556</v>
      </c>
      <c r="R656" s="288"/>
      <c r="S656" s="9" t="str">
        <f t="shared" si="71"/>
        <v/>
      </c>
    </row>
    <row r="657" spans="1:19" x14ac:dyDescent="0.3">
      <c r="A657" s="10">
        <v>653</v>
      </c>
      <c r="B657" s="294" t="s">
        <v>579</v>
      </c>
      <c r="C657" s="289" t="s">
        <v>2239</v>
      </c>
      <c r="D657" s="291" t="s">
        <v>2240</v>
      </c>
      <c r="E657" s="292">
        <v>29439</v>
      </c>
      <c r="F657" s="9">
        <f t="shared" ca="1" si="57"/>
        <v>46</v>
      </c>
      <c r="G657" s="293">
        <v>44249</v>
      </c>
      <c r="H657" s="291" t="s">
        <v>275</v>
      </c>
      <c r="I657" s="293">
        <v>44790</v>
      </c>
      <c r="J657" s="578" t="s">
        <v>275</v>
      </c>
      <c r="K657" s="4" t="str">
        <f t="shared" si="66"/>
        <v>I</v>
      </c>
      <c r="L657" s="7" t="str">
        <f t="shared" si="67"/>
        <v>G8</v>
      </c>
      <c r="M657" s="7" t="str">
        <f t="shared" si="68"/>
        <v/>
      </c>
      <c r="N657" s="62" t="str">
        <f t="shared" si="69"/>
        <v/>
      </c>
      <c r="O657" s="8">
        <f t="shared" si="64"/>
        <v>45886</v>
      </c>
      <c r="P657" s="9" t="str">
        <f t="shared" ca="1" si="62"/>
        <v>ATRASADO</v>
      </c>
      <c r="Q657" s="291" t="s">
        <v>1556</v>
      </c>
      <c r="R657" s="290"/>
      <c r="S657" s="9" t="str">
        <f t="shared" si="71"/>
        <v/>
      </c>
    </row>
    <row r="658" spans="1:19" x14ac:dyDescent="0.3">
      <c r="A658" s="10">
        <v>654</v>
      </c>
      <c r="B658" s="294" t="s">
        <v>579</v>
      </c>
      <c r="C658" s="289" t="s">
        <v>2241</v>
      </c>
      <c r="D658" s="291" t="s">
        <v>2242</v>
      </c>
      <c r="E658" s="292">
        <v>28938</v>
      </c>
      <c r="F658" s="9">
        <f t="shared" ca="1" si="57"/>
        <v>47</v>
      </c>
      <c r="G658" s="293">
        <v>43293</v>
      </c>
      <c r="H658" s="291" t="s">
        <v>271</v>
      </c>
      <c r="I658" s="293">
        <v>44797</v>
      </c>
      <c r="J658" s="578" t="s">
        <v>271</v>
      </c>
      <c r="K658" s="4" t="str">
        <f t="shared" si="66"/>
        <v>I</v>
      </c>
      <c r="L658" s="7" t="str">
        <f t="shared" si="67"/>
        <v>G8</v>
      </c>
      <c r="M658" s="7" t="str">
        <f t="shared" si="68"/>
        <v>J1</v>
      </c>
      <c r="N658" s="62" t="str">
        <f t="shared" si="69"/>
        <v/>
      </c>
      <c r="O658" s="8">
        <f t="shared" si="64"/>
        <v>45893</v>
      </c>
      <c r="P658" s="9" t="str">
        <f t="shared" ca="1" si="62"/>
        <v>ATRASADO</v>
      </c>
      <c r="Q658" s="291" t="s">
        <v>1556</v>
      </c>
      <c r="R658" s="288"/>
      <c r="S658" s="9" t="str">
        <f t="shared" si="71"/>
        <v/>
      </c>
    </row>
    <row r="659" spans="1:19" x14ac:dyDescent="0.3">
      <c r="A659" s="10">
        <v>655</v>
      </c>
      <c r="B659" s="294" t="s">
        <v>312</v>
      </c>
      <c r="C659" s="289" t="s">
        <v>2243</v>
      </c>
      <c r="D659" s="291" t="s">
        <v>2244</v>
      </c>
      <c r="E659" s="292">
        <v>27690</v>
      </c>
      <c r="F659" s="9">
        <f t="shared" ca="1" si="57"/>
        <v>50</v>
      </c>
      <c r="G659" s="293">
        <v>43944</v>
      </c>
      <c r="H659" s="291" t="s">
        <v>8</v>
      </c>
      <c r="I659" s="293">
        <v>44788</v>
      </c>
      <c r="J659" s="578" t="s">
        <v>291</v>
      </c>
      <c r="K659" s="4" t="str">
        <f t="shared" si="66"/>
        <v>I</v>
      </c>
      <c r="L659" s="7" t="str">
        <f t="shared" si="67"/>
        <v>G8</v>
      </c>
      <c r="M659" s="7" t="str">
        <f t="shared" si="68"/>
        <v>J5</v>
      </c>
      <c r="N659" s="62" t="str">
        <f t="shared" si="69"/>
        <v/>
      </c>
      <c r="O659" s="8">
        <f t="shared" si="64"/>
        <v>45884</v>
      </c>
      <c r="P659" s="9" t="str">
        <f t="shared" ca="1" si="62"/>
        <v>ATRASADO</v>
      </c>
      <c r="Q659" s="291" t="s">
        <v>1556</v>
      </c>
      <c r="R659" s="288"/>
      <c r="S659" s="9" t="str">
        <f t="shared" si="71"/>
        <v>CANDIDA</v>
      </c>
    </row>
    <row r="660" spans="1:19" x14ac:dyDescent="0.3">
      <c r="A660" s="10">
        <v>656</v>
      </c>
      <c r="B660" s="294" t="s">
        <v>579</v>
      </c>
      <c r="C660" s="289" t="s">
        <v>2245</v>
      </c>
      <c r="D660" s="291" t="s">
        <v>2246</v>
      </c>
      <c r="E660" s="292">
        <v>29273</v>
      </c>
      <c r="F660" s="9">
        <f t="shared" ca="1" si="57"/>
        <v>46</v>
      </c>
      <c r="G660" s="293">
        <v>44454</v>
      </c>
      <c r="H660" s="291" t="s">
        <v>275</v>
      </c>
      <c r="I660" s="293">
        <v>44777</v>
      </c>
      <c r="J660" s="578" t="s">
        <v>271</v>
      </c>
      <c r="K660" s="4" t="str">
        <f t="shared" si="66"/>
        <v>I</v>
      </c>
      <c r="L660" s="7" t="str">
        <f t="shared" si="67"/>
        <v>G8</v>
      </c>
      <c r="M660" s="7" t="str">
        <f t="shared" si="68"/>
        <v>J1</v>
      </c>
      <c r="N660" s="62" t="str">
        <f t="shared" si="69"/>
        <v/>
      </c>
      <c r="O660" s="8">
        <f t="shared" si="64"/>
        <v>45873</v>
      </c>
      <c r="P660" s="9" t="str">
        <f t="shared" ca="1" si="62"/>
        <v>ATRASADO</v>
      </c>
      <c r="Q660" s="291" t="s">
        <v>1556</v>
      </c>
      <c r="R660" s="288"/>
      <c r="S660" s="9" t="str">
        <f t="shared" si="71"/>
        <v/>
      </c>
    </row>
    <row r="661" spans="1:19" x14ac:dyDescent="0.3">
      <c r="A661" s="10">
        <v>657</v>
      </c>
      <c r="B661" s="302" t="s">
        <v>312</v>
      </c>
      <c r="C661" s="297" t="s">
        <v>2247</v>
      </c>
      <c r="D661" s="299" t="s">
        <v>2248</v>
      </c>
      <c r="E661" s="300">
        <v>25781</v>
      </c>
      <c r="F661" s="9">
        <f t="shared" ca="1" si="57"/>
        <v>56</v>
      </c>
      <c r="G661" s="301">
        <v>43476</v>
      </c>
      <c r="H661" s="299" t="s">
        <v>1606</v>
      </c>
      <c r="I661" s="301">
        <v>44795</v>
      </c>
      <c r="J661" s="578" t="s">
        <v>320</v>
      </c>
      <c r="K661" s="4" t="str">
        <f t="shared" si="66"/>
        <v>I</v>
      </c>
      <c r="L661" s="7" t="str">
        <f t="shared" si="67"/>
        <v>G8</v>
      </c>
      <c r="M661" s="7" t="str">
        <f t="shared" si="68"/>
        <v>J1</v>
      </c>
      <c r="N661" s="62" t="str">
        <f t="shared" si="69"/>
        <v>S</v>
      </c>
      <c r="O661" s="8">
        <f t="shared" si="64"/>
        <v>45160</v>
      </c>
      <c r="P661" s="9" t="str">
        <f t="shared" ca="1" si="62"/>
        <v>ATRASADO</v>
      </c>
      <c r="Q661" s="299" t="s">
        <v>1556</v>
      </c>
      <c r="R661" s="296"/>
      <c r="S661" s="9" t="str">
        <f t="shared" si="71"/>
        <v/>
      </c>
    </row>
    <row r="662" spans="1:19" x14ac:dyDescent="0.3">
      <c r="A662" s="10">
        <v>658</v>
      </c>
      <c r="B662" s="302" t="s">
        <v>346</v>
      </c>
      <c r="C662" s="297" t="s">
        <v>2249</v>
      </c>
      <c r="D662" s="299" t="s">
        <v>2250</v>
      </c>
      <c r="E662" s="300">
        <v>23321</v>
      </c>
      <c r="F662" s="9">
        <f t="shared" ca="1" si="57"/>
        <v>62</v>
      </c>
      <c r="G662" s="301">
        <v>43045</v>
      </c>
      <c r="H662" s="299" t="s">
        <v>271</v>
      </c>
      <c r="I662" s="301">
        <v>44803</v>
      </c>
      <c r="J662" s="578" t="s">
        <v>275</v>
      </c>
      <c r="K662" s="4" t="str">
        <f t="shared" si="66"/>
        <v>I</v>
      </c>
      <c r="L662" s="7" t="str">
        <f t="shared" si="67"/>
        <v>G8</v>
      </c>
      <c r="M662" s="7" t="str">
        <f t="shared" si="68"/>
        <v/>
      </c>
      <c r="N662" s="62" t="str">
        <f t="shared" si="69"/>
        <v/>
      </c>
      <c r="O662" s="8">
        <f t="shared" si="64"/>
        <v>45899</v>
      </c>
      <c r="P662" s="9" t="str">
        <f t="shared" ca="1" si="62"/>
        <v>ATRASADO</v>
      </c>
      <c r="Q662" s="299" t="s">
        <v>1556</v>
      </c>
      <c r="R662" s="296"/>
      <c r="S662" s="9" t="str">
        <f t="shared" si="71"/>
        <v/>
      </c>
    </row>
    <row r="663" spans="1:19" x14ac:dyDescent="0.3">
      <c r="A663" s="10">
        <v>659</v>
      </c>
      <c r="B663" s="302" t="s">
        <v>579</v>
      </c>
      <c r="C663" s="297" t="s">
        <v>2251</v>
      </c>
      <c r="D663" s="299" t="s">
        <v>2252</v>
      </c>
      <c r="E663" s="300">
        <v>30848</v>
      </c>
      <c r="F663" s="9">
        <f t="shared" ca="1" si="57"/>
        <v>42</v>
      </c>
      <c r="G663" s="299" t="s">
        <v>8</v>
      </c>
      <c r="H663" s="299" t="s">
        <v>271</v>
      </c>
      <c r="I663" s="301">
        <v>44801</v>
      </c>
      <c r="J663" s="578" t="s">
        <v>271</v>
      </c>
      <c r="K663" s="4" t="str">
        <f t="shared" si="66"/>
        <v>I</v>
      </c>
      <c r="L663" s="7" t="str">
        <f t="shared" si="67"/>
        <v>G8</v>
      </c>
      <c r="M663" s="7" t="str">
        <f t="shared" si="68"/>
        <v>J1</v>
      </c>
      <c r="N663" s="62" t="str">
        <f t="shared" si="69"/>
        <v/>
      </c>
      <c r="O663" s="8">
        <f t="shared" si="64"/>
        <v>45897</v>
      </c>
      <c r="P663" s="9" t="str">
        <f t="shared" ca="1" si="62"/>
        <v>ATRASADO</v>
      </c>
      <c r="Q663" s="299" t="s">
        <v>1556</v>
      </c>
      <c r="R663" s="296"/>
      <c r="S663" s="9" t="str">
        <f t="shared" si="71"/>
        <v/>
      </c>
    </row>
    <row r="664" spans="1:19" x14ac:dyDescent="0.3">
      <c r="A664" s="10">
        <v>660</v>
      </c>
      <c r="B664" s="302" t="s">
        <v>312</v>
      </c>
      <c r="C664" s="297" t="s">
        <v>2253</v>
      </c>
      <c r="D664" s="443" t="s">
        <v>2254</v>
      </c>
      <c r="E664" s="300">
        <v>22339</v>
      </c>
      <c r="F664" s="9">
        <f t="shared" ca="1" si="57"/>
        <v>65</v>
      </c>
      <c r="G664" s="301">
        <v>44164</v>
      </c>
      <c r="H664" s="299" t="s">
        <v>271</v>
      </c>
      <c r="I664" s="301">
        <v>44779</v>
      </c>
      <c r="J664" s="578" t="s">
        <v>271</v>
      </c>
      <c r="K664" s="4" t="str">
        <f t="shared" si="66"/>
        <v>I</v>
      </c>
      <c r="L664" s="7" t="str">
        <f t="shared" si="67"/>
        <v>G8</v>
      </c>
      <c r="M664" s="7" t="str">
        <f t="shared" si="68"/>
        <v>J1</v>
      </c>
      <c r="N664" s="62" t="str">
        <f t="shared" si="69"/>
        <v/>
      </c>
      <c r="O664" s="8">
        <f t="shared" si="64"/>
        <v>45875</v>
      </c>
      <c r="P664" s="9" t="str">
        <f t="shared" ca="1" si="62"/>
        <v>ATRASADO</v>
      </c>
      <c r="Q664" s="299" t="s">
        <v>1556</v>
      </c>
      <c r="R664" s="296"/>
      <c r="S664" s="9" t="str">
        <f t="shared" si="71"/>
        <v/>
      </c>
    </row>
    <row r="665" spans="1:19" x14ac:dyDescent="0.3">
      <c r="A665" s="10">
        <v>661</v>
      </c>
      <c r="B665" s="302" t="s">
        <v>579</v>
      </c>
      <c r="C665" s="297" t="s">
        <v>2255</v>
      </c>
      <c r="D665" s="299" t="s">
        <v>2256</v>
      </c>
      <c r="E665" s="300">
        <v>24979</v>
      </c>
      <c r="F665" s="9">
        <f t="shared" ca="1" si="57"/>
        <v>58</v>
      </c>
      <c r="G665" s="301">
        <v>43640</v>
      </c>
      <c r="H665" s="299" t="s">
        <v>275</v>
      </c>
      <c r="I665" s="301">
        <v>44776</v>
      </c>
      <c r="J665" s="578" t="s">
        <v>8</v>
      </c>
      <c r="K665" s="4" t="str">
        <f t="shared" si="66"/>
        <v>SI</v>
      </c>
      <c r="L665" s="7" t="str">
        <f t="shared" si="67"/>
        <v xml:space="preserve">N </v>
      </c>
      <c r="M665" s="7" t="str">
        <f t="shared" si="68"/>
        <v>RE</v>
      </c>
      <c r="N665" s="62" t="str">
        <f t="shared" si="69"/>
        <v>GI</v>
      </c>
      <c r="O665" s="8">
        <f t="shared" si="64"/>
        <v>45872</v>
      </c>
      <c r="P665" s="9" t="str">
        <f t="shared" ca="1" si="62"/>
        <v>ATRASADO</v>
      </c>
      <c r="Q665" s="299" t="s">
        <v>1556</v>
      </c>
      <c r="R665" s="298" t="s">
        <v>2257</v>
      </c>
      <c r="S665" s="9" t="str">
        <f t="shared" si="71"/>
        <v/>
      </c>
    </row>
    <row r="666" spans="1:19" x14ac:dyDescent="0.3">
      <c r="A666" s="10">
        <v>662</v>
      </c>
      <c r="B666" s="302" t="s">
        <v>111</v>
      </c>
      <c r="C666" s="297" t="s">
        <v>2258</v>
      </c>
      <c r="D666" s="299" t="s">
        <v>2259</v>
      </c>
      <c r="E666" s="300">
        <v>32001</v>
      </c>
      <c r="F666" s="9">
        <f t="shared" ca="1" si="57"/>
        <v>39</v>
      </c>
      <c r="G666" s="301">
        <v>44195</v>
      </c>
      <c r="H666" s="299" t="s">
        <v>275</v>
      </c>
      <c r="I666" s="301">
        <v>44790</v>
      </c>
      <c r="J666" s="578" t="s">
        <v>300</v>
      </c>
      <c r="K666" s="4" t="str">
        <f t="shared" si="66"/>
        <v>G4</v>
      </c>
      <c r="L666" s="7" t="str">
        <f t="shared" si="67"/>
        <v>O5</v>
      </c>
      <c r="M666" s="7" t="str">
        <f t="shared" si="68"/>
        <v/>
      </c>
      <c r="N666" s="62" t="str">
        <f t="shared" si="69"/>
        <v/>
      </c>
      <c r="O666" s="8">
        <f t="shared" si="64"/>
        <v>44882</v>
      </c>
      <c r="P666" s="9" t="str">
        <f t="shared" ca="1" si="62"/>
        <v>ATRASADO</v>
      </c>
      <c r="Q666" s="299" t="s">
        <v>1556</v>
      </c>
      <c r="R666" s="296"/>
      <c r="S666" s="9" t="str">
        <f t="shared" si="71"/>
        <v/>
      </c>
    </row>
    <row r="667" spans="1:19" x14ac:dyDescent="0.3">
      <c r="A667" s="10">
        <v>663</v>
      </c>
      <c r="B667" s="302" t="s">
        <v>111</v>
      </c>
      <c r="C667" s="297" t="s">
        <v>2260</v>
      </c>
      <c r="D667" s="299" t="s">
        <v>2261</v>
      </c>
      <c r="E667" s="300">
        <v>25763</v>
      </c>
      <c r="F667" s="9">
        <f t="shared" ca="1" si="57"/>
        <v>56</v>
      </c>
      <c r="G667" s="301">
        <v>43712</v>
      </c>
      <c r="H667" s="299" t="s">
        <v>8</v>
      </c>
      <c r="I667" s="301">
        <v>44787</v>
      </c>
      <c r="J667" s="578" t="s">
        <v>275</v>
      </c>
      <c r="K667" s="4" t="str">
        <f t="shared" si="66"/>
        <v>I</v>
      </c>
      <c r="L667" s="7" t="str">
        <f t="shared" si="67"/>
        <v>G8</v>
      </c>
      <c r="M667" s="7" t="str">
        <f t="shared" si="68"/>
        <v/>
      </c>
      <c r="N667" s="62" t="str">
        <f t="shared" si="69"/>
        <v/>
      </c>
      <c r="O667" s="8">
        <f t="shared" si="64"/>
        <v>45883</v>
      </c>
      <c r="P667" s="9" t="str">
        <f t="shared" ca="1" si="62"/>
        <v>ATRASADO</v>
      </c>
      <c r="Q667" s="299" t="s">
        <v>1556</v>
      </c>
      <c r="R667" s="296"/>
      <c r="S667" s="9" t="str">
        <f t="shared" si="71"/>
        <v/>
      </c>
    </row>
    <row r="668" spans="1:19" ht="15" customHeight="1" x14ac:dyDescent="0.3">
      <c r="A668" s="10">
        <v>664</v>
      </c>
      <c r="B668" s="302" t="s">
        <v>579</v>
      </c>
      <c r="C668" s="297" t="s">
        <v>2262</v>
      </c>
      <c r="D668" s="299" t="s">
        <v>2263</v>
      </c>
      <c r="E668" s="300">
        <v>28369</v>
      </c>
      <c r="F668" s="9">
        <f t="shared" ca="1" si="57"/>
        <v>49</v>
      </c>
      <c r="G668" s="299" t="s">
        <v>38</v>
      </c>
      <c r="H668" s="299" t="s">
        <v>271</v>
      </c>
      <c r="I668" s="301">
        <v>44803</v>
      </c>
      <c r="J668" s="578" t="s">
        <v>275</v>
      </c>
      <c r="K668" s="4" t="str">
        <f t="shared" si="66"/>
        <v>I</v>
      </c>
      <c r="L668" s="7" t="str">
        <f t="shared" si="67"/>
        <v>G8</v>
      </c>
      <c r="M668" s="7" t="str">
        <f t="shared" si="68"/>
        <v/>
      </c>
      <c r="N668" s="62" t="str">
        <f t="shared" si="69"/>
        <v/>
      </c>
      <c r="O668" s="8">
        <f t="shared" si="64"/>
        <v>45899</v>
      </c>
      <c r="P668" s="9" t="str">
        <f t="shared" ca="1" si="62"/>
        <v>ATRASADO</v>
      </c>
      <c r="Q668" s="299" t="s">
        <v>1556</v>
      </c>
      <c r="R668" s="296"/>
      <c r="S668" s="9" t="str">
        <f t="shared" si="71"/>
        <v/>
      </c>
    </row>
    <row r="669" spans="1:19" x14ac:dyDescent="0.3">
      <c r="A669" s="10">
        <v>665</v>
      </c>
      <c r="B669" s="302" t="s">
        <v>270</v>
      </c>
      <c r="C669" s="297" t="s">
        <v>2264</v>
      </c>
      <c r="D669" s="299" t="s">
        <v>2265</v>
      </c>
      <c r="E669" s="300">
        <v>32153</v>
      </c>
      <c r="F669" s="9">
        <f t="shared" ca="1" si="57"/>
        <v>38</v>
      </c>
      <c r="G669" s="301">
        <v>43194</v>
      </c>
      <c r="H669" s="299" t="s">
        <v>275</v>
      </c>
      <c r="I669" s="301">
        <v>44783</v>
      </c>
      <c r="J669" s="578" t="s">
        <v>275</v>
      </c>
      <c r="K669" s="4" t="str">
        <f t="shared" si="66"/>
        <v>I</v>
      </c>
      <c r="L669" s="7" t="str">
        <f t="shared" si="67"/>
        <v>G8</v>
      </c>
      <c r="M669" s="7" t="str">
        <f t="shared" si="68"/>
        <v/>
      </c>
      <c r="N669" s="62" t="str">
        <f t="shared" si="69"/>
        <v/>
      </c>
      <c r="O669" s="8">
        <f t="shared" si="64"/>
        <v>45879</v>
      </c>
      <c r="P669" s="9" t="str">
        <f t="shared" ca="1" si="62"/>
        <v>ATRASADO</v>
      </c>
      <c r="Q669" s="299" t="s">
        <v>1556</v>
      </c>
      <c r="R669" s="296"/>
      <c r="S669" s="9" t="str">
        <f t="shared" si="71"/>
        <v/>
      </c>
    </row>
    <row r="670" spans="1:19" x14ac:dyDescent="0.3">
      <c r="A670" s="10">
        <v>666</v>
      </c>
      <c r="B670" s="302" t="s">
        <v>312</v>
      </c>
      <c r="C670" s="297" t="s">
        <v>2266</v>
      </c>
      <c r="D670" s="299" t="s">
        <v>2267</v>
      </c>
      <c r="E670" s="300">
        <v>30457</v>
      </c>
      <c r="F670" s="9">
        <f t="shared" ca="1" si="57"/>
        <v>43</v>
      </c>
      <c r="G670" s="301">
        <v>43896</v>
      </c>
      <c r="H670" s="299" t="s">
        <v>854</v>
      </c>
      <c r="I670" s="301">
        <v>44793</v>
      </c>
      <c r="J670" s="578" t="s">
        <v>271</v>
      </c>
      <c r="K670" s="4" t="str">
        <f t="shared" si="66"/>
        <v>I</v>
      </c>
      <c r="L670" s="7" t="str">
        <f t="shared" si="67"/>
        <v>G8</v>
      </c>
      <c r="M670" s="7" t="str">
        <f t="shared" si="68"/>
        <v>J1</v>
      </c>
      <c r="N670" s="62" t="str">
        <f t="shared" si="69"/>
        <v/>
      </c>
      <c r="O670" s="8">
        <f t="shared" si="64"/>
        <v>45889</v>
      </c>
      <c r="P670" s="9" t="str">
        <f t="shared" ca="1" si="62"/>
        <v>ATRASADO</v>
      </c>
      <c r="Q670" s="299" t="s">
        <v>1556</v>
      </c>
      <c r="R670" s="298"/>
      <c r="S670" s="9" t="str">
        <f t="shared" si="71"/>
        <v/>
      </c>
    </row>
    <row r="671" spans="1:19" x14ac:dyDescent="0.3">
      <c r="A671" s="10">
        <v>667</v>
      </c>
      <c r="B671" s="302" t="s">
        <v>270</v>
      </c>
      <c r="C671" s="297" t="s">
        <v>2268</v>
      </c>
      <c r="D671" s="299" t="s">
        <v>2269</v>
      </c>
      <c r="E671" s="300">
        <v>33513</v>
      </c>
      <c r="F671" s="9">
        <f t="shared" ca="1" si="57"/>
        <v>34</v>
      </c>
      <c r="G671" s="301">
        <v>44441</v>
      </c>
      <c r="H671" s="299" t="s">
        <v>275</v>
      </c>
      <c r="I671" s="301">
        <v>44782</v>
      </c>
      <c r="J671" s="578" t="s">
        <v>271</v>
      </c>
      <c r="K671" s="4" t="str">
        <f t="shared" si="66"/>
        <v>I</v>
      </c>
      <c r="L671" s="7" t="str">
        <f t="shared" si="67"/>
        <v>G8</v>
      </c>
      <c r="M671" s="7" t="str">
        <f t="shared" si="68"/>
        <v>J1</v>
      </c>
      <c r="N671" s="62" t="str">
        <f t="shared" si="69"/>
        <v/>
      </c>
      <c r="O671" s="8">
        <f t="shared" si="64"/>
        <v>45878</v>
      </c>
      <c r="P671" s="9" t="str">
        <f t="shared" ca="1" si="62"/>
        <v>ATRASADO</v>
      </c>
      <c r="Q671" s="299" t="s">
        <v>1556</v>
      </c>
      <c r="R671" s="296"/>
      <c r="S671" s="9" t="str">
        <f t="shared" si="71"/>
        <v/>
      </c>
    </row>
    <row r="672" spans="1:19" x14ac:dyDescent="0.3">
      <c r="A672" s="10">
        <v>668</v>
      </c>
      <c r="B672" s="313" t="s">
        <v>56</v>
      </c>
      <c r="C672" s="5" t="s">
        <v>2270</v>
      </c>
      <c r="D672" s="9" t="s">
        <v>2271</v>
      </c>
      <c r="E672" s="2">
        <v>34254</v>
      </c>
      <c r="F672" s="9">
        <f t="shared" ca="1" si="57"/>
        <v>32</v>
      </c>
      <c r="G672" s="300">
        <v>43004</v>
      </c>
      <c r="H672" s="2" t="s">
        <v>275</v>
      </c>
      <c r="I672" s="300">
        <v>44776</v>
      </c>
      <c r="J672" s="583" t="s">
        <v>8</v>
      </c>
      <c r="K672" s="4" t="str">
        <f t="shared" si="66"/>
        <v>SI</v>
      </c>
      <c r="L672" s="7" t="str">
        <f t="shared" si="67"/>
        <v xml:space="preserve">N </v>
      </c>
      <c r="M672" s="7" t="str">
        <f t="shared" si="68"/>
        <v>RE</v>
      </c>
      <c r="N672" s="62" t="str">
        <f t="shared" si="69"/>
        <v>GI</v>
      </c>
      <c r="O672" s="8">
        <f t="shared" si="64"/>
        <v>45872</v>
      </c>
      <c r="P672" s="9" t="str">
        <f t="shared" ca="1" si="62"/>
        <v>ATRASADO</v>
      </c>
      <c r="Q672" s="9" t="s">
        <v>341</v>
      </c>
      <c r="S672" s="9" t="str">
        <f t="shared" si="71"/>
        <v/>
      </c>
    </row>
    <row r="673" spans="1:19" x14ac:dyDescent="0.3">
      <c r="A673" s="10">
        <v>669</v>
      </c>
      <c r="B673" s="313" t="s">
        <v>56</v>
      </c>
      <c r="C673" s="5" t="s">
        <v>2272</v>
      </c>
      <c r="D673" s="9" t="s">
        <v>2273</v>
      </c>
      <c r="E673" s="2">
        <v>34751</v>
      </c>
      <c r="F673" s="9">
        <f t="shared" ca="1" si="57"/>
        <v>31</v>
      </c>
      <c r="G673" s="9">
        <v>43046</v>
      </c>
      <c r="H673" s="2" t="s">
        <v>271</v>
      </c>
      <c r="I673" s="59">
        <v>44798</v>
      </c>
      <c r="J673" s="583" t="s">
        <v>8</v>
      </c>
      <c r="K673" s="4" t="str">
        <f t="shared" si="66"/>
        <v>SI</v>
      </c>
      <c r="L673" s="7" t="str">
        <f t="shared" si="67"/>
        <v xml:space="preserve">N </v>
      </c>
      <c r="M673" s="7" t="str">
        <f t="shared" si="68"/>
        <v>RE</v>
      </c>
      <c r="N673" s="62" t="str">
        <f t="shared" si="69"/>
        <v>GI</v>
      </c>
      <c r="O673" s="8">
        <f t="shared" si="64"/>
        <v>45894</v>
      </c>
      <c r="P673" s="9" t="str">
        <f t="shared" ca="1" si="62"/>
        <v>ATRASADO</v>
      </c>
      <c r="Q673" s="9" t="s">
        <v>341</v>
      </c>
      <c r="R673" s="296"/>
      <c r="S673" s="9" t="str">
        <f t="shared" si="71"/>
        <v/>
      </c>
    </row>
    <row r="674" spans="1:19" x14ac:dyDescent="0.3">
      <c r="A674" s="10">
        <v>670</v>
      </c>
      <c r="B674" s="312" t="s">
        <v>78</v>
      </c>
      <c r="C674" s="305" t="s">
        <v>2274</v>
      </c>
      <c r="D674" s="304" t="s">
        <v>2275</v>
      </c>
      <c r="E674" s="295">
        <v>34019</v>
      </c>
      <c r="F674" s="9">
        <f t="shared" ca="1" si="57"/>
        <v>33</v>
      </c>
      <c r="G674" s="8">
        <v>44324</v>
      </c>
      <c r="H674" s="303" t="s">
        <v>275</v>
      </c>
      <c r="I674" s="300">
        <v>44788</v>
      </c>
      <c r="J674" s="583" t="s">
        <v>275</v>
      </c>
      <c r="K674" s="4" t="str">
        <f t="shared" ref="K674:K737" si="72">IF(OR(LEFT(J674,2)="T1",LEFT(J674,2)="T2",LEFT(J674,2)="A1",LEFT(J674,2)="D0",LEFT(J674,2)="D1",LEFT(J674,2)="D2",LEFT(J674,2)="D3",LEFT(J674,2)="E1",LEFT(J674,2)="E2"),LEFT(J674,2),IF(OR(LEFT(J674,1)="A",LEFT(J674,1)="B",LEFT(J674,1)="C",LEFT(J674,1)="D",LEFT(J674,1)="I",LEFT(J674,1)="E",LEFT(J674,1)="K",LEFT(J674,1)="T"),LEFT(J674,1),LEFT(J674,2)))</f>
        <v>I</v>
      </c>
      <c r="L674" s="7" t="str">
        <f t="shared" ref="L674:L737" si="73">IF(AND(OR(LEFT(J674,2)="A1",LEFT(J674,2)="D0",LEFT(J674,2)="D1",LEFT(J674,2)="D2",LEFT(J674,2)="D3",LEFT(J674,2)="E1",LEFT(J674,2)="E2",LEFT(J674,2)="T1",LEFT(J674,2)="T2"),OR(MID(J674,3,1)="A",MID(J674,3,1)="B",MID(J674,3,1)="C",MID(J674,3,1)="D",MID(J674,3,1)="E",MID(J674,3,1)="I",MID(J674,3,1)="K",MID(J674,3,1)="T",MID(J674,3,1)="N",)),MID(J674,3,1),IF(OR(LEFT(J674,2)="A1",LEFT(J674,2)="D0",LEFT(J674,2)="D1",LEFT(J674,2)="D2",LEFT(J674,2)="D3",LEFT(J674,2)="E1",LEFT(J674,2)="E2",LEFT(J674,2)="T1",LEFT(J674,2)="T2"),MID(J674,3,2),IF(AND(OR(LEFT(J674,1)="A",LEFT(J674,1)="B",LEFT(J674,1)="C",LEFT(J674,1)="D",LEFT(J674,1)="E",LEFT(J674,1)="I",LEFT(J674,1)="K",LEFT(J674,1)="T",LEFT(J674,1)="N"),OR(MID(J674,2,1)="A",MID(J674,2,1)="B",MID(J674,2,1)="C",MID(J674,2,1)="D",MID(J674,2,1)="E",MID(J674,2,1)="I",MID(J674,2,1)="K",MID(J674,2,1)="T",MID(J674,2,1)="N")),MID(J674,2,2),IF(OR(LEFT(J674,1)="A",LEFT(J674,1)="B",LEFT(J674,1)="C",LEFT(J674,1)="D",LEFT(J674,1)="E",LEFT(J674,1)="I",LEFT(J674,1)="K",LEFT(J674,1)="T",LEFT(J674,1)="N"),MID(J674,2,2),MID(J674,3,2)))))</f>
        <v>G8</v>
      </c>
      <c r="M674" s="7" t="str">
        <f t="shared" ref="M674:M737" si="74">IF(AND(OR(LEFT(J674,2)="A1",LEFT(J674,2)="D0",LEFT(J674,2)="D1",LEFT(J674,2)="D2",LEFT(J674,2)="D3",LEFT(J674,2)="E1",LEFT(J674,2)="E2",LEFT(J674,2)="T1",LEFT(J674,2)="T2"),OR(MID(J674,3,1)="A",MID(J674,3,1)="B",MID(J674,3,1)="C",MID(J674,3,1)="D",MID(J674,3,1)="E",MID(J674,3,1)="I",MID(J674,3,1)="K",MID(J674,3,1)="T",MID(J674,3,1)="N",)),MID(J674,4,2),IF(OR(LEFT(J674,2)="A1",LEFT(J674,2)="D0",LEFT(J674,2)="D1",LEFT(J674,2)="D2",LEFT(J674,2)="D3",LEFT(J674,2)="E1",LEFT(J674,2)="E2",LEFT(J674,2)="T1",LEFT(J674,2)="T2"),MID(J674,5,2),IF(AND(OR(LEFT(J674,1)="A",LEFT(J674,1)="B",LEFT(J674,1)="C",LEFT(J674,1)="D",LEFT(J674,1)="E",LEFT(J674,1)="I",LEFT(J674,1)="K",LEFT(J674,1)="T",LEFT(J674,1)="N"),OR(MID(J674,2,1)="A",MID(J674,2,1)="B",MID(J674,2,1)="C",MID(J674,2,1)="D",MID(J674,2,1)="E",MID(J674,2,1)="I",MID(J674,2,1)="K",MID(J674,2,1)="T",MID(J674,2,1)="N")),MID(J674,3,2),IF(OR(LEFT(J674,1)="A",LEFT(J674,1)="B",LEFT(J674,1)="C",LEFT(J674,1)="D",LEFT(J674,1)="E",LEFT(J674,1)="I",LEFT(J674,1)="K",LEFT(J674,1)="T",LEFT(J674,1)="N"),MID(J674,4,2),MID(J674,5,2)))))</f>
        <v/>
      </c>
      <c r="N674" s="62" t="str">
        <f t="shared" ref="N674:N737" si="75">IF(AND(OR(LEFT(J674,1)="I",LEFT(J674,1)="T",LEFT(J674,1)="A",LEFT(J674,1)="B",LEFT(J674,1)="C",LEFT(J674,1)="D",LEFT(J674,1)="E"),OR(MID(J674,2,1)="I",MID(J674,2,1)="T",MID(J674,2,1)="A",MID(J674,2,1)="B",MID(J674,2,1)="C",MID(J674,2,1)="D",MID(J674,2,1)="E")),MID(J674,5,2),IF(OR(LEFT(J674,1)="I",LEFT(J674,1)="T",LEFT(J674,1)="A",LEFT(J674,1)="B",LEFT(J674,1)="C",LEFT(J674,1)="D",LEFT(J674,1)="E"),MID(J674,6,2),MID(J674,7,2)))</f>
        <v/>
      </c>
      <c r="O674" s="8">
        <f t="shared" ref="O674:O737" si="76">IF(I674="","",IF(OR(K674="S",L674="S",M674="S",N674="S",K674="G7",L674="G7",M674="G7",N674="G7",),DATE(YEAR(I674)+1,MONTH(I674),DAY(I674)),IF(OR(K674="O3",L674="O3",M674="O3",N674="O3",K674="ASCUS",L674="ASCUS",M674="ASCUS",N674="ASCUS"),DATE(YEAR(I674),MONTH(I674)+6,DAY(I674)),IF(OR(K674="O5",L674="O5",M674="O5",N674="O5"),DATE(YEAR(I674),MONTH(I674)+3,DAY(I674)),IF(OR(K674="T",L674="T",M674="T",N674="T"),DATE(YEAR(I674),MONTH(I674)+1,DAY(I674)+10),DATE(YEAR(I674)+3,MONTH(I674),DAY(I674)))))))</f>
        <v>45884</v>
      </c>
      <c r="P674" s="9" t="str">
        <f t="shared" ref="P674:P737" ca="1" si="77">IF(O674="","",IF(YEAR(O674)&gt;YEAR(TODAY()),"VIGENTE",IF(AND(YEAR(O674)&gt;=YEAR(TODAY()),MONTH(O674)&gt;=MONTH(TODAY())),"VIGENTE","ATRASADO")))</f>
        <v>ATRASADO</v>
      </c>
      <c r="Q674" s="9" t="s">
        <v>341</v>
      </c>
      <c r="S674" s="9" t="str">
        <f t="shared" si="71"/>
        <v/>
      </c>
    </row>
    <row r="675" spans="1:19" x14ac:dyDescent="0.3">
      <c r="A675" s="10">
        <v>671</v>
      </c>
      <c r="B675" s="312" t="s">
        <v>78</v>
      </c>
      <c r="C675" s="10" t="s">
        <v>2276</v>
      </c>
      <c r="D675" s="304" t="s">
        <v>2277</v>
      </c>
      <c r="E675" s="295">
        <v>36877</v>
      </c>
      <c r="F675" s="9">
        <f t="shared" ref="F675:F929" ca="1" si="78">IF(E675="","",DATEDIF(E675,TODAY(),"Y"))</f>
        <v>25</v>
      </c>
      <c r="G675" s="8">
        <v>43029</v>
      </c>
      <c r="H675" s="303" t="s">
        <v>271</v>
      </c>
      <c r="I675" s="300">
        <v>44799</v>
      </c>
      <c r="J675" s="583" t="s">
        <v>8</v>
      </c>
      <c r="K675" s="4" t="str">
        <f t="shared" si="72"/>
        <v>SI</v>
      </c>
      <c r="L675" s="7" t="str">
        <f t="shared" si="73"/>
        <v xml:space="preserve">N </v>
      </c>
      <c r="M675" s="7" t="str">
        <f t="shared" si="74"/>
        <v>RE</v>
      </c>
      <c r="N675" s="62" t="str">
        <f t="shared" si="75"/>
        <v>GI</v>
      </c>
      <c r="O675" s="8">
        <f t="shared" si="76"/>
        <v>45895</v>
      </c>
      <c r="P675" s="9" t="str">
        <f t="shared" ca="1" si="77"/>
        <v>ATRASADO</v>
      </c>
      <c r="Q675" s="9" t="s">
        <v>341</v>
      </c>
      <c r="R675" s="296"/>
      <c r="S675" s="9" t="str">
        <f t="shared" si="71"/>
        <v/>
      </c>
    </row>
    <row r="676" spans="1:19" x14ac:dyDescent="0.3">
      <c r="A676" s="10">
        <v>672</v>
      </c>
      <c r="B676" s="312" t="s">
        <v>78</v>
      </c>
      <c r="C676" s="10" t="s">
        <v>2278</v>
      </c>
      <c r="D676" s="304" t="s">
        <v>2279</v>
      </c>
      <c r="E676" s="295">
        <v>24172</v>
      </c>
      <c r="F676" s="9">
        <f t="shared" ca="1" si="78"/>
        <v>60</v>
      </c>
      <c r="G676" s="8">
        <v>43765</v>
      </c>
      <c r="H676" s="303" t="s">
        <v>275</v>
      </c>
      <c r="I676" s="8">
        <v>44788</v>
      </c>
      <c r="J676" s="583" t="s">
        <v>271</v>
      </c>
      <c r="K676" s="4" t="str">
        <f t="shared" si="72"/>
        <v>I</v>
      </c>
      <c r="L676" s="7" t="str">
        <f t="shared" si="73"/>
        <v>G8</v>
      </c>
      <c r="M676" s="7" t="str">
        <f t="shared" si="74"/>
        <v>J1</v>
      </c>
      <c r="N676" s="62" t="str">
        <f t="shared" si="75"/>
        <v/>
      </c>
      <c r="O676" s="8">
        <f t="shared" si="76"/>
        <v>45884</v>
      </c>
      <c r="P676" s="9" t="str">
        <f t="shared" ca="1" si="77"/>
        <v>ATRASADO</v>
      </c>
      <c r="Q676" s="9" t="s">
        <v>341</v>
      </c>
      <c r="S676" s="9" t="str">
        <f t="shared" si="71"/>
        <v/>
      </c>
    </row>
    <row r="677" spans="1:19" x14ac:dyDescent="0.3">
      <c r="A677" s="10">
        <v>673</v>
      </c>
      <c r="B677" s="312" t="s">
        <v>78</v>
      </c>
      <c r="C677" s="10" t="s">
        <v>2280</v>
      </c>
      <c r="D677" s="304" t="s">
        <v>2281</v>
      </c>
      <c r="E677" s="295">
        <v>24725</v>
      </c>
      <c r="F677" s="9">
        <f t="shared" ca="1" si="78"/>
        <v>59</v>
      </c>
      <c r="G677" s="8">
        <v>44116</v>
      </c>
      <c r="H677" s="303" t="s">
        <v>271</v>
      </c>
      <c r="I677" s="300">
        <v>44780</v>
      </c>
      <c r="J677" s="583" t="s">
        <v>275</v>
      </c>
      <c r="K677" s="4" t="str">
        <f t="shared" si="72"/>
        <v>I</v>
      </c>
      <c r="L677" s="7" t="str">
        <f t="shared" si="73"/>
        <v>G8</v>
      </c>
      <c r="M677" s="7" t="str">
        <f t="shared" si="74"/>
        <v/>
      </c>
      <c r="N677" s="62" t="str">
        <f t="shared" si="75"/>
        <v/>
      </c>
      <c r="O677" s="8">
        <f t="shared" si="76"/>
        <v>45876</v>
      </c>
      <c r="P677" s="9" t="str">
        <f t="shared" ca="1" si="77"/>
        <v>ATRASADO</v>
      </c>
      <c r="Q677" s="9" t="s">
        <v>341</v>
      </c>
      <c r="R677" s="296"/>
      <c r="S677" s="9" t="str">
        <f t="shared" si="71"/>
        <v/>
      </c>
    </row>
    <row r="678" spans="1:19" x14ac:dyDescent="0.3">
      <c r="A678" s="10">
        <v>674</v>
      </c>
      <c r="B678" s="312" t="s">
        <v>78</v>
      </c>
      <c r="C678" s="10" t="s">
        <v>2282</v>
      </c>
      <c r="D678" s="304" t="s">
        <v>2283</v>
      </c>
      <c r="E678" s="295">
        <v>26672</v>
      </c>
      <c r="F678" s="9">
        <f t="shared" ca="1" si="78"/>
        <v>53</v>
      </c>
      <c r="G678" s="9" t="s">
        <v>8</v>
      </c>
      <c r="H678" s="303" t="s">
        <v>271</v>
      </c>
      <c r="I678" s="300">
        <v>44798</v>
      </c>
      <c r="J678" s="583" t="s">
        <v>271</v>
      </c>
      <c r="K678" s="4" t="str">
        <f t="shared" si="72"/>
        <v>I</v>
      </c>
      <c r="L678" s="7" t="str">
        <f t="shared" si="73"/>
        <v>G8</v>
      </c>
      <c r="M678" s="7" t="str">
        <f t="shared" si="74"/>
        <v>J1</v>
      </c>
      <c r="N678" s="62" t="str">
        <f t="shared" si="75"/>
        <v/>
      </c>
      <c r="O678" s="8">
        <f t="shared" si="76"/>
        <v>45894</v>
      </c>
      <c r="P678" s="9" t="str">
        <f t="shared" ca="1" si="77"/>
        <v>ATRASADO</v>
      </c>
      <c r="Q678" s="9" t="s">
        <v>341</v>
      </c>
      <c r="S678" s="9" t="str">
        <f t="shared" si="71"/>
        <v/>
      </c>
    </row>
    <row r="679" spans="1:19" x14ac:dyDescent="0.3">
      <c r="A679" s="10">
        <v>675</v>
      </c>
      <c r="B679" s="312" t="s">
        <v>78</v>
      </c>
      <c r="C679" s="306" t="s">
        <v>2284</v>
      </c>
      <c r="D679" s="304" t="s">
        <v>2285</v>
      </c>
      <c r="E679" s="295">
        <v>26146</v>
      </c>
      <c r="F679" s="9">
        <f t="shared" ca="1" si="78"/>
        <v>55</v>
      </c>
      <c r="G679" s="8">
        <v>44128</v>
      </c>
      <c r="H679" s="303" t="s">
        <v>271</v>
      </c>
      <c r="I679" s="8">
        <v>44786</v>
      </c>
      <c r="J679" s="583" t="s">
        <v>271</v>
      </c>
      <c r="K679" s="4" t="str">
        <f t="shared" si="72"/>
        <v>I</v>
      </c>
      <c r="L679" s="7" t="str">
        <f t="shared" si="73"/>
        <v>G8</v>
      </c>
      <c r="M679" s="7" t="str">
        <f t="shared" si="74"/>
        <v>J1</v>
      </c>
      <c r="N679" s="62" t="str">
        <f t="shared" si="75"/>
        <v/>
      </c>
      <c r="O679" s="8">
        <f t="shared" si="76"/>
        <v>45882</v>
      </c>
      <c r="P679" s="9" t="str">
        <f t="shared" ca="1" si="77"/>
        <v>ATRASADO</v>
      </c>
      <c r="Q679" s="9" t="s">
        <v>341</v>
      </c>
      <c r="R679" s="296"/>
      <c r="S679" s="9" t="str">
        <f t="shared" si="71"/>
        <v/>
      </c>
    </row>
    <row r="680" spans="1:19" x14ac:dyDescent="0.3">
      <c r="A680" s="10">
        <v>676</v>
      </c>
      <c r="B680" s="312" t="s">
        <v>270</v>
      </c>
      <c r="C680" s="308" t="s">
        <v>2286</v>
      </c>
      <c r="D680" s="309" t="s">
        <v>2287</v>
      </c>
      <c r="E680" s="310">
        <v>21710</v>
      </c>
      <c r="F680" s="9">
        <f t="shared" ca="1" si="78"/>
        <v>67</v>
      </c>
      <c r="G680" s="311">
        <v>43355</v>
      </c>
      <c r="H680" s="309" t="s">
        <v>275</v>
      </c>
      <c r="I680" s="311">
        <v>44786</v>
      </c>
      <c r="J680" s="578" t="s">
        <v>275</v>
      </c>
      <c r="K680" s="4" t="str">
        <f t="shared" si="72"/>
        <v>I</v>
      </c>
      <c r="L680" s="7" t="str">
        <f t="shared" si="73"/>
        <v>G8</v>
      </c>
      <c r="M680" s="7" t="str">
        <f t="shared" si="74"/>
        <v/>
      </c>
      <c r="N680" s="62" t="str">
        <f t="shared" si="75"/>
        <v/>
      </c>
      <c r="O680" s="8">
        <f t="shared" si="76"/>
        <v>45882</v>
      </c>
      <c r="P680" s="9" t="str">
        <f t="shared" ca="1" si="77"/>
        <v>ATRASADO</v>
      </c>
      <c r="Q680" s="309" t="s">
        <v>1556</v>
      </c>
      <c r="R680" s="307"/>
      <c r="S680" s="9" t="str">
        <f t="shared" si="71"/>
        <v/>
      </c>
    </row>
    <row r="681" spans="1:19" x14ac:dyDescent="0.3">
      <c r="A681" s="10">
        <v>677</v>
      </c>
      <c r="B681" s="312" t="s">
        <v>111</v>
      </c>
      <c r="C681" s="308" t="s">
        <v>2288</v>
      </c>
      <c r="D681" s="309" t="s">
        <v>2289</v>
      </c>
      <c r="E681" s="310">
        <v>29278</v>
      </c>
      <c r="F681" s="9">
        <f t="shared" ca="1" si="78"/>
        <v>46</v>
      </c>
      <c r="G681" s="311">
        <v>43898</v>
      </c>
      <c r="H681" s="309" t="s">
        <v>275</v>
      </c>
      <c r="I681" s="311">
        <v>44787</v>
      </c>
      <c r="J681" s="578" t="s">
        <v>275</v>
      </c>
      <c r="K681" s="4" t="str">
        <f t="shared" si="72"/>
        <v>I</v>
      </c>
      <c r="L681" s="7" t="str">
        <f t="shared" si="73"/>
        <v>G8</v>
      </c>
      <c r="M681" s="7" t="str">
        <f t="shared" si="74"/>
        <v/>
      </c>
      <c r="N681" s="62" t="str">
        <f t="shared" si="75"/>
        <v/>
      </c>
      <c r="O681" s="8">
        <f t="shared" si="76"/>
        <v>45883</v>
      </c>
      <c r="P681" s="9" t="str">
        <f t="shared" ca="1" si="77"/>
        <v>ATRASADO</v>
      </c>
      <c r="Q681" s="309" t="s">
        <v>1556</v>
      </c>
      <c r="R681" s="307"/>
      <c r="S681" s="9" t="str">
        <f t="shared" si="71"/>
        <v/>
      </c>
    </row>
    <row r="682" spans="1:19" x14ac:dyDescent="0.3">
      <c r="A682" s="10">
        <v>678</v>
      </c>
      <c r="B682" s="319" t="s">
        <v>312</v>
      </c>
      <c r="C682" s="315" t="s">
        <v>2290</v>
      </c>
      <c r="D682" s="316" t="s">
        <v>2291</v>
      </c>
      <c r="E682" s="317">
        <v>24496</v>
      </c>
      <c r="F682" s="9">
        <f t="shared" ca="1" si="78"/>
        <v>59</v>
      </c>
      <c r="G682" s="318">
        <v>43993</v>
      </c>
      <c r="H682" s="316" t="s">
        <v>271</v>
      </c>
      <c r="I682" s="318">
        <v>44795</v>
      </c>
      <c r="J682" s="578" t="s">
        <v>291</v>
      </c>
      <c r="K682" s="4" t="str">
        <f t="shared" si="72"/>
        <v>I</v>
      </c>
      <c r="L682" s="7" t="str">
        <f t="shared" si="73"/>
        <v>G8</v>
      </c>
      <c r="M682" s="7" t="str">
        <f t="shared" si="74"/>
        <v>J5</v>
      </c>
      <c r="N682" s="62" t="str">
        <f t="shared" si="75"/>
        <v/>
      </c>
      <c r="O682" s="8">
        <f t="shared" si="76"/>
        <v>45891</v>
      </c>
      <c r="P682" s="9" t="str">
        <f t="shared" ca="1" si="77"/>
        <v>ATRASADO</v>
      </c>
      <c r="Q682" s="316" t="s">
        <v>1556</v>
      </c>
      <c r="R682" s="314"/>
      <c r="S682" s="9" t="str">
        <f t="shared" si="71"/>
        <v>CANDIDA</v>
      </c>
    </row>
    <row r="683" spans="1:19" x14ac:dyDescent="0.3">
      <c r="A683" s="10">
        <v>679</v>
      </c>
      <c r="B683" s="319" t="s">
        <v>579</v>
      </c>
      <c r="C683" s="315" t="s">
        <v>2292</v>
      </c>
      <c r="D683" s="316" t="s">
        <v>2293</v>
      </c>
      <c r="E683" s="317">
        <v>32105</v>
      </c>
      <c r="F683" s="9">
        <f t="shared" ca="1" si="78"/>
        <v>38</v>
      </c>
      <c r="G683" s="318">
        <v>44057</v>
      </c>
      <c r="H683" s="316" t="s">
        <v>275</v>
      </c>
      <c r="I683" s="318">
        <v>44784</v>
      </c>
      <c r="J683" s="578" t="s">
        <v>275</v>
      </c>
      <c r="K683" s="4" t="str">
        <f t="shared" si="72"/>
        <v>I</v>
      </c>
      <c r="L683" s="7" t="str">
        <f t="shared" si="73"/>
        <v>G8</v>
      </c>
      <c r="M683" s="7" t="str">
        <f t="shared" si="74"/>
        <v/>
      </c>
      <c r="N683" s="62" t="str">
        <f t="shared" si="75"/>
        <v/>
      </c>
      <c r="O683" s="8">
        <f t="shared" si="76"/>
        <v>45880</v>
      </c>
      <c r="P683" s="9" t="str">
        <f t="shared" ca="1" si="77"/>
        <v>ATRASADO</v>
      </c>
      <c r="Q683" s="316" t="s">
        <v>1556</v>
      </c>
      <c r="R683" s="314"/>
      <c r="S683" s="9" t="str">
        <f t="shared" ref="S683:S746" si="79">IF(OR(K683="T1",L683="T1",M683="T1",N683="T1",),"LESION SOSPECHOSA A UPC",IF(OR(K683="T2",L683="T2",M683="T2",N683="T2",),"DERIVAR A UPC POR SEGUNDO ATIPICO",IF(OR(K683="J2",L683="J2",M683="J2",N683="J2",),"TRICOMONAS",IF(OR(K683="J3",L683="J3",M683="J3",N683="J3",),"HERPES SIMPLEX",IF(OR(K683="J5",L683="J5",M683="J5",N683="J5",),"CANDIDA",IF(OR(K683="J6",L683="J6",M683="J6",N683="J6",),"ACTINOMYCES",IF(OR(K683="A1",L683="A1",M683="A1",N683="A1",),"VPH",IF(OR(K683="ASC-H",L683="ASC-H",M683="ASC-H",K683="H2",K683="H3",K683="H4",N683="ASC-H",K683="AGUS",L683="AGUS",L683="H2",L683="H3",L683="H4",M683="AGUS",M683="H2",M683="H3",M683="H4",N683="AGUS",N683="H2",N683="H3",N683="H4"),"MANDAR A UPC / COLPOSCOPIA",IF(OR(K683="A",K683="B",K683="C",K683="D",K683="D0",K683="D1",K683="D2",K683="D3",K683="E",K683="E1",K683="E2",K683="K",K683="T",L683="A",L683="B",L683="C",L683="D",L683="D0",L683="D1",L683="D2",L683="D3",L683="E",L683="E1",L683="E2",L683="K",L683="T",M683="A",M683="B",M683="C",M683="D",M683="D0",M683="D1",M683="D2",M683="D3",M683="E",M683="E1",M683="E2",M683="K",M683="T",N683="A",N683="B",N683="C",N683="D",N683="D0",N683="D1",K683="D2",N683="D2",N683="D3",N683="E",N683="E1",N683="E2",N683="K",N683="T",),"CITAR A UPC","")))))))))</f>
        <v/>
      </c>
    </row>
    <row r="684" spans="1:19" x14ac:dyDescent="0.3">
      <c r="A684" s="10">
        <v>680</v>
      </c>
      <c r="B684" s="319" t="s">
        <v>270</v>
      </c>
      <c r="C684" s="315" t="s">
        <v>2294</v>
      </c>
      <c r="D684" s="316" t="s">
        <v>2295</v>
      </c>
      <c r="E684" s="317">
        <v>23349</v>
      </c>
      <c r="F684" s="9">
        <f t="shared" ca="1" si="78"/>
        <v>62</v>
      </c>
      <c r="G684" s="316" t="s">
        <v>8</v>
      </c>
      <c r="H684" s="316" t="s">
        <v>320</v>
      </c>
      <c r="I684" s="318">
        <v>44781</v>
      </c>
      <c r="J684" s="578" t="s">
        <v>271</v>
      </c>
      <c r="K684" s="4" t="str">
        <f t="shared" si="72"/>
        <v>I</v>
      </c>
      <c r="L684" s="7" t="str">
        <f t="shared" si="73"/>
        <v>G8</v>
      </c>
      <c r="M684" s="7" t="str">
        <f t="shared" si="74"/>
        <v>J1</v>
      </c>
      <c r="N684" s="62" t="str">
        <f t="shared" si="75"/>
        <v/>
      </c>
      <c r="O684" s="8">
        <f t="shared" si="76"/>
        <v>45877</v>
      </c>
      <c r="P684" s="9" t="str">
        <f t="shared" ca="1" si="77"/>
        <v>ATRASADO</v>
      </c>
      <c r="Q684" s="316" t="s">
        <v>1556</v>
      </c>
      <c r="R684" s="314"/>
      <c r="S684" s="9" t="str">
        <f t="shared" si="79"/>
        <v/>
      </c>
    </row>
    <row r="685" spans="1:19" x14ac:dyDescent="0.3">
      <c r="A685" s="10">
        <v>681</v>
      </c>
      <c r="B685" s="319" t="s">
        <v>270</v>
      </c>
      <c r="C685" s="315" t="s">
        <v>2296</v>
      </c>
      <c r="D685" s="316" t="s">
        <v>2297</v>
      </c>
      <c r="E685" s="317">
        <v>22376</v>
      </c>
      <c r="F685" s="9">
        <f t="shared" ca="1" si="78"/>
        <v>65</v>
      </c>
      <c r="G685" s="318">
        <v>43584</v>
      </c>
      <c r="H685" s="316" t="s">
        <v>275</v>
      </c>
      <c r="I685" s="318">
        <v>44803</v>
      </c>
      <c r="J685" s="578" t="s">
        <v>8</v>
      </c>
      <c r="K685" s="4" t="str">
        <f t="shared" si="72"/>
        <v>SI</v>
      </c>
      <c r="L685" s="7" t="str">
        <f t="shared" si="73"/>
        <v xml:space="preserve">N </v>
      </c>
      <c r="M685" s="7" t="str">
        <f t="shared" si="74"/>
        <v>RE</v>
      </c>
      <c r="N685" s="62" t="str">
        <f t="shared" si="75"/>
        <v>GI</v>
      </c>
      <c r="O685" s="8">
        <f t="shared" si="76"/>
        <v>45899</v>
      </c>
      <c r="P685" s="9" t="str">
        <f t="shared" ca="1" si="77"/>
        <v>ATRASADO</v>
      </c>
      <c r="Q685" s="316" t="s">
        <v>1556</v>
      </c>
      <c r="R685" s="314"/>
      <c r="S685" s="9" t="str">
        <f t="shared" si="79"/>
        <v/>
      </c>
    </row>
    <row r="686" spans="1:19" x14ac:dyDescent="0.3">
      <c r="A686" s="10">
        <v>682</v>
      </c>
      <c r="B686" s="319" t="s">
        <v>111</v>
      </c>
      <c r="C686" s="315" t="s">
        <v>2298</v>
      </c>
      <c r="D686" s="316" t="s">
        <v>2299</v>
      </c>
      <c r="E686" s="317">
        <v>32528</v>
      </c>
      <c r="F686" s="9">
        <f t="shared" ca="1" si="78"/>
        <v>37</v>
      </c>
      <c r="G686" s="318">
        <v>43783</v>
      </c>
      <c r="H686" s="316" t="s">
        <v>271</v>
      </c>
      <c r="I686" s="318">
        <v>44787</v>
      </c>
      <c r="J686" s="578" t="s">
        <v>340</v>
      </c>
      <c r="K686" s="4" t="str">
        <f t="shared" si="72"/>
        <v>I</v>
      </c>
      <c r="L686" s="7" t="str">
        <f t="shared" si="73"/>
        <v>G8</v>
      </c>
      <c r="M686" s="7" t="str">
        <f t="shared" si="74"/>
        <v>S</v>
      </c>
      <c r="N686" s="62" t="str">
        <f t="shared" si="75"/>
        <v/>
      </c>
      <c r="O686" s="8">
        <f t="shared" si="76"/>
        <v>45152</v>
      </c>
      <c r="P686" s="9" t="str">
        <f t="shared" ca="1" si="77"/>
        <v>ATRASADO</v>
      </c>
      <c r="Q686" s="316" t="s">
        <v>1556</v>
      </c>
      <c r="R686" s="314"/>
      <c r="S686" s="9" t="str">
        <f t="shared" si="79"/>
        <v/>
      </c>
    </row>
    <row r="687" spans="1:19" x14ac:dyDescent="0.3">
      <c r="A687" s="10">
        <v>683</v>
      </c>
      <c r="B687" s="319" t="s">
        <v>579</v>
      </c>
      <c r="C687" s="315" t="s">
        <v>2300</v>
      </c>
      <c r="D687" s="316" t="s">
        <v>2301</v>
      </c>
      <c r="E687" s="317">
        <v>30707</v>
      </c>
      <c r="F687" s="9">
        <f t="shared" ca="1" si="78"/>
        <v>42</v>
      </c>
      <c r="G687" s="318">
        <v>43484</v>
      </c>
      <c r="H687" s="316" t="s">
        <v>8</v>
      </c>
      <c r="I687" s="318">
        <v>44778</v>
      </c>
      <c r="J687" s="578" t="s">
        <v>275</v>
      </c>
      <c r="K687" s="4" t="str">
        <f t="shared" si="72"/>
        <v>I</v>
      </c>
      <c r="L687" s="7" t="str">
        <f t="shared" si="73"/>
        <v>G8</v>
      </c>
      <c r="M687" s="7" t="str">
        <f t="shared" si="74"/>
        <v/>
      </c>
      <c r="N687" s="62" t="str">
        <f t="shared" si="75"/>
        <v/>
      </c>
      <c r="O687" s="8">
        <f t="shared" si="76"/>
        <v>45874</v>
      </c>
      <c r="P687" s="9" t="str">
        <f t="shared" ca="1" si="77"/>
        <v>ATRASADO</v>
      </c>
      <c r="Q687" s="316" t="s">
        <v>1556</v>
      </c>
      <c r="R687" s="314"/>
      <c r="S687" s="9" t="str">
        <f t="shared" si="79"/>
        <v/>
      </c>
    </row>
    <row r="688" spans="1:19" x14ac:dyDescent="0.3">
      <c r="A688" s="10">
        <v>684</v>
      </c>
      <c r="B688" s="326" t="s">
        <v>45</v>
      </c>
      <c r="C688" s="321" t="s">
        <v>2302</v>
      </c>
      <c r="D688" s="323" t="s">
        <v>2303</v>
      </c>
      <c r="E688" s="324">
        <v>28328</v>
      </c>
      <c r="F688" s="9">
        <f t="shared" ca="1" si="78"/>
        <v>49</v>
      </c>
      <c r="G688" s="325">
        <v>43122</v>
      </c>
      <c r="H688" s="323" t="s">
        <v>8</v>
      </c>
      <c r="I688" s="325">
        <v>44776</v>
      </c>
      <c r="J688" s="578" t="s">
        <v>275</v>
      </c>
      <c r="K688" s="4" t="str">
        <f t="shared" si="72"/>
        <v>I</v>
      </c>
      <c r="L688" s="7" t="str">
        <f t="shared" si="73"/>
        <v>G8</v>
      </c>
      <c r="M688" s="7" t="str">
        <f t="shared" si="74"/>
        <v/>
      </c>
      <c r="N688" s="62" t="str">
        <f t="shared" si="75"/>
        <v/>
      </c>
      <c r="O688" s="8">
        <f t="shared" si="76"/>
        <v>45872</v>
      </c>
      <c r="P688" s="9" t="str">
        <f t="shared" ca="1" si="77"/>
        <v>ATRASADO</v>
      </c>
      <c r="Q688" s="323" t="s">
        <v>1556</v>
      </c>
      <c r="R688" s="320"/>
      <c r="S688" s="9" t="str">
        <f t="shared" si="79"/>
        <v/>
      </c>
    </row>
    <row r="689" spans="1:19" x14ac:dyDescent="0.3">
      <c r="A689" s="10">
        <v>685</v>
      </c>
      <c r="B689" s="326" t="s">
        <v>111</v>
      </c>
      <c r="C689" s="321" t="s">
        <v>2304</v>
      </c>
      <c r="D689" s="323" t="s">
        <v>2305</v>
      </c>
      <c r="E689" s="324">
        <v>23872</v>
      </c>
      <c r="F689" s="9">
        <f t="shared" ca="1" si="78"/>
        <v>61</v>
      </c>
      <c r="G689" s="325">
        <v>43298</v>
      </c>
      <c r="H689" s="323" t="s">
        <v>8</v>
      </c>
      <c r="I689" s="325">
        <v>44775</v>
      </c>
      <c r="J689" s="578" t="s">
        <v>300</v>
      </c>
      <c r="K689" s="4" t="str">
        <f t="shared" si="72"/>
        <v>G4</v>
      </c>
      <c r="L689" s="7" t="str">
        <f t="shared" si="73"/>
        <v>O5</v>
      </c>
      <c r="M689" s="7" t="str">
        <f t="shared" si="74"/>
        <v/>
      </c>
      <c r="N689" s="62" t="str">
        <f t="shared" si="75"/>
        <v/>
      </c>
      <c r="O689" s="8">
        <f t="shared" si="76"/>
        <v>44867</v>
      </c>
      <c r="P689" s="9" t="str">
        <f t="shared" ca="1" si="77"/>
        <v>ATRASADO</v>
      </c>
      <c r="Q689" s="323" t="s">
        <v>1556</v>
      </c>
      <c r="R689" s="322"/>
      <c r="S689" s="9" t="str">
        <f t="shared" si="79"/>
        <v/>
      </c>
    </row>
    <row r="690" spans="1:19" x14ac:dyDescent="0.3">
      <c r="A690" s="10">
        <v>686</v>
      </c>
      <c r="B690" s="326" t="s">
        <v>111</v>
      </c>
      <c r="C690" s="321" t="s">
        <v>2306</v>
      </c>
      <c r="D690" s="323" t="s">
        <v>2307</v>
      </c>
      <c r="E690" s="324">
        <v>26840</v>
      </c>
      <c r="F690" s="9">
        <f t="shared" ca="1" si="78"/>
        <v>53</v>
      </c>
      <c r="G690" s="325">
        <v>43665</v>
      </c>
      <c r="H690" s="323" t="s">
        <v>275</v>
      </c>
      <c r="I690" s="325">
        <v>44794</v>
      </c>
      <c r="J690" s="578" t="s">
        <v>271</v>
      </c>
      <c r="K690" s="4" t="str">
        <f t="shared" si="72"/>
        <v>I</v>
      </c>
      <c r="L690" s="7" t="str">
        <f t="shared" si="73"/>
        <v>G8</v>
      </c>
      <c r="M690" s="7" t="str">
        <f t="shared" si="74"/>
        <v>J1</v>
      </c>
      <c r="N690" s="62" t="str">
        <f t="shared" si="75"/>
        <v/>
      </c>
      <c r="O690" s="8">
        <f t="shared" si="76"/>
        <v>45890</v>
      </c>
      <c r="P690" s="9" t="str">
        <f t="shared" ca="1" si="77"/>
        <v>ATRASADO</v>
      </c>
      <c r="Q690" s="323" t="s">
        <v>1556</v>
      </c>
      <c r="R690" s="322" t="s">
        <v>2308</v>
      </c>
      <c r="S690" s="9" t="str">
        <f t="shared" si="79"/>
        <v/>
      </c>
    </row>
    <row r="691" spans="1:19" x14ac:dyDescent="0.3">
      <c r="A691" s="10">
        <v>687</v>
      </c>
      <c r="B691" s="326" t="s">
        <v>270</v>
      </c>
      <c r="C691" s="321" t="s">
        <v>2309</v>
      </c>
      <c r="D691" s="323" t="s">
        <v>2310</v>
      </c>
      <c r="E691" s="324">
        <v>21307</v>
      </c>
      <c r="F691" s="9">
        <f t="shared" ca="1" si="78"/>
        <v>68</v>
      </c>
      <c r="G691" s="323" t="s">
        <v>8</v>
      </c>
      <c r="H691" s="323" t="s">
        <v>275</v>
      </c>
      <c r="I691" s="325">
        <v>44793</v>
      </c>
      <c r="J691" s="578" t="s">
        <v>271</v>
      </c>
      <c r="K691" s="4" t="str">
        <f t="shared" si="72"/>
        <v>I</v>
      </c>
      <c r="L691" s="7" t="str">
        <f t="shared" si="73"/>
        <v>G8</v>
      </c>
      <c r="M691" s="7" t="str">
        <f t="shared" si="74"/>
        <v>J1</v>
      </c>
      <c r="N691" s="62" t="str">
        <f t="shared" si="75"/>
        <v/>
      </c>
      <c r="O691" s="8">
        <f t="shared" si="76"/>
        <v>45889</v>
      </c>
      <c r="P691" s="9" t="str">
        <f t="shared" ca="1" si="77"/>
        <v>ATRASADO</v>
      </c>
      <c r="Q691" s="323" t="s">
        <v>1556</v>
      </c>
      <c r="R691" s="320"/>
      <c r="S691" s="9" t="str">
        <f t="shared" si="79"/>
        <v/>
      </c>
    </row>
    <row r="692" spans="1:19" x14ac:dyDescent="0.3">
      <c r="A692" s="10">
        <v>688</v>
      </c>
      <c r="B692" s="326" t="s">
        <v>45</v>
      </c>
      <c r="C692" s="321" t="s">
        <v>2311</v>
      </c>
      <c r="D692" s="323" t="s">
        <v>2312</v>
      </c>
      <c r="E692" s="324">
        <v>24640</v>
      </c>
      <c r="F692" s="9">
        <f t="shared" ca="1" si="78"/>
        <v>59</v>
      </c>
      <c r="G692" s="325">
        <v>44197</v>
      </c>
      <c r="H692" s="323" t="s">
        <v>275</v>
      </c>
      <c r="I692" s="325">
        <v>44788</v>
      </c>
      <c r="J692" s="578" t="s">
        <v>271</v>
      </c>
      <c r="K692" s="4" t="str">
        <f t="shared" si="72"/>
        <v>I</v>
      </c>
      <c r="L692" s="7" t="str">
        <f t="shared" si="73"/>
        <v>G8</v>
      </c>
      <c r="M692" s="7" t="str">
        <f t="shared" si="74"/>
        <v>J1</v>
      </c>
      <c r="N692" s="62" t="str">
        <f t="shared" si="75"/>
        <v/>
      </c>
      <c r="O692" s="8">
        <f t="shared" si="76"/>
        <v>45884</v>
      </c>
      <c r="P692" s="9" t="str">
        <f t="shared" ca="1" si="77"/>
        <v>ATRASADO</v>
      </c>
      <c r="Q692" s="323" t="s">
        <v>1556</v>
      </c>
      <c r="R692" s="320"/>
      <c r="S692" s="9" t="str">
        <f t="shared" si="79"/>
        <v/>
      </c>
    </row>
    <row r="693" spans="1:19" x14ac:dyDescent="0.3">
      <c r="A693" s="10">
        <v>689</v>
      </c>
      <c r="B693" s="326" t="s">
        <v>270</v>
      </c>
      <c r="C693" s="321" t="s">
        <v>2313</v>
      </c>
      <c r="D693" s="323" t="s">
        <v>2314</v>
      </c>
      <c r="E693" s="324">
        <v>26463</v>
      </c>
      <c r="F693" s="9">
        <f t="shared" ca="1" si="78"/>
        <v>54</v>
      </c>
      <c r="G693" s="323" t="s">
        <v>8</v>
      </c>
      <c r="H693" s="323" t="s">
        <v>363</v>
      </c>
      <c r="I693" s="325">
        <v>44776</v>
      </c>
      <c r="J693" s="578" t="s">
        <v>8</v>
      </c>
      <c r="K693" s="4" t="str">
        <f t="shared" si="72"/>
        <v>SI</v>
      </c>
      <c r="L693" s="7" t="str">
        <f t="shared" si="73"/>
        <v xml:space="preserve">N </v>
      </c>
      <c r="M693" s="7" t="str">
        <f t="shared" si="74"/>
        <v>RE</v>
      </c>
      <c r="N693" s="62" t="str">
        <f t="shared" si="75"/>
        <v>GI</v>
      </c>
      <c r="O693" s="8">
        <f t="shared" si="76"/>
        <v>45872</v>
      </c>
      <c r="P693" s="9" t="str">
        <f t="shared" ca="1" si="77"/>
        <v>ATRASADO</v>
      </c>
      <c r="Q693" s="323" t="s">
        <v>1556</v>
      </c>
      <c r="R693" s="322" t="s">
        <v>2315</v>
      </c>
      <c r="S693" s="9" t="str">
        <f t="shared" si="79"/>
        <v/>
      </c>
    </row>
    <row r="694" spans="1:19" x14ac:dyDescent="0.3">
      <c r="A694" s="10">
        <v>690</v>
      </c>
      <c r="B694" s="326" t="s">
        <v>270</v>
      </c>
      <c r="C694" s="321" t="s">
        <v>2316</v>
      </c>
      <c r="D694" s="323" t="s">
        <v>2317</v>
      </c>
      <c r="E694" s="324">
        <v>29428</v>
      </c>
      <c r="F694" s="9">
        <f t="shared" ca="1" si="78"/>
        <v>46</v>
      </c>
      <c r="G694" s="323" t="s">
        <v>8</v>
      </c>
      <c r="H694" s="323" t="s">
        <v>275</v>
      </c>
      <c r="I694" s="325">
        <v>44791</v>
      </c>
      <c r="J694" s="578" t="s">
        <v>271</v>
      </c>
      <c r="K694" s="4" t="str">
        <f t="shared" si="72"/>
        <v>I</v>
      </c>
      <c r="L694" s="7" t="str">
        <f t="shared" si="73"/>
        <v>G8</v>
      </c>
      <c r="M694" s="7" t="str">
        <f t="shared" si="74"/>
        <v>J1</v>
      </c>
      <c r="N694" s="62" t="str">
        <f t="shared" si="75"/>
        <v/>
      </c>
      <c r="O694" s="8">
        <f t="shared" si="76"/>
        <v>45887</v>
      </c>
      <c r="P694" s="9" t="str">
        <f t="shared" ca="1" si="77"/>
        <v>ATRASADO</v>
      </c>
      <c r="Q694" s="323" t="s">
        <v>1556</v>
      </c>
      <c r="R694" s="322" t="s">
        <v>2315</v>
      </c>
      <c r="S694" s="9" t="str">
        <f t="shared" si="79"/>
        <v/>
      </c>
    </row>
    <row r="695" spans="1:19" x14ac:dyDescent="0.3">
      <c r="A695" s="10">
        <v>691</v>
      </c>
      <c r="B695" s="326" t="s">
        <v>111</v>
      </c>
      <c r="C695" s="321" t="s">
        <v>2318</v>
      </c>
      <c r="D695" s="323" t="s">
        <v>2319</v>
      </c>
      <c r="E695" s="324">
        <v>31472</v>
      </c>
      <c r="F695" s="9">
        <f t="shared" ca="1" si="78"/>
        <v>40</v>
      </c>
      <c r="G695" s="325">
        <v>43612</v>
      </c>
      <c r="H695" s="323" t="s">
        <v>275</v>
      </c>
      <c r="I695" s="325">
        <v>44777</v>
      </c>
      <c r="J695" s="578" t="s">
        <v>275</v>
      </c>
      <c r="K695" s="4" t="str">
        <f t="shared" si="72"/>
        <v>I</v>
      </c>
      <c r="L695" s="7" t="str">
        <f t="shared" si="73"/>
        <v>G8</v>
      </c>
      <c r="M695" s="7" t="str">
        <f t="shared" si="74"/>
        <v/>
      </c>
      <c r="N695" s="62" t="str">
        <f t="shared" si="75"/>
        <v/>
      </c>
      <c r="O695" s="8">
        <f t="shared" si="76"/>
        <v>45873</v>
      </c>
      <c r="P695" s="9" t="str">
        <f t="shared" ca="1" si="77"/>
        <v>ATRASADO</v>
      </c>
      <c r="Q695" s="323" t="s">
        <v>1556</v>
      </c>
      <c r="R695" s="322"/>
      <c r="S695" s="9" t="str">
        <f t="shared" si="79"/>
        <v/>
      </c>
    </row>
    <row r="696" spans="1:19" x14ac:dyDescent="0.3">
      <c r="A696" s="10">
        <v>692</v>
      </c>
      <c r="B696" s="326" t="s">
        <v>270</v>
      </c>
      <c r="C696" s="321" t="s">
        <v>2320</v>
      </c>
      <c r="D696" s="323" t="s">
        <v>2321</v>
      </c>
      <c r="E696" s="324">
        <v>30258</v>
      </c>
      <c r="F696" s="9">
        <f t="shared" ca="1" si="78"/>
        <v>43</v>
      </c>
      <c r="G696" s="325">
        <v>44274</v>
      </c>
      <c r="H696" s="323" t="s">
        <v>271</v>
      </c>
      <c r="I696" s="325">
        <v>44774</v>
      </c>
      <c r="J696" s="578" t="s">
        <v>271</v>
      </c>
      <c r="K696" s="4" t="str">
        <f t="shared" si="72"/>
        <v>I</v>
      </c>
      <c r="L696" s="7" t="str">
        <f t="shared" si="73"/>
        <v>G8</v>
      </c>
      <c r="M696" s="7" t="str">
        <f t="shared" si="74"/>
        <v>J1</v>
      </c>
      <c r="N696" s="62" t="str">
        <f t="shared" si="75"/>
        <v/>
      </c>
      <c r="O696" s="8">
        <f t="shared" si="76"/>
        <v>45870</v>
      </c>
      <c r="P696" s="9" t="str">
        <f t="shared" ca="1" si="77"/>
        <v>ATRASADO</v>
      </c>
      <c r="Q696" s="323" t="s">
        <v>1556</v>
      </c>
      <c r="R696" s="322"/>
      <c r="S696" s="9" t="str">
        <f t="shared" si="79"/>
        <v/>
      </c>
    </row>
    <row r="697" spans="1:19" x14ac:dyDescent="0.3">
      <c r="A697" s="10">
        <v>693</v>
      </c>
      <c r="B697" s="326" t="s">
        <v>270</v>
      </c>
      <c r="C697" s="321" t="s">
        <v>2322</v>
      </c>
      <c r="D697" s="323" t="s">
        <v>2323</v>
      </c>
      <c r="E697" s="324">
        <v>34208</v>
      </c>
      <c r="F697" s="9">
        <f t="shared" ca="1" si="78"/>
        <v>33</v>
      </c>
      <c r="G697" s="325">
        <v>43209</v>
      </c>
      <c r="H697" s="323" t="s">
        <v>275</v>
      </c>
      <c r="I697" s="325">
        <v>44801</v>
      </c>
      <c r="J697" s="578" t="s">
        <v>275</v>
      </c>
      <c r="K697" s="4" t="str">
        <f t="shared" si="72"/>
        <v>I</v>
      </c>
      <c r="L697" s="7" t="str">
        <f t="shared" si="73"/>
        <v>G8</v>
      </c>
      <c r="M697" s="7" t="str">
        <f t="shared" si="74"/>
        <v/>
      </c>
      <c r="N697" s="62" t="str">
        <f t="shared" si="75"/>
        <v/>
      </c>
      <c r="O697" s="8">
        <f t="shared" si="76"/>
        <v>45897</v>
      </c>
      <c r="P697" s="9" t="str">
        <f t="shared" ca="1" si="77"/>
        <v>ATRASADO</v>
      </c>
      <c r="Q697" s="323" t="s">
        <v>1556</v>
      </c>
      <c r="R697" s="320"/>
      <c r="S697" s="9" t="str">
        <f t="shared" si="79"/>
        <v/>
      </c>
    </row>
    <row r="698" spans="1:19" x14ac:dyDescent="0.3">
      <c r="A698" s="10">
        <v>694</v>
      </c>
      <c r="B698" s="326" t="s">
        <v>270</v>
      </c>
      <c r="C698" s="321" t="s">
        <v>2324</v>
      </c>
      <c r="D698" s="323" t="s">
        <v>2325</v>
      </c>
      <c r="E698" s="324">
        <v>22871</v>
      </c>
      <c r="F698" s="9">
        <f t="shared" ca="1" si="78"/>
        <v>64</v>
      </c>
      <c r="G698" s="325">
        <v>44176</v>
      </c>
      <c r="H698" s="323" t="s">
        <v>271</v>
      </c>
      <c r="I698" s="325">
        <v>44801</v>
      </c>
      <c r="J698" s="578" t="s">
        <v>271</v>
      </c>
      <c r="K698" s="4" t="str">
        <f t="shared" si="72"/>
        <v>I</v>
      </c>
      <c r="L698" s="7" t="str">
        <f t="shared" si="73"/>
        <v>G8</v>
      </c>
      <c r="M698" s="7" t="str">
        <f t="shared" si="74"/>
        <v>J1</v>
      </c>
      <c r="N698" s="62" t="str">
        <f t="shared" si="75"/>
        <v/>
      </c>
      <c r="O698" s="8">
        <f t="shared" si="76"/>
        <v>45897</v>
      </c>
      <c r="P698" s="9" t="str">
        <f t="shared" ca="1" si="77"/>
        <v>ATRASADO</v>
      </c>
      <c r="Q698" s="323" t="s">
        <v>1556</v>
      </c>
      <c r="R698" s="320"/>
      <c r="S698" s="9" t="str">
        <f t="shared" si="79"/>
        <v/>
      </c>
    </row>
    <row r="699" spans="1:19" x14ac:dyDescent="0.3">
      <c r="A699" s="10">
        <v>695</v>
      </c>
      <c r="B699" s="326" t="s">
        <v>312</v>
      </c>
      <c r="C699" s="321" t="s">
        <v>2326</v>
      </c>
      <c r="D699" s="323" t="s">
        <v>2327</v>
      </c>
      <c r="E699" s="324">
        <v>33400</v>
      </c>
      <c r="F699" s="9">
        <f t="shared" ca="1" si="78"/>
        <v>35</v>
      </c>
      <c r="G699" s="325">
        <v>44454</v>
      </c>
      <c r="H699" s="323" t="s">
        <v>275</v>
      </c>
      <c r="I699" s="325">
        <v>44796</v>
      </c>
      <c r="J699" s="578" t="s">
        <v>271</v>
      </c>
      <c r="K699" s="4" t="str">
        <f t="shared" si="72"/>
        <v>I</v>
      </c>
      <c r="L699" s="7" t="str">
        <f t="shared" si="73"/>
        <v>G8</v>
      </c>
      <c r="M699" s="7" t="str">
        <f t="shared" si="74"/>
        <v>J1</v>
      </c>
      <c r="N699" s="62" t="str">
        <f t="shared" si="75"/>
        <v/>
      </c>
      <c r="O699" s="8">
        <f t="shared" si="76"/>
        <v>45892</v>
      </c>
      <c r="P699" s="9" t="str">
        <f t="shared" ca="1" si="77"/>
        <v>ATRASADO</v>
      </c>
      <c r="Q699" s="323" t="s">
        <v>1556</v>
      </c>
      <c r="R699" s="320"/>
      <c r="S699" s="9" t="str">
        <f t="shared" si="79"/>
        <v/>
      </c>
    </row>
    <row r="700" spans="1:19" x14ac:dyDescent="0.3">
      <c r="A700" s="10">
        <v>696</v>
      </c>
      <c r="B700" s="326" t="s">
        <v>270</v>
      </c>
      <c r="C700" s="321" t="s">
        <v>2328</v>
      </c>
      <c r="D700" s="548" t="s">
        <v>2329</v>
      </c>
      <c r="E700" s="324">
        <v>26532</v>
      </c>
      <c r="F700" s="9">
        <f t="shared" ca="1" si="78"/>
        <v>54</v>
      </c>
      <c r="G700" s="323" t="s">
        <v>8</v>
      </c>
      <c r="H700" s="323" t="s">
        <v>275</v>
      </c>
      <c r="I700" s="325">
        <v>44794</v>
      </c>
      <c r="J700" s="578" t="s">
        <v>8</v>
      </c>
      <c r="K700" s="4" t="str">
        <f t="shared" si="72"/>
        <v>SI</v>
      </c>
      <c r="L700" s="7" t="str">
        <f t="shared" si="73"/>
        <v xml:space="preserve">N </v>
      </c>
      <c r="M700" s="7" t="str">
        <f t="shared" si="74"/>
        <v>RE</v>
      </c>
      <c r="N700" s="62" t="str">
        <f t="shared" si="75"/>
        <v>GI</v>
      </c>
      <c r="O700" s="8">
        <f t="shared" si="76"/>
        <v>45890</v>
      </c>
      <c r="P700" s="9" t="str">
        <f t="shared" ca="1" si="77"/>
        <v>ATRASADO</v>
      </c>
      <c r="Q700" s="323" t="s">
        <v>1556</v>
      </c>
      <c r="R700" s="320"/>
      <c r="S700" s="9" t="str">
        <f t="shared" si="79"/>
        <v/>
      </c>
    </row>
    <row r="701" spans="1:19" x14ac:dyDescent="0.3">
      <c r="A701" s="10">
        <v>697</v>
      </c>
      <c r="B701" s="326" t="s">
        <v>56</v>
      </c>
      <c r="C701" s="321" t="s">
        <v>2330</v>
      </c>
      <c r="D701" s="323" t="s">
        <v>2331</v>
      </c>
      <c r="E701" s="324">
        <v>29316</v>
      </c>
      <c r="F701" s="9">
        <f t="shared" ca="1" si="78"/>
        <v>46</v>
      </c>
      <c r="G701" s="323" t="s">
        <v>8</v>
      </c>
      <c r="H701" s="323" t="s">
        <v>275</v>
      </c>
      <c r="I701" s="325">
        <v>44776</v>
      </c>
      <c r="J701" s="578" t="s">
        <v>8</v>
      </c>
      <c r="K701" s="4" t="str">
        <f t="shared" si="72"/>
        <v>SI</v>
      </c>
      <c r="L701" s="7" t="str">
        <f t="shared" si="73"/>
        <v xml:space="preserve">N </v>
      </c>
      <c r="M701" s="7" t="str">
        <f t="shared" si="74"/>
        <v>RE</v>
      </c>
      <c r="N701" s="62" t="str">
        <f t="shared" si="75"/>
        <v>GI</v>
      </c>
      <c r="O701" s="8">
        <f t="shared" si="76"/>
        <v>45872</v>
      </c>
      <c r="P701" s="9" t="str">
        <f t="shared" ca="1" si="77"/>
        <v>ATRASADO</v>
      </c>
      <c r="Q701" s="323" t="s">
        <v>1556</v>
      </c>
      <c r="R701" s="320"/>
      <c r="S701" s="9" t="str">
        <f t="shared" si="79"/>
        <v/>
      </c>
    </row>
    <row r="702" spans="1:19" x14ac:dyDescent="0.3">
      <c r="A702" s="10">
        <v>698</v>
      </c>
      <c r="B702" s="333" t="s">
        <v>579</v>
      </c>
      <c r="C702" s="328" t="s">
        <v>2332</v>
      </c>
      <c r="D702" s="330" t="s">
        <v>2333</v>
      </c>
      <c r="E702" s="331">
        <v>31268</v>
      </c>
      <c r="F702" s="9">
        <f t="shared" ca="1" si="78"/>
        <v>41</v>
      </c>
      <c r="G702" s="332">
        <v>43821</v>
      </c>
      <c r="H702" s="330" t="s">
        <v>594</v>
      </c>
      <c r="I702" s="332">
        <v>44783</v>
      </c>
      <c r="J702" s="578" t="s">
        <v>271</v>
      </c>
      <c r="K702" s="4" t="str">
        <f t="shared" si="72"/>
        <v>I</v>
      </c>
      <c r="L702" s="7" t="str">
        <f t="shared" si="73"/>
        <v>G8</v>
      </c>
      <c r="M702" s="7" t="str">
        <f t="shared" si="74"/>
        <v>J1</v>
      </c>
      <c r="N702" s="62" t="str">
        <f t="shared" si="75"/>
        <v/>
      </c>
      <c r="O702" s="8">
        <f t="shared" si="76"/>
        <v>45879</v>
      </c>
      <c r="P702" s="9" t="str">
        <f t="shared" ca="1" si="77"/>
        <v>ATRASADO</v>
      </c>
      <c r="Q702" s="330" t="s">
        <v>1556</v>
      </c>
      <c r="R702" s="327"/>
      <c r="S702" s="9" t="str">
        <f t="shared" si="79"/>
        <v/>
      </c>
    </row>
    <row r="703" spans="1:19" x14ac:dyDescent="0.3">
      <c r="A703" s="10">
        <v>699</v>
      </c>
      <c r="B703" s="333" t="s">
        <v>346</v>
      </c>
      <c r="C703" s="328" t="s">
        <v>2334</v>
      </c>
      <c r="D703" s="330" t="s">
        <v>2335</v>
      </c>
      <c r="E703" s="331">
        <v>23201</v>
      </c>
      <c r="F703" s="9">
        <f t="shared" ca="1" si="78"/>
        <v>63</v>
      </c>
      <c r="G703" s="332">
        <v>43195</v>
      </c>
      <c r="H703" s="330" t="s">
        <v>300</v>
      </c>
      <c r="I703" s="332">
        <v>44803</v>
      </c>
      <c r="J703" s="578" t="s">
        <v>275</v>
      </c>
      <c r="K703" s="4" t="str">
        <f t="shared" si="72"/>
        <v>I</v>
      </c>
      <c r="L703" s="7" t="str">
        <f t="shared" si="73"/>
        <v>G8</v>
      </c>
      <c r="M703" s="7" t="str">
        <f t="shared" si="74"/>
        <v/>
      </c>
      <c r="N703" s="62" t="str">
        <f t="shared" si="75"/>
        <v/>
      </c>
      <c r="O703" s="8">
        <f t="shared" si="76"/>
        <v>45899</v>
      </c>
      <c r="P703" s="9" t="str">
        <f t="shared" ca="1" si="77"/>
        <v>ATRASADO</v>
      </c>
      <c r="Q703" s="330" t="s">
        <v>1556</v>
      </c>
      <c r="R703" s="327"/>
      <c r="S703" s="9" t="str">
        <f t="shared" si="79"/>
        <v/>
      </c>
    </row>
    <row r="704" spans="1:19" x14ac:dyDescent="0.3">
      <c r="A704" s="10">
        <v>700</v>
      </c>
      <c r="B704" s="333" t="s">
        <v>270</v>
      </c>
      <c r="C704" s="328" t="s">
        <v>2336</v>
      </c>
      <c r="D704" s="330" t="s">
        <v>2337</v>
      </c>
      <c r="E704" s="331">
        <v>28789</v>
      </c>
      <c r="F704" s="9">
        <f t="shared" ca="1" si="78"/>
        <v>47</v>
      </c>
      <c r="G704" s="332">
        <v>44469</v>
      </c>
      <c r="H704" s="330" t="s">
        <v>8</v>
      </c>
      <c r="I704" s="332">
        <v>44795</v>
      </c>
      <c r="J704" s="578" t="s">
        <v>271</v>
      </c>
      <c r="K704" s="4" t="str">
        <f t="shared" si="72"/>
        <v>I</v>
      </c>
      <c r="L704" s="7" t="str">
        <f t="shared" si="73"/>
        <v>G8</v>
      </c>
      <c r="M704" s="7" t="str">
        <f t="shared" si="74"/>
        <v>J1</v>
      </c>
      <c r="N704" s="62" t="str">
        <f t="shared" si="75"/>
        <v/>
      </c>
      <c r="O704" s="8">
        <f t="shared" si="76"/>
        <v>45891</v>
      </c>
      <c r="P704" s="9" t="str">
        <f t="shared" ca="1" si="77"/>
        <v>ATRASADO</v>
      </c>
      <c r="Q704" s="330" t="s">
        <v>1556</v>
      </c>
      <c r="R704" s="327"/>
      <c r="S704" s="9" t="str">
        <f t="shared" si="79"/>
        <v/>
      </c>
    </row>
    <row r="705" spans="1:19" x14ac:dyDescent="0.3">
      <c r="A705" s="10">
        <v>701</v>
      </c>
      <c r="B705" s="333" t="s">
        <v>111</v>
      </c>
      <c r="C705" s="328" t="s">
        <v>2338</v>
      </c>
      <c r="D705" s="330" t="s">
        <v>2339</v>
      </c>
      <c r="E705" s="331">
        <v>28766</v>
      </c>
      <c r="F705" s="9">
        <f t="shared" ca="1" si="78"/>
        <v>47</v>
      </c>
      <c r="G705" s="332">
        <v>43860</v>
      </c>
      <c r="H705" s="330" t="s">
        <v>275</v>
      </c>
      <c r="I705" s="332">
        <v>44794</v>
      </c>
      <c r="J705" s="578" t="s">
        <v>271</v>
      </c>
      <c r="K705" s="4" t="str">
        <f t="shared" si="72"/>
        <v>I</v>
      </c>
      <c r="L705" s="7" t="str">
        <f t="shared" si="73"/>
        <v>G8</v>
      </c>
      <c r="M705" s="7" t="str">
        <f t="shared" si="74"/>
        <v>J1</v>
      </c>
      <c r="N705" s="62" t="str">
        <f t="shared" si="75"/>
        <v/>
      </c>
      <c r="O705" s="8">
        <f t="shared" si="76"/>
        <v>45890</v>
      </c>
      <c r="P705" s="9" t="str">
        <f t="shared" ca="1" si="77"/>
        <v>ATRASADO</v>
      </c>
      <c r="Q705" s="330" t="s">
        <v>1556</v>
      </c>
      <c r="R705" s="327"/>
      <c r="S705" s="9" t="str">
        <f t="shared" si="79"/>
        <v/>
      </c>
    </row>
    <row r="706" spans="1:19" x14ac:dyDescent="0.3">
      <c r="A706" s="10">
        <v>702</v>
      </c>
      <c r="B706" s="333" t="s">
        <v>270</v>
      </c>
      <c r="C706" s="328" t="s">
        <v>2340</v>
      </c>
      <c r="D706" s="330" t="s">
        <v>2341</v>
      </c>
      <c r="E706" s="331">
        <v>29526</v>
      </c>
      <c r="F706" s="9">
        <f t="shared" ca="1" si="78"/>
        <v>45</v>
      </c>
      <c r="G706" s="332">
        <v>44183</v>
      </c>
      <c r="H706" s="330" t="s">
        <v>8</v>
      </c>
      <c r="I706" s="332">
        <v>44788</v>
      </c>
      <c r="J706" s="578" t="s">
        <v>275</v>
      </c>
      <c r="K706" s="4" t="str">
        <f t="shared" si="72"/>
        <v>I</v>
      </c>
      <c r="L706" s="7" t="str">
        <f t="shared" si="73"/>
        <v>G8</v>
      </c>
      <c r="M706" s="7" t="str">
        <f t="shared" si="74"/>
        <v/>
      </c>
      <c r="N706" s="62" t="str">
        <f t="shared" si="75"/>
        <v/>
      </c>
      <c r="O706" s="8">
        <f t="shared" si="76"/>
        <v>45884</v>
      </c>
      <c r="P706" s="9" t="str">
        <f t="shared" ca="1" si="77"/>
        <v>ATRASADO</v>
      </c>
      <c r="Q706" s="330" t="s">
        <v>1556</v>
      </c>
      <c r="R706" s="329"/>
      <c r="S706" s="9" t="str">
        <f t="shared" si="79"/>
        <v/>
      </c>
    </row>
    <row r="707" spans="1:19" x14ac:dyDescent="0.3">
      <c r="A707" s="10">
        <v>703</v>
      </c>
      <c r="B707" s="333" t="s">
        <v>75</v>
      </c>
      <c r="C707" s="328" t="s">
        <v>2342</v>
      </c>
      <c r="D707" s="330" t="s">
        <v>2343</v>
      </c>
      <c r="E707" s="331">
        <v>25207</v>
      </c>
      <c r="F707" s="9">
        <f t="shared" ca="1" si="78"/>
        <v>57</v>
      </c>
      <c r="G707" s="330" t="s">
        <v>8</v>
      </c>
      <c r="H707" s="330" t="s">
        <v>8</v>
      </c>
      <c r="I707" s="332">
        <v>44795</v>
      </c>
      <c r="J707" s="578" t="s">
        <v>275</v>
      </c>
      <c r="K707" s="4" t="str">
        <f t="shared" si="72"/>
        <v>I</v>
      </c>
      <c r="L707" s="7" t="str">
        <f t="shared" si="73"/>
        <v>G8</v>
      </c>
      <c r="M707" s="7" t="str">
        <f t="shared" si="74"/>
        <v/>
      </c>
      <c r="N707" s="62" t="str">
        <f t="shared" si="75"/>
        <v/>
      </c>
      <c r="O707" s="8">
        <f t="shared" si="76"/>
        <v>45891</v>
      </c>
      <c r="P707" s="9" t="str">
        <f t="shared" ca="1" si="77"/>
        <v>ATRASADO</v>
      </c>
      <c r="Q707" s="330" t="s">
        <v>1556</v>
      </c>
      <c r="R707" s="327"/>
      <c r="S707" s="9" t="str">
        <f t="shared" si="79"/>
        <v/>
      </c>
    </row>
    <row r="708" spans="1:19" x14ac:dyDescent="0.3">
      <c r="A708" s="10">
        <v>704</v>
      </c>
      <c r="B708" s="339" t="s">
        <v>346</v>
      </c>
      <c r="C708" s="335" t="s">
        <v>2344</v>
      </c>
      <c r="D708" s="336" t="s">
        <v>2345</v>
      </c>
      <c r="E708" s="337">
        <v>32892</v>
      </c>
      <c r="F708" s="9">
        <f t="shared" ca="1" si="78"/>
        <v>36</v>
      </c>
      <c r="G708" s="338">
        <v>44192</v>
      </c>
      <c r="H708" s="336" t="s">
        <v>275</v>
      </c>
      <c r="I708" s="338">
        <v>44779</v>
      </c>
      <c r="J708" s="578" t="s">
        <v>275</v>
      </c>
      <c r="K708" s="4" t="str">
        <f t="shared" si="72"/>
        <v>I</v>
      </c>
      <c r="L708" s="7" t="str">
        <f t="shared" si="73"/>
        <v>G8</v>
      </c>
      <c r="M708" s="7" t="str">
        <f t="shared" si="74"/>
        <v/>
      </c>
      <c r="N708" s="62" t="str">
        <f t="shared" si="75"/>
        <v/>
      </c>
      <c r="O708" s="8">
        <f t="shared" si="76"/>
        <v>45875</v>
      </c>
      <c r="P708" s="9" t="str">
        <f t="shared" ca="1" si="77"/>
        <v>ATRASADO</v>
      </c>
      <c r="Q708" s="336" t="s">
        <v>1556</v>
      </c>
      <c r="R708" s="334"/>
      <c r="S708" s="9" t="str">
        <f t="shared" si="79"/>
        <v/>
      </c>
    </row>
    <row r="709" spans="1:19" x14ac:dyDescent="0.3">
      <c r="A709" s="10">
        <v>705</v>
      </c>
      <c r="B709" s="339" t="s">
        <v>111</v>
      </c>
      <c r="C709" s="335" t="s">
        <v>2346</v>
      </c>
      <c r="D709" s="336" t="s">
        <v>2347</v>
      </c>
      <c r="E709" s="337">
        <v>34349</v>
      </c>
      <c r="F709" s="9">
        <f t="shared" ca="1" si="78"/>
        <v>32</v>
      </c>
      <c r="G709" s="338">
        <v>44245</v>
      </c>
      <c r="H709" s="336" t="s">
        <v>275</v>
      </c>
      <c r="I709" s="338">
        <v>44788</v>
      </c>
      <c r="J709" s="578" t="s">
        <v>271</v>
      </c>
      <c r="K709" s="4" t="str">
        <f t="shared" si="72"/>
        <v>I</v>
      </c>
      <c r="L709" s="7" t="str">
        <f t="shared" si="73"/>
        <v>G8</v>
      </c>
      <c r="M709" s="7" t="str">
        <f t="shared" si="74"/>
        <v>J1</v>
      </c>
      <c r="N709" s="62" t="str">
        <f t="shared" si="75"/>
        <v/>
      </c>
      <c r="O709" s="8">
        <f t="shared" si="76"/>
        <v>45884</v>
      </c>
      <c r="P709" s="9" t="str">
        <f t="shared" ca="1" si="77"/>
        <v>ATRASADO</v>
      </c>
      <c r="Q709" s="336" t="s">
        <v>1556</v>
      </c>
      <c r="R709" s="334"/>
      <c r="S709" s="9" t="str">
        <f t="shared" si="79"/>
        <v/>
      </c>
    </row>
    <row r="710" spans="1:19" x14ac:dyDescent="0.3">
      <c r="A710" s="10">
        <v>706</v>
      </c>
      <c r="B710" s="339" t="s">
        <v>312</v>
      </c>
      <c r="C710" s="335" t="s">
        <v>2348</v>
      </c>
      <c r="D710" s="336" t="s">
        <v>2349</v>
      </c>
      <c r="E710" s="337">
        <v>30034</v>
      </c>
      <c r="F710" s="9">
        <f t="shared" ca="1" si="78"/>
        <v>44</v>
      </c>
      <c r="G710" s="338">
        <v>43763</v>
      </c>
      <c r="H710" s="336" t="s">
        <v>271</v>
      </c>
      <c r="I710" s="338">
        <v>44795</v>
      </c>
      <c r="J710" s="578" t="s">
        <v>271</v>
      </c>
      <c r="K710" s="4" t="str">
        <f t="shared" si="72"/>
        <v>I</v>
      </c>
      <c r="L710" s="7" t="str">
        <f t="shared" si="73"/>
        <v>G8</v>
      </c>
      <c r="M710" s="7" t="str">
        <f t="shared" si="74"/>
        <v>J1</v>
      </c>
      <c r="N710" s="62" t="str">
        <f t="shared" si="75"/>
        <v/>
      </c>
      <c r="O710" s="8">
        <f t="shared" si="76"/>
        <v>45891</v>
      </c>
      <c r="P710" s="9" t="str">
        <f t="shared" ca="1" si="77"/>
        <v>ATRASADO</v>
      </c>
      <c r="Q710" s="336" t="s">
        <v>1556</v>
      </c>
      <c r="R710" s="334"/>
      <c r="S710" s="9" t="str">
        <f t="shared" si="79"/>
        <v/>
      </c>
    </row>
    <row r="711" spans="1:19" x14ac:dyDescent="0.3">
      <c r="A711" s="10">
        <v>707</v>
      </c>
      <c r="B711" s="339" t="s">
        <v>111</v>
      </c>
      <c r="C711" s="335" t="s">
        <v>2350</v>
      </c>
      <c r="D711" s="336" t="s">
        <v>2351</v>
      </c>
      <c r="E711" s="337">
        <v>35027</v>
      </c>
      <c r="F711" s="9">
        <f t="shared" ca="1" si="78"/>
        <v>30</v>
      </c>
      <c r="G711" s="336" t="s">
        <v>8</v>
      </c>
      <c r="H711" s="336" t="s">
        <v>8</v>
      </c>
      <c r="I711" s="338">
        <v>44794</v>
      </c>
      <c r="J711" s="578" t="s">
        <v>271</v>
      </c>
      <c r="K711" s="4" t="str">
        <f t="shared" si="72"/>
        <v>I</v>
      </c>
      <c r="L711" s="7" t="str">
        <f t="shared" si="73"/>
        <v>G8</v>
      </c>
      <c r="M711" s="7" t="str">
        <f t="shared" si="74"/>
        <v>J1</v>
      </c>
      <c r="N711" s="62" t="str">
        <f t="shared" si="75"/>
        <v/>
      </c>
      <c r="O711" s="8">
        <f t="shared" si="76"/>
        <v>45890</v>
      </c>
      <c r="P711" s="9" t="str">
        <f t="shared" ca="1" si="77"/>
        <v>ATRASADO</v>
      </c>
      <c r="Q711" s="336" t="s">
        <v>1556</v>
      </c>
      <c r="R711" s="334"/>
      <c r="S711" s="9" t="str">
        <f t="shared" si="79"/>
        <v/>
      </c>
    </row>
    <row r="712" spans="1:19" x14ac:dyDescent="0.3">
      <c r="A712" s="10">
        <v>708</v>
      </c>
      <c r="B712" s="339" t="s">
        <v>56</v>
      </c>
      <c r="C712" s="335" t="s">
        <v>2352</v>
      </c>
      <c r="D712" s="336" t="s">
        <v>2353</v>
      </c>
      <c r="E712" s="337">
        <v>34685</v>
      </c>
      <c r="F712" s="9">
        <f t="shared" ca="1" si="78"/>
        <v>31</v>
      </c>
      <c r="G712" s="338">
        <v>43445</v>
      </c>
      <c r="H712" s="336" t="s">
        <v>275</v>
      </c>
      <c r="I712" s="338">
        <v>44799</v>
      </c>
      <c r="J712" s="578" t="s">
        <v>8</v>
      </c>
      <c r="K712" s="4" t="str">
        <f t="shared" si="72"/>
        <v>SI</v>
      </c>
      <c r="L712" s="7" t="str">
        <f t="shared" si="73"/>
        <v xml:space="preserve">N </v>
      </c>
      <c r="M712" s="7" t="str">
        <f t="shared" si="74"/>
        <v>RE</v>
      </c>
      <c r="N712" s="62" t="str">
        <f t="shared" si="75"/>
        <v>GI</v>
      </c>
      <c r="O712" s="8">
        <f t="shared" si="76"/>
        <v>45895</v>
      </c>
      <c r="P712" s="9" t="str">
        <f t="shared" ca="1" si="77"/>
        <v>ATRASADO</v>
      </c>
      <c r="Q712" s="336" t="s">
        <v>1556</v>
      </c>
      <c r="R712" s="334"/>
      <c r="S712" s="9" t="str">
        <f t="shared" si="79"/>
        <v/>
      </c>
    </row>
    <row r="713" spans="1:19" x14ac:dyDescent="0.3">
      <c r="A713" s="10">
        <v>709</v>
      </c>
      <c r="B713" s="339" t="s">
        <v>111</v>
      </c>
      <c r="C713" s="335" t="s">
        <v>2354</v>
      </c>
      <c r="D713" s="336" t="s">
        <v>2355</v>
      </c>
      <c r="E713" s="337">
        <v>26795</v>
      </c>
      <c r="F713" s="9">
        <f t="shared" ca="1" si="78"/>
        <v>53</v>
      </c>
      <c r="G713" s="338">
        <v>43858</v>
      </c>
      <c r="H713" s="336" t="s">
        <v>8</v>
      </c>
      <c r="I713" s="338">
        <v>44793</v>
      </c>
      <c r="J713" s="578" t="s">
        <v>275</v>
      </c>
      <c r="K713" s="4" t="str">
        <f t="shared" si="72"/>
        <v>I</v>
      </c>
      <c r="L713" s="7" t="str">
        <f t="shared" si="73"/>
        <v>G8</v>
      </c>
      <c r="M713" s="7" t="str">
        <f t="shared" si="74"/>
        <v/>
      </c>
      <c r="N713" s="62" t="str">
        <f t="shared" si="75"/>
        <v/>
      </c>
      <c r="O713" s="8">
        <f t="shared" si="76"/>
        <v>45889</v>
      </c>
      <c r="P713" s="9" t="str">
        <f t="shared" ca="1" si="77"/>
        <v>ATRASADO</v>
      </c>
      <c r="Q713" s="336" t="s">
        <v>1556</v>
      </c>
      <c r="R713" s="334"/>
      <c r="S713" s="9" t="str">
        <f t="shared" si="79"/>
        <v/>
      </c>
    </row>
    <row r="714" spans="1:19" x14ac:dyDescent="0.3">
      <c r="A714" s="10">
        <v>710</v>
      </c>
      <c r="B714" s="339" t="s">
        <v>270</v>
      </c>
      <c r="C714" s="335" t="s">
        <v>2356</v>
      </c>
      <c r="D714" s="336" t="s">
        <v>2357</v>
      </c>
      <c r="E714" s="337">
        <v>28926</v>
      </c>
      <c r="F714" s="9">
        <f t="shared" ca="1" si="78"/>
        <v>47</v>
      </c>
      <c r="G714" s="336" t="s">
        <v>8</v>
      </c>
      <c r="H714" s="336" t="s">
        <v>271</v>
      </c>
      <c r="I714" s="338">
        <v>44783</v>
      </c>
      <c r="J714" s="578" t="s">
        <v>271</v>
      </c>
      <c r="K714" s="4" t="str">
        <f t="shared" si="72"/>
        <v>I</v>
      </c>
      <c r="L714" s="7" t="str">
        <f t="shared" si="73"/>
        <v>G8</v>
      </c>
      <c r="M714" s="7" t="str">
        <f t="shared" si="74"/>
        <v>J1</v>
      </c>
      <c r="N714" s="62" t="str">
        <f t="shared" si="75"/>
        <v/>
      </c>
      <c r="O714" s="8">
        <f t="shared" si="76"/>
        <v>45879</v>
      </c>
      <c r="P714" s="9" t="str">
        <f t="shared" ca="1" si="77"/>
        <v>ATRASADO</v>
      </c>
      <c r="Q714" s="336" t="s">
        <v>1556</v>
      </c>
      <c r="R714" s="334"/>
      <c r="S714" s="9" t="str">
        <f t="shared" si="79"/>
        <v/>
      </c>
    </row>
    <row r="715" spans="1:19" x14ac:dyDescent="0.3">
      <c r="A715" s="10">
        <v>711</v>
      </c>
      <c r="B715" s="345" t="s">
        <v>56</v>
      </c>
      <c r="C715" s="341" t="s">
        <v>2358</v>
      </c>
      <c r="D715" s="342" t="s">
        <v>2359</v>
      </c>
      <c r="E715" s="343">
        <v>28487</v>
      </c>
      <c r="F715" s="9">
        <f t="shared" ca="1" si="78"/>
        <v>48</v>
      </c>
      <c r="G715" s="344">
        <v>44429</v>
      </c>
      <c r="H715" s="342" t="s">
        <v>275</v>
      </c>
      <c r="I715" s="344">
        <v>44797</v>
      </c>
      <c r="J715" s="578" t="s">
        <v>320</v>
      </c>
      <c r="K715" s="4" t="str">
        <f t="shared" si="72"/>
        <v>I</v>
      </c>
      <c r="L715" s="7" t="str">
        <f t="shared" si="73"/>
        <v>G8</v>
      </c>
      <c r="M715" s="7" t="str">
        <f t="shared" si="74"/>
        <v>J1</v>
      </c>
      <c r="N715" s="62" t="str">
        <f t="shared" si="75"/>
        <v>S</v>
      </c>
      <c r="O715" s="8">
        <f t="shared" si="76"/>
        <v>45162</v>
      </c>
      <c r="P715" s="9" t="str">
        <f t="shared" ca="1" si="77"/>
        <v>ATRASADO</v>
      </c>
      <c r="Q715" s="342" t="s">
        <v>1556</v>
      </c>
      <c r="R715" s="340"/>
      <c r="S715" s="9" t="str">
        <f t="shared" si="79"/>
        <v/>
      </c>
    </row>
    <row r="716" spans="1:19" x14ac:dyDescent="0.3">
      <c r="A716" s="10">
        <v>712</v>
      </c>
      <c r="B716" s="345" t="s">
        <v>45</v>
      </c>
      <c r="C716" s="341" t="s">
        <v>2360</v>
      </c>
      <c r="D716" s="342" t="s">
        <v>2361</v>
      </c>
      <c r="E716" s="343">
        <v>23473</v>
      </c>
      <c r="F716" s="9">
        <f t="shared" ca="1" si="78"/>
        <v>62</v>
      </c>
      <c r="G716" s="342" t="s">
        <v>8</v>
      </c>
      <c r="H716" s="342" t="s">
        <v>275</v>
      </c>
      <c r="I716" s="344">
        <v>44783</v>
      </c>
      <c r="J716" s="578" t="s">
        <v>275</v>
      </c>
      <c r="K716" s="4" t="str">
        <f t="shared" si="72"/>
        <v>I</v>
      </c>
      <c r="L716" s="7" t="str">
        <f t="shared" si="73"/>
        <v>G8</v>
      </c>
      <c r="M716" s="7" t="str">
        <f t="shared" si="74"/>
        <v/>
      </c>
      <c r="N716" s="62" t="str">
        <f t="shared" si="75"/>
        <v/>
      </c>
      <c r="O716" s="8">
        <f t="shared" si="76"/>
        <v>45879</v>
      </c>
      <c r="P716" s="9" t="str">
        <f t="shared" ca="1" si="77"/>
        <v>ATRASADO</v>
      </c>
      <c r="Q716" s="342" t="s">
        <v>1556</v>
      </c>
      <c r="R716" s="340"/>
      <c r="S716" s="9" t="str">
        <f t="shared" si="79"/>
        <v/>
      </c>
    </row>
    <row r="717" spans="1:19" x14ac:dyDescent="0.3">
      <c r="A717" s="10">
        <v>713</v>
      </c>
      <c r="B717" s="352" t="s">
        <v>111</v>
      </c>
      <c r="C717" s="347" t="s">
        <v>2362</v>
      </c>
      <c r="D717" s="349" t="s">
        <v>2363</v>
      </c>
      <c r="E717" s="350">
        <v>23382</v>
      </c>
      <c r="F717" s="9">
        <f t="shared" ca="1" si="78"/>
        <v>62</v>
      </c>
      <c r="G717" s="351">
        <v>44210</v>
      </c>
      <c r="H717" s="349" t="s">
        <v>271</v>
      </c>
      <c r="I717" s="351">
        <v>44800</v>
      </c>
      <c r="J717" s="578" t="s">
        <v>291</v>
      </c>
      <c r="K717" s="4" t="str">
        <f t="shared" si="72"/>
        <v>I</v>
      </c>
      <c r="L717" s="7" t="str">
        <f t="shared" si="73"/>
        <v>G8</v>
      </c>
      <c r="M717" s="7" t="str">
        <f t="shared" si="74"/>
        <v>J5</v>
      </c>
      <c r="N717" s="62" t="str">
        <f t="shared" si="75"/>
        <v/>
      </c>
      <c r="O717" s="8">
        <f t="shared" si="76"/>
        <v>45896</v>
      </c>
      <c r="P717" s="9" t="str">
        <f t="shared" ca="1" si="77"/>
        <v>ATRASADO</v>
      </c>
      <c r="Q717" s="349" t="s">
        <v>1556</v>
      </c>
      <c r="R717" s="346"/>
      <c r="S717" s="9" t="str">
        <f t="shared" si="79"/>
        <v>CANDIDA</v>
      </c>
    </row>
    <row r="718" spans="1:19" x14ac:dyDescent="0.3">
      <c r="A718" s="10">
        <v>714</v>
      </c>
      <c r="B718" s="352" t="s">
        <v>111</v>
      </c>
      <c r="C718" s="347" t="s">
        <v>2364</v>
      </c>
      <c r="D718" s="349" t="s">
        <v>2365</v>
      </c>
      <c r="E718" s="350">
        <v>24369</v>
      </c>
      <c r="F718" s="9">
        <f t="shared" ca="1" si="78"/>
        <v>60</v>
      </c>
      <c r="G718" s="351">
        <v>44376</v>
      </c>
      <c r="H718" s="349" t="s">
        <v>275</v>
      </c>
      <c r="I718" s="351">
        <v>44780</v>
      </c>
      <c r="J718" s="578" t="s">
        <v>275</v>
      </c>
      <c r="K718" s="4" t="str">
        <f t="shared" si="72"/>
        <v>I</v>
      </c>
      <c r="L718" s="7" t="str">
        <f t="shared" si="73"/>
        <v>G8</v>
      </c>
      <c r="M718" s="7" t="str">
        <f t="shared" si="74"/>
        <v/>
      </c>
      <c r="N718" s="62" t="str">
        <f t="shared" si="75"/>
        <v/>
      </c>
      <c r="O718" s="8">
        <f t="shared" si="76"/>
        <v>45876</v>
      </c>
      <c r="P718" s="9" t="str">
        <f t="shared" ca="1" si="77"/>
        <v>ATRASADO</v>
      </c>
      <c r="Q718" s="349" t="s">
        <v>1556</v>
      </c>
      <c r="R718" s="346"/>
      <c r="S718" s="9" t="str">
        <f t="shared" si="79"/>
        <v/>
      </c>
    </row>
    <row r="719" spans="1:19" x14ac:dyDescent="0.3">
      <c r="A719" s="10">
        <v>715</v>
      </c>
      <c r="B719" s="352" t="s">
        <v>111</v>
      </c>
      <c r="C719" s="347" t="s">
        <v>2366</v>
      </c>
      <c r="D719" s="349" t="s">
        <v>2367</v>
      </c>
      <c r="E719" s="350">
        <v>31271</v>
      </c>
      <c r="F719" s="9">
        <f t="shared" ca="1" si="78"/>
        <v>41</v>
      </c>
      <c r="G719" s="351">
        <v>43530</v>
      </c>
      <c r="H719" s="349" t="s">
        <v>271</v>
      </c>
      <c r="I719" s="351">
        <v>44798</v>
      </c>
      <c r="J719" s="578" t="s">
        <v>275</v>
      </c>
      <c r="K719" s="4" t="str">
        <f t="shared" si="72"/>
        <v>I</v>
      </c>
      <c r="L719" s="7" t="str">
        <f t="shared" si="73"/>
        <v>G8</v>
      </c>
      <c r="M719" s="7" t="str">
        <f t="shared" si="74"/>
        <v/>
      </c>
      <c r="N719" s="62" t="str">
        <f t="shared" si="75"/>
        <v/>
      </c>
      <c r="O719" s="8">
        <f t="shared" si="76"/>
        <v>45894</v>
      </c>
      <c r="P719" s="9" t="str">
        <f t="shared" ca="1" si="77"/>
        <v>ATRASADO</v>
      </c>
      <c r="Q719" s="349" t="s">
        <v>1556</v>
      </c>
      <c r="R719" s="346"/>
      <c r="S719" s="9" t="str">
        <f t="shared" si="79"/>
        <v/>
      </c>
    </row>
    <row r="720" spans="1:19" x14ac:dyDescent="0.3">
      <c r="A720" s="10">
        <v>716</v>
      </c>
      <c r="B720" s="352" t="s">
        <v>111</v>
      </c>
      <c r="C720" s="347" t="s">
        <v>2368</v>
      </c>
      <c r="D720" s="349" t="s">
        <v>2369</v>
      </c>
      <c r="E720" s="350">
        <v>23700</v>
      </c>
      <c r="F720" s="9">
        <f t="shared" ca="1" si="78"/>
        <v>61</v>
      </c>
      <c r="G720" s="351">
        <v>42978</v>
      </c>
      <c r="H720" s="349" t="s">
        <v>275</v>
      </c>
      <c r="I720" s="351">
        <v>44797</v>
      </c>
      <c r="J720" s="578" t="s">
        <v>275</v>
      </c>
      <c r="K720" s="4" t="str">
        <f t="shared" si="72"/>
        <v>I</v>
      </c>
      <c r="L720" s="7" t="str">
        <f t="shared" si="73"/>
        <v>G8</v>
      </c>
      <c r="M720" s="7" t="str">
        <f t="shared" si="74"/>
        <v/>
      </c>
      <c r="N720" s="62" t="str">
        <f t="shared" si="75"/>
        <v/>
      </c>
      <c r="O720" s="8">
        <f t="shared" si="76"/>
        <v>45893</v>
      </c>
      <c r="P720" s="9" t="str">
        <f t="shared" ca="1" si="77"/>
        <v>ATRASADO</v>
      </c>
      <c r="Q720" s="349" t="s">
        <v>1556</v>
      </c>
      <c r="R720" s="348"/>
      <c r="S720" s="9" t="str">
        <f t="shared" si="79"/>
        <v/>
      </c>
    </row>
    <row r="721" spans="1:19" x14ac:dyDescent="0.3">
      <c r="A721" s="10">
        <v>717</v>
      </c>
      <c r="B721" s="352" t="s">
        <v>579</v>
      </c>
      <c r="C721" s="347" t="s">
        <v>2370</v>
      </c>
      <c r="D721" s="349" t="s">
        <v>2371</v>
      </c>
      <c r="E721" s="350">
        <v>23085</v>
      </c>
      <c r="F721" s="9">
        <f t="shared" ca="1" si="78"/>
        <v>63</v>
      </c>
      <c r="G721" s="351">
        <v>43769</v>
      </c>
      <c r="H721" s="349" t="s">
        <v>8</v>
      </c>
      <c r="I721" s="351">
        <v>44801</v>
      </c>
      <c r="J721" s="578" t="s">
        <v>320</v>
      </c>
      <c r="K721" s="4" t="str">
        <f t="shared" si="72"/>
        <v>I</v>
      </c>
      <c r="L721" s="7" t="str">
        <f t="shared" si="73"/>
        <v>G8</v>
      </c>
      <c r="M721" s="7" t="str">
        <f t="shared" si="74"/>
        <v>J1</v>
      </c>
      <c r="N721" s="62" t="str">
        <f t="shared" si="75"/>
        <v>S</v>
      </c>
      <c r="O721" s="8">
        <f t="shared" si="76"/>
        <v>45166</v>
      </c>
      <c r="P721" s="9" t="str">
        <f t="shared" ca="1" si="77"/>
        <v>ATRASADO</v>
      </c>
      <c r="Q721" s="349" t="s">
        <v>1556</v>
      </c>
      <c r="R721" s="346"/>
      <c r="S721" s="9" t="str">
        <f t="shared" si="79"/>
        <v/>
      </c>
    </row>
    <row r="722" spans="1:19" x14ac:dyDescent="0.3">
      <c r="A722" s="10">
        <v>718</v>
      </c>
      <c r="B722" s="352" t="s">
        <v>111</v>
      </c>
      <c r="C722" s="347" t="s">
        <v>2372</v>
      </c>
      <c r="D722" s="349" t="s">
        <v>2373</v>
      </c>
      <c r="E722" s="350">
        <v>30367</v>
      </c>
      <c r="F722" s="9">
        <f t="shared" ca="1" si="78"/>
        <v>43</v>
      </c>
      <c r="G722" s="351">
        <v>43693</v>
      </c>
      <c r="H722" s="349" t="s">
        <v>271</v>
      </c>
      <c r="I722" s="351">
        <v>44803</v>
      </c>
      <c r="J722" s="578" t="s">
        <v>275</v>
      </c>
      <c r="K722" s="4" t="str">
        <f t="shared" si="72"/>
        <v>I</v>
      </c>
      <c r="L722" s="7" t="str">
        <f t="shared" si="73"/>
        <v>G8</v>
      </c>
      <c r="M722" s="7" t="str">
        <f t="shared" si="74"/>
        <v/>
      </c>
      <c r="N722" s="62" t="str">
        <f t="shared" si="75"/>
        <v/>
      </c>
      <c r="O722" s="8">
        <f t="shared" si="76"/>
        <v>45899</v>
      </c>
      <c r="P722" s="9" t="str">
        <f t="shared" ca="1" si="77"/>
        <v>ATRASADO</v>
      </c>
      <c r="Q722" s="349" t="s">
        <v>1556</v>
      </c>
      <c r="R722" s="346"/>
      <c r="S722" s="9" t="str">
        <f t="shared" si="79"/>
        <v/>
      </c>
    </row>
    <row r="723" spans="1:19" x14ac:dyDescent="0.3">
      <c r="A723" s="10">
        <v>719</v>
      </c>
      <c r="B723" s="352" t="s">
        <v>111</v>
      </c>
      <c r="C723" s="347" t="s">
        <v>2374</v>
      </c>
      <c r="D723" s="349" t="s">
        <v>2375</v>
      </c>
      <c r="E723" s="350">
        <v>30113</v>
      </c>
      <c r="F723" s="9">
        <f t="shared" ca="1" si="78"/>
        <v>44</v>
      </c>
      <c r="G723" s="351">
        <v>43632</v>
      </c>
      <c r="H723" s="349" t="s">
        <v>8</v>
      </c>
      <c r="I723" s="351">
        <v>44804</v>
      </c>
      <c r="J723" s="578" t="s">
        <v>8</v>
      </c>
      <c r="K723" s="4" t="str">
        <f t="shared" si="72"/>
        <v>SI</v>
      </c>
      <c r="L723" s="7" t="str">
        <f t="shared" si="73"/>
        <v xml:space="preserve">N </v>
      </c>
      <c r="M723" s="7" t="str">
        <f t="shared" si="74"/>
        <v>RE</v>
      </c>
      <c r="N723" s="62" t="str">
        <f t="shared" si="75"/>
        <v>GI</v>
      </c>
      <c r="O723" s="8">
        <f t="shared" si="76"/>
        <v>45900</v>
      </c>
      <c r="P723" s="9" t="str">
        <f t="shared" ca="1" si="77"/>
        <v>ATRASADO</v>
      </c>
      <c r="Q723" s="349" t="s">
        <v>1556</v>
      </c>
      <c r="R723" s="346"/>
      <c r="S723" s="9" t="str">
        <f t="shared" si="79"/>
        <v/>
      </c>
    </row>
    <row r="724" spans="1:19" x14ac:dyDescent="0.3">
      <c r="A724" s="10">
        <v>720</v>
      </c>
      <c r="B724" s="352" t="s">
        <v>111</v>
      </c>
      <c r="C724" s="347" t="s">
        <v>2376</v>
      </c>
      <c r="D724" s="349" t="s">
        <v>2377</v>
      </c>
      <c r="E724" s="350">
        <v>29099</v>
      </c>
      <c r="F724" s="9">
        <f t="shared" ca="1" si="78"/>
        <v>47</v>
      </c>
      <c r="G724" s="351">
        <v>44331</v>
      </c>
      <c r="H724" s="349" t="s">
        <v>271</v>
      </c>
      <c r="I724" s="351">
        <v>44780</v>
      </c>
      <c r="J724" s="578" t="s">
        <v>275</v>
      </c>
      <c r="K724" s="4" t="str">
        <f t="shared" si="72"/>
        <v>I</v>
      </c>
      <c r="L724" s="7" t="str">
        <f t="shared" si="73"/>
        <v>G8</v>
      </c>
      <c r="M724" s="7" t="str">
        <f t="shared" si="74"/>
        <v/>
      </c>
      <c r="N724" s="62" t="str">
        <f t="shared" si="75"/>
        <v/>
      </c>
      <c r="O724" s="8">
        <f t="shared" si="76"/>
        <v>45876</v>
      </c>
      <c r="P724" s="9" t="str">
        <f t="shared" ca="1" si="77"/>
        <v>ATRASADO</v>
      </c>
      <c r="Q724" s="349" t="s">
        <v>1556</v>
      </c>
      <c r="R724" s="346"/>
      <c r="S724" s="9" t="str">
        <f t="shared" si="79"/>
        <v/>
      </c>
    </row>
    <row r="725" spans="1:19" x14ac:dyDescent="0.3">
      <c r="A725" s="10">
        <v>721</v>
      </c>
      <c r="B725" s="352" t="s">
        <v>111</v>
      </c>
      <c r="C725" s="347" t="s">
        <v>2378</v>
      </c>
      <c r="D725" s="349" t="s">
        <v>2379</v>
      </c>
      <c r="E725" s="350">
        <v>24879</v>
      </c>
      <c r="F725" s="9">
        <f t="shared" ca="1" si="78"/>
        <v>58</v>
      </c>
      <c r="G725" s="351">
        <v>43924</v>
      </c>
      <c r="H725" s="349" t="s">
        <v>271</v>
      </c>
      <c r="I725" s="351">
        <v>44781</v>
      </c>
      <c r="J725" s="578" t="s">
        <v>275</v>
      </c>
      <c r="K725" s="4" t="str">
        <f t="shared" si="72"/>
        <v>I</v>
      </c>
      <c r="L725" s="7" t="str">
        <f t="shared" si="73"/>
        <v>G8</v>
      </c>
      <c r="M725" s="7" t="str">
        <f t="shared" si="74"/>
        <v/>
      </c>
      <c r="N725" s="62" t="str">
        <f t="shared" si="75"/>
        <v/>
      </c>
      <c r="O725" s="8">
        <f t="shared" si="76"/>
        <v>45877</v>
      </c>
      <c r="P725" s="9" t="str">
        <f t="shared" ca="1" si="77"/>
        <v>ATRASADO</v>
      </c>
      <c r="Q725" s="349" t="s">
        <v>1556</v>
      </c>
      <c r="R725" s="346"/>
      <c r="S725" s="9" t="str">
        <f t="shared" si="79"/>
        <v/>
      </c>
    </row>
    <row r="726" spans="1:19" x14ac:dyDescent="0.3">
      <c r="A726" s="10">
        <v>722</v>
      </c>
      <c r="B726" s="352" t="s">
        <v>111</v>
      </c>
      <c r="C726" s="347" t="s">
        <v>2380</v>
      </c>
      <c r="D726" s="349" t="s">
        <v>2381</v>
      </c>
      <c r="E726" s="350">
        <v>21451</v>
      </c>
      <c r="F726" s="9">
        <f t="shared" ca="1" si="78"/>
        <v>68</v>
      </c>
      <c r="G726" s="351">
        <v>43490</v>
      </c>
      <c r="H726" s="349" t="s">
        <v>275</v>
      </c>
      <c r="I726" s="351">
        <v>44790</v>
      </c>
      <c r="J726" s="578" t="s">
        <v>320</v>
      </c>
      <c r="K726" s="4" t="str">
        <f t="shared" si="72"/>
        <v>I</v>
      </c>
      <c r="L726" s="7" t="str">
        <f t="shared" si="73"/>
        <v>G8</v>
      </c>
      <c r="M726" s="7" t="str">
        <f t="shared" si="74"/>
        <v>J1</v>
      </c>
      <c r="N726" s="62" t="str">
        <f t="shared" si="75"/>
        <v>S</v>
      </c>
      <c r="O726" s="8">
        <f t="shared" si="76"/>
        <v>45155</v>
      </c>
      <c r="P726" s="9" t="str">
        <f t="shared" ca="1" si="77"/>
        <v>ATRASADO</v>
      </c>
      <c r="Q726" s="349" t="s">
        <v>1556</v>
      </c>
      <c r="R726" s="346"/>
      <c r="S726" s="9" t="str">
        <f t="shared" si="79"/>
        <v/>
      </c>
    </row>
    <row r="727" spans="1:19" x14ac:dyDescent="0.3">
      <c r="A727" s="10">
        <v>723</v>
      </c>
      <c r="B727" s="352" t="s">
        <v>111</v>
      </c>
      <c r="C727" s="347" t="s">
        <v>2382</v>
      </c>
      <c r="D727" s="349" t="s">
        <v>2383</v>
      </c>
      <c r="E727" s="350">
        <v>26011</v>
      </c>
      <c r="F727" s="9">
        <f t="shared" ca="1" si="78"/>
        <v>55</v>
      </c>
      <c r="G727" s="351">
        <v>43932</v>
      </c>
      <c r="H727" s="349" t="s">
        <v>275</v>
      </c>
      <c r="I727" s="351">
        <v>44797</v>
      </c>
      <c r="J727" s="578" t="s">
        <v>275</v>
      </c>
      <c r="K727" s="4" t="str">
        <f t="shared" si="72"/>
        <v>I</v>
      </c>
      <c r="L727" s="7" t="str">
        <f t="shared" si="73"/>
        <v>G8</v>
      </c>
      <c r="M727" s="7" t="str">
        <f t="shared" si="74"/>
        <v/>
      </c>
      <c r="N727" s="62" t="str">
        <f t="shared" si="75"/>
        <v/>
      </c>
      <c r="O727" s="8">
        <f t="shared" si="76"/>
        <v>45893</v>
      </c>
      <c r="P727" s="9" t="str">
        <f t="shared" ca="1" si="77"/>
        <v>ATRASADO</v>
      </c>
      <c r="Q727" s="349" t="s">
        <v>1556</v>
      </c>
      <c r="R727" s="346"/>
      <c r="S727" s="9" t="str">
        <f t="shared" si="79"/>
        <v/>
      </c>
    </row>
    <row r="728" spans="1:19" x14ac:dyDescent="0.3">
      <c r="A728" s="10">
        <v>724</v>
      </c>
      <c r="B728" s="358" t="s">
        <v>111</v>
      </c>
      <c r="C728" s="354" t="s">
        <v>2384</v>
      </c>
      <c r="D728" s="355" t="s">
        <v>2385</v>
      </c>
      <c r="E728" s="356">
        <v>21684</v>
      </c>
      <c r="F728" s="9">
        <f t="shared" ca="1" si="78"/>
        <v>67</v>
      </c>
      <c r="G728" s="357">
        <v>44149</v>
      </c>
      <c r="H728" s="355" t="s">
        <v>275</v>
      </c>
      <c r="I728" s="357">
        <v>44792</v>
      </c>
      <c r="J728" s="578" t="s">
        <v>275</v>
      </c>
      <c r="K728" s="4" t="str">
        <f t="shared" si="72"/>
        <v>I</v>
      </c>
      <c r="L728" s="7" t="str">
        <f t="shared" si="73"/>
        <v>G8</v>
      </c>
      <c r="M728" s="7" t="str">
        <f t="shared" si="74"/>
        <v/>
      </c>
      <c r="N728" s="62" t="str">
        <f t="shared" si="75"/>
        <v/>
      </c>
      <c r="O728" s="8">
        <f t="shared" si="76"/>
        <v>45888</v>
      </c>
      <c r="P728" s="9" t="str">
        <f t="shared" ca="1" si="77"/>
        <v>ATRASADO</v>
      </c>
      <c r="Q728" s="355" t="s">
        <v>1556</v>
      </c>
      <c r="R728" s="353"/>
      <c r="S728" s="9" t="str">
        <f t="shared" si="79"/>
        <v/>
      </c>
    </row>
    <row r="729" spans="1:19" x14ac:dyDescent="0.3">
      <c r="A729" s="10">
        <v>725</v>
      </c>
      <c r="B729" s="365" t="s">
        <v>45</v>
      </c>
      <c r="C729" s="360" t="s">
        <v>2386</v>
      </c>
      <c r="D729" s="362" t="s">
        <v>2387</v>
      </c>
      <c r="E729" s="363">
        <v>30010</v>
      </c>
      <c r="F729" s="9">
        <f t="shared" ca="1" si="78"/>
        <v>44</v>
      </c>
      <c r="G729" s="364">
        <v>43000</v>
      </c>
      <c r="H729" s="362" t="s">
        <v>271</v>
      </c>
      <c r="I729" s="364">
        <v>44814</v>
      </c>
      <c r="J729" s="578" t="s">
        <v>275</v>
      </c>
      <c r="K729" s="4" t="str">
        <f t="shared" si="72"/>
        <v>I</v>
      </c>
      <c r="L729" s="7" t="str">
        <f t="shared" si="73"/>
        <v>G8</v>
      </c>
      <c r="M729" s="7" t="str">
        <f t="shared" si="74"/>
        <v/>
      </c>
      <c r="N729" s="62" t="str">
        <f t="shared" si="75"/>
        <v/>
      </c>
      <c r="O729" s="8">
        <f t="shared" si="76"/>
        <v>45910</v>
      </c>
      <c r="P729" s="9" t="str">
        <f t="shared" ca="1" si="77"/>
        <v>ATRASADO</v>
      </c>
      <c r="Q729" s="362" t="s">
        <v>1556</v>
      </c>
      <c r="R729" s="359"/>
      <c r="S729" s="9" t="str">
        <f t="shared" si="79"/>
        <v/>
      </c>
    </row>
    <row r="730" spans="1:19" x14ac:dyDescent="0.3">
      <c r="A730" s="10">
        <v>726</v>
      </c>
      <c r="B730" s="365" t="s">
        <v>45</v>
      </c>
      <c r="C730" s="360" t="s">
        <v>2388</v>
      </c>
      <c r="D730" s="362" t="s">
        <v>2389</v>
      </c>
      <c r="E730" s="363">
        <v>32329</v>
      </c>
      <c r="F730" s="9">
        <f t="shared" ca="1" si="78"/>
        <v>38</v>
      </c>
      <c r="G730" s="364">
        <v>44489</v>
      </c>
      <c r="H730" s="362" t="s">
        <v>271</v>
      </c>
      <c r="I730" s="364">
        <v>44819</v>
      </c>
      <c r="J730" s="578" t="s">
        <v>275</v>
      </c>
      <c r="K730" s="4" t="str">
        <f t="shared" si="72"/>
        <v>I</v>
      </c>
      <c r="L730" s="7" t="str">
        <f t="shared" si="73"/>
        <v>G8</v>
      </c>
      <c r="M730" s="7" t="str">
        <f t="shared" si="74"/>
        <v/>
      </c>
      <c r="N730" s="62" t="str">
        <f t="shared" si="75"/>
        <v/>
      </c>
      <c r="O730" s="8">
        <f t="shared" si="76"/>
        <v>45915</v>
      </c>
      <c r="P730" s="9" t="str">
        <f t="shared" ca="1" si="77"/>
        <v>ATRASADO</v>
      </c>
      <c r="Q730" s="362" t="s">
        <v>1556</v>
      </c>
      <c r="R730" s="359"/>
      <c r="S730" s="9" t="str">
        <f t="shared" si="79"/>
        <v/>
      </c>
    </row>
    <row r="731" spans="1:19" x14ac:dyDescent="0.3">
      <c r="A731" s="10">
        <v>727</v>
      </c>
      <c r="B731" s="365" t="s">
        <v>45</v>
      </c>
      <c r="C731" s="360" t="s">
        <v>2390</v>
      </c>
      <c r="D731" s="362" t="s">
        <v>2391</v>
      </c>
      <c r="E731" s="363">
        <v>28157</v>
      </c>
      <c r="F731" s="9">
        <f t="shared" ca="1" si="78"/>
        <v>49</v>
      </c>
      <c r="G731" s="364">
        <v>44245</v>
      </c>
      <c r="H731" s="362" t="s">
        <v>275</v>
      </c>
      <c r="I731" s="364">
        <v>44831</v>
      </c>
      <c r="J731" s="578" t="s">
        <v>271</v>
      </c>
      <c r="K731" s="4" t="str">
        <f t="shared" si="72"/>
        <v>I</v>
      </c>
      <c r="L731" s="7" t="str">
        <f t="shared" si="73"/>
        <v>G8</v>
      </c>
      <c r="M731" s="7" t="str">
        <f t="shared" si="74"/>
        <v>J1</v>
      </c>
      <c r="N731" s="62" t="str">
        <f t="shared" si="75"/>
        <v/>
      </c>
      <c r="O731" s="8">
        <f t="shared" si="76"/>
        <v>45927</v>
      </c>
      <c r="P731" s="9" t="str">
        <f t="shared" ca="1" si="77"/>
        <v>ATRASADO</v>
      </c>
      <c r="Q731" s="362" t="s">
        <v>1556</v>
      </c>
      <c r="R731" s="359"/>
      <c r="S731" s="9" t="str">
        <f t="shared" si="79"/>
        <v/>
      </c>
    </row>
    <row r="732" spans="1:19" x14ac:dyDescent="0.3">
      <c r="A732" s="10">
        <v>728</v>
      </c>
      <c r="B732" s="365" t="s">
        <v>45</v>
      </c>
      <c r="C732" s="360" t="s">
        <v>2392</v>
      </c>
      <c r="D732" s="362" t="s">
        <v>2393</v>
      </c>
      <c r="E732" s="363">
        <v>22742</v>
      </c>
      <c r="F732" s="9">
        <f t="shared" ca="1" si="78"/>
        <v>64</v>
      </c>
      <c r="G732" s="364">
        <v>43369</v>
      </c>
      <c r="H732" s="362" t="s">
        <v>8</v>
      </c>
      <c r="I732" s="364">
        <v>44832</v>
      </c>
      <c r="J732" s="578" t="s">
        <v>8</v>
      </c>
      <c r="K732" s="4" t="str">
        <f t="shared" si="72"/>
        <v>SI</v>
      </c>
      <c r="L732" s="7" t="str">
        <f t="shared" si="73"/>
        <v xml:space="preserve">N </v>
      </c>
      <c r="M732" s="7" t="str">
        <f t="shared" si="74"/>
        <v>RE</v>
      </c>
      <c r="N732" s="62" t="str">
        <f t="shared" si="75"/>
        <v>GI</v>
      </c>
      <c r="O732" s="8">
        <f t="shared" si="76"/>
        <v>45928</v>
      </c>
      <c r="P732" s="9" t="str">
        <f t="shared" ca="1" si="77"/>
        <v>ATRASADO</v>
      </c>
      <c r="Q732" s="362" t="s">
        <v>1556</v>
      </c>
      <c r="R732" s="359"/>
      <c r="S732" s="9" t="str">
        <f t="shared" si="79"/>
        <v/>
      </c>
    </row>
    <row r="733" spans="1:19" x14ac:dyDescent="0.3">
      <c r="A733" s="10">
        <v>729</v>
      </c>
      <c r="B733" s="365" t="s">
        <v>45</v>
      </c>
      <c r="C733" s="360" t="s">
        <v>2394</v>
      </c>
      <c r="D733" s="362" t="s">
        <v>2395</v>
      </c>
      <c r="E733" s="363">
        <v>30593</v>
      </c>
      <c r="F733" s="9">
        <f t="shared" ca="1" si="78"/>
        <v>42</v>
      </c>
      <c r="G733" s="364">
        <v>43092</v>
      </c>
      <c r="H733" s="362" t="s">
        <v>8</v>
      </c>
      <c r="I733" s="364">
        <v>44816</v>
      </c>
      <c r="J733" s="578" t="s">
        <v>8</v>
      </c>
      <c r="K733" s="4" t="str">
        <f t="shared" si="72"/>
        <v>SI</v>
      </c>
      <c r="L733" s="7" t="str">
        <f t="shared" si="73"/>
        <v xml:space="preserve">N </v>
      </c>
      <c r="M733" s="7" t="str">
        <f t="shared" si="74"/>
        <v>RE</v>
      </c>
      <c r="N733" s="62" t="str">
        <f t="shared" si="75"/>
        <v>GI</v>
      </c>
      <c r="O733" s="8">
        <f t="shared" si="76"/>
        <v>45912</v>
      </c>
      <c r="P733" s="9" t="str">
        <f t="shared" ca="1" si="77"/>
        <v>ATRASADO</v>
      </c>
      <c r="Q733" s="362" t="s">
        <v>1556</v>
      </c>
      <c r="R733" s="359"/>
      <c r="S733" s="9" t="str">
        <f t="shared" si="79"/>
        <v/>
      </c>
    </row>
    <row r="734" spans="1:19" x14ac:dyDescent="0.3">
      <c r="A734" s="10">
        <v>730</v>
      </c>
      <c r="B734" s="365" t="s">
        <v>45</v>
      </c>
      <c r="C734" s="360" t="s">
        <v>2396</v>
      </c>
      <c r="D734" s="362" t="s">
        <v>2397</v>
      </c>
      <c r="E734" s="363">
        <v>28500</v>
      </c>
      <c r="F734" s="9">
        <f t="shared" ca="1" si="78"/>
        <v>48</v>
      </c>
      <c r="G734" s="364">
        <v>43518</v>
      </c>
      <c r="H734" s="362" t="s">
        <v>271</v>
      </c>
      <c r="I734" s="364">
        <v>44808</v>
      </c>
      <c r="J734" s="578" t="s">
        <v>275</v>
      </c>
      <c r="K734" s="4" t="str">
        <f t="shared" si="72"/>
        <v>I</v>
      </c>
      <c r="L734" s="7" t="str">
        <f t="shared" si="73"/>
        <v>G8</v>
      </c>
      <c r="M734" s="7" t="str">
        <f t="shared" si="74"/>
        <v/>
      </c>
      <c r="N734" s="62" t="str">
        <f t="shared" si="75"/>
        <v/>
      </c>
      <c r="O734" s="8">
        <f t="shared" si="76"/>
        <v>45904</v>
      </c>
      <c r="P734" s="9" t="str">
        <f t="shared" ca="1" si="77"/>
        <v>ATRASADO</v>
      </c>
      <c r="Q734" s="362" t="s">
        <v>1556</v>
      </c>
      <c r="R734" s="361"/>
      <c r="S734" s="9" t="str">
        <f t="shared" si="79"/>
        <v/>
      </c>
    </row>
    <row r="735" spans="1:19" x14ac:dyDescent="0.3">
      <c r="A735" s="10">
        <v>731</v>
      </c>
      <c r="B735" s="365" t="s">
        <v>45</v>
      </c>
      <c r="C735" s="360" t="s">
        <v>2398</v>
      </c>
      <c r="D735" s="362" t="s">
        <v>2399</v>
      </c>
      <c r="E735" s="363">
        <v>25337</v>
      </c>
      <c r="F735" s="9">
        <f t="shared" ca="1" si="78"/>
        <v>57</v>
      </c>
      <c r="G735" s="364">
        <v>43358</v>
      </c>
      <c r="H735" s="362" t="s">
        <v>1227</v>
      </c>
      <c r="I735" s="364">
        <v>44805</v>
      </c>
      <c r="J735" s="578" t="s">
        <v>8</v>
      </c>
      <c r="K735" s="4" t="str">
        <f t="shared" si="72"/>
        <v>SI</v>
      </c>
      <c r="L735" s="7" t="str">
        <f t="shared" si="73"/>
        <v xml:space="preserve">N </v>
      </c>
      <c r="M735" s="7" t="str">
        <f t="shared" si="74"/>
        <v>RE</v>
      </c>
      <c r="N735" s="62" t="str">
        <f t="shared" si="75"/>
        <v>GI</v>
      </c>
      <c r="O735" s="8">
        <f t="shared" si="76"/>
        <v>45901</v>
      </c>
      <c r="P735" s="9" t="str">
        <f t="shared" ca="1" si="77"/>
        <v>ATRASADO</v>
      </c>
      <c r="Q735" s="362" t="s">
        <v>1556</v>
      </c>
      <c r="R735" s="361"/>
      <c r="S735" s="9" t="str">
        <f t="shared" si="79"/>
        <v/>
      </c>
    </row>
    <row r="736" spans="1:19" x14ac:dyDescent="0.3">
      <c r="A736" s="10">
        <v>732</v>
      </c>
      <c r="B736" s="365" t="s">
        <v>45</v>
      </c>
      <c r="C736" s="360" t="s">
        <v>2400</v>
      </c>
      <c r="D736" s="362" t="s">
        <v>2401</v>
      </c>
      <c r="E736" s="363">
        <v>32154</v>
      </c>
      <c r="F736" s="9">
        <f t="shared" ca="1" si="78"/>
        <v>38</v>
      </c>
      <c r="G736" s="364">
        <v>44226</v>
      </c>
      <c r="H736" s="362" t="s">
        <v>271</v>
      </c>
      <c r="I736" s="364">
        <v>44819</v>
      </c>
      <c r="J736" s="578" t="s">
        <v>275</v>
      </c>
      <c r="K736" s="4" t="str">
        <f t="shared" si="72"/>
        <v>I</v>
      </c>
      <c r="L736" s="7" t="str">
        <f t="shared" si="73"/>
        <v>G8</v>
      </c>
      <c r="M736" s="7" t="str">
        <f t="shared" si="74"/>
        <v/>
      </c>
      <c r="N736" s="62" t="str">
        <f t="shared" si="75"/>
        <v/>
      </c>
      <c r="O736" s="8">
        <f t="shared" si="76"/>
        <v>45915</v>
      </c>
      <c r="P736" s="9" t="str">
        <f t="shared" ca="1" si="77"/>
        <v>ATRASADO</v>
      </c>
      <c r="Q736" s="362" t="s">
        <v>1556</v>
      </c>
      <c r="R736" s="359"/>
      <c r="S736" s="9" t="str">
        <f t="shared" si="79"/>
        <v/>
      </c>
    </row>
    <row r="737" spans="1:19" x14ac:dyDescent="0.3">
      <c r="A737" s="10">
        <v>733</v>
      </c>
      <c r="B737" s="365" t="s">
        <v>45</v>
      </c>
      <c r="C737" s="360" t="s">
        <v>2402</v>
      </c>
      <c r="D737" s="362" t="s">
        <v>2403</v>
      </c>
      <c r="E737" s="363">
        <v>33853</v>
      </c>
      <c r="F737" s="9">
        <f t="shared" ca="1" si="78"/>
        <v>34</v>
      </c>
      <c r="G737" s="364">
        <v>43131</v>
      </c>
      <c r="H737" s="362" t="s">
        <v>275</v>
      </c>
      <c r="I737" s="364">
        <v>44811</v>
      </c>
      <c r="J737" s="578" t="s">
        <v>275</v>
      </c>
      <c r="K737" s="4" t="str">
        <f t="shared" si="72"/>
        <v>I</v>
      </c>
      <c r="L737" s="7" t="str">
        <f t="shared" si="73"/>
        <v>G8</v>
      </c>
      <c r="M737" s="7" t="str">
        <f t="shared" si="74"/>
        <v/>
      </c>
      <c r="N737" s="62" t="str">
        <f t="shared" si="75"/>
        <v/>
      </c>
      <c r="O737" s="8">
        <f t="shared" si="76"/>
        <v>45907</v>
      </c>
      <c r="P737" s="9" t="str">
        <f t="shared" ca="1" si="77"/>
        <v>ATRASADO</v>
      </c>
      <c r="Q737" s="362" t="s">
        <v>1556</v>
      </c>
      <c r="R737" s="359"/>
      <c r="S737" s="9" t="str">
        <f t="shared" si="79"/>
        <v/>
      </c>
    </row>
    <row r="738" spans="1:19" x14ac:dyDescent="0.3">
      <c r="A738" s="10">
        <v>734</v>
      </c>
      <c r="B738" s="365" t="s">
        <v>45</v>
      </c>
      <c r="C738" s="360" t="s">
        <v>2404</v>
      </c>
      <c r="D738" s="362" t="s">
        <v>2405</v>
      </c>
      <c r="E738" s="363">
        <v>25751</v>
      </c>
      <c r="F738" s="9">
        <f t="shared" ca="1" si="78"/>
        <v>56</v>
      </c>
      <c r="G738" s="362" t="s">
        <v>8</v>
      </c>
      <c r="H738" s="362" t="s">
        <v>275</v>
      </c>
      <c r="I738" s="364">
        <v>44828</v>
      </c>
      <c r="J738" s="578" t="s">
        <v>271</v>
      </c>
      <c r="K738" s="4" t="str">
        <f t="shared" ref="K738:K992" si="80">IF(OR(LEFT(J738,2)="T1",LEFT(J738,2)="T2",LEFT(J738,2)="A1",LEFT(J738,2)="D0",LEFT(J738,2)="D1",LEFT(J738,2)="D2",LEFT(J738,2)="D3",LEFT(J738,2)="E1",LEFT(J738,2)="E2"),LEFT(J738,2),IF(OR(LEFT(J738,1)="A",LEFT(J738,1)="B",LEFT(J738,1)="C",LEFT(J738,1)="D",LEFT(J738,1)="I",LEFT(J738,1)="E",LEFT(J738,1)="K",LEFT(J738,1)="T"),LEFT(J738,1),LEFT(J738,2)))</f>
        <v>I</v>
      </c>
      <c r="L738" s="7" t="str">
        <f t="shared" ref="L738:L992" si="81">IF(AND(OR(LEFT(J738,2)="A1",LEFT(J738,2)="D0",LEFT(J738,2)="D1",LEFT(J738,2)="D2",LEFT(J738,2)="D3",LEFT(J738,2)="E1",LEFT(J738,2)="E2",LEFT(J738,2)="T1",LEFT(J738,2)="T2"),OR(MID(J738,3,1)="A",MID(J738,3,1)="B",MID(J738,3,1)="C",MID(J738,3,1)="D",MID(J738,3,1)="E",MID(J738,3,1)="I",MID(J738,3,1)="K",MID(J738,3,1)="T",MID(J738,3,1)="N",)),MID(J738,3,1),IF(OR(LEFT(J738,2)="A1",LEFT(J738,2)="D0",LEFT(J738,2)="D1",LEFT(J738,2)="D2",LEFT(J738,2)="D3",LEFT(J738,2)="E1",LEFT(J738,2)="E2",LEFT(J738,2)="T1",LEFT(J738,2)="T2"),MID(J738,3,2),IF(AND(OR(LEFT(J738,1)="A",LEFT(J738,1)="B",LEFT(J738,1)="C",LEFT(J738,1)="D",LEFT(J738,1)="E",LEFT(J738,1)="I",LEFT(J738,1)="K",LEFT(J738,1)="T",LEFT(J738,1)="N"),OR(MID(J738,2,1)="A",MID(J738,2,1)="B",MID(J738,2,1)="C",MID(J738,2,1)="D",MID(J738,2,1)="E",MID(J738,2,1)="I",MID(J738,2,1)="K",MID(J738,2,1)="T",MID(J738,2,1)="N")),MID(J738,2,2),IF(OR(LEFT(J738,1)="A",LEFT(J738,1)="B",LEFT(J738,1)="C",LEFT(J738,1)="D",LEFT(J738,1)="E",LEFT(J738,1)="I",LEFT(J738,1)="K",LEFT(J738,1)="T",LEFT(J738,1)="N"),MID(J738,2,2),MID(J738,3,2)))))</f>
        <v>G8</v>
      </c>
      <c r="M738" s="7" t="str">
        <f t="shared" ref="M738:M992" si="82">IF(AND(OR(LEFT(J738,2)="A1",LEFT(J738,2)="D0",LEFT(J738,2)="D1",LEFT(J738,2)="D2",LEFT(J738,2)="D3",LEFT(J738,2)="E1",LEFT(J738,2)="E2",LEFT(J738,2)="T1",LEFT(J738,2)="T2"),OR(MID(J738,3,1)="A",MID(J738,3,1)="B",MID(J738,3,1)="C",MID(J738,3,1)="D",MID(J738,3,1)="E",MID(J738,3,1)="I",MID(J738,3,1)="K",MID(J738,3,1)="T",MID(J738,3,1)="N",)),MID(J738,4,2),IF(OR(LEFT(J738,2)="A1",LEFT(J738,2)="D0",LEFT(J738,2)="D1",LEFT(J738,2)="D2",LEFT(J738,2)="D3",LEFT(J738,2)="E1",LEFT(J738,2)="E2",LEFT(J738,2)="T1",LEFT(J738,2)="T2"),MID(J738,5,2),IF(AND(OR(LEFT(J738,1)="A",LEFT(J738,1)="B",LEFT(J738,1)="C",LEFT(J738,1)="D",LEFT(J738,1)="E",LEFT(J738,1)="I",LEFT(J738,1)="K",LEFT(J738,1)="T",LEFT(J738,1)="N"),OR(MID(J738,2,1)="A",MID(J738,2,1)="B",MID(J738,2,1)="C",MID(J738,2,1)="D",MID(J738,2,1)="E",MID(J738,2,1)="I",MID(J738,2,1)="K",MID(J738,2,1)="T",MID(J738,2,1)="N")),MID(J738,3,2),IF(OR(LEFT(J738,1)="A",LEFT(J738,1)="B",LEFT(J738,1)="C",LEFT(J738,1)="D",LEFT(J738,1)="E",LEFT(J738,1)="I",LEFT(J738,1)="K",LEFT(J738,1)="T",LEFT(J738,1)="N"),MID(J738,4,2),MID(J738,5,2)))))</f>
        <v>J1</v>
      </c>
      <c r="N738" s="62" t="str">
        <f t="shared" ref="N738:N992" si="83">IF(AND(OR(LEFT(J738,1)="I",LEFT(J738,1)="T",LEFT(J738,1)="A",LEFT(J738,1)="B",LEFT(J738,1)="C",LEFT(J738,1)="D",LEFT(J738,1)="E"),OR(MID(J738,2,1)="I",MID(J738,2,1)="T",MID(J738,2,1)="A",MID(J738,2,1)="B",MID(J738,2,1)="C",MID(J738,2,1)="D",MID(J738,2,1)="E")),MID(J738,5,2),IF(OR(LEFT(J738,1)="I",LEFT(J738,1)="T",LEFT(J738,1)="A",LEFT(J738,1)="B",LEFT(J738,1)="C",LEFT(J738,1)="D",LEFT(J738,1)="E"),MID(J738,6,2),MID(J738,7,2)))</f>
        <v/>
      </c>
      <c r="O738" s="8">
        <f t="shared" ref="O738:O972" si="84">IF(I738="","",IF(OR(K738="S",L738="S",M738="S",N738="S",K738="G7",L738="G7",M738="G7",N738="G7",),DATE(YEAR(I738)+1,MONTH(I738),DAY(I738)),IF(OR(K738="O3",L738="O3",M738="O3",N738="O3",K738="ASCUS",L738="ASCUS",M738="ASCUS",N738="ASCUS"),DATE(YEAR(I738),MONTH(I738)+6,DAY(I738)),IF(OR(K738="O5",L738="O5",M738="O5",N738="O5"),DATE(YEAR(I738),MONTH(I738)+3,DAY(I738)),IF(OR(K738="T",L738="T",M738="T",N738="T"),DATE(YEAR(I738),MONTH(I738)+1,DAY(I738)+10),DATE(YEAR(I738)+3,MONTH(I738),DAY(I738)))))))</f>
        <v>45924</v>
      </c>
      <c r="P738" s="9" t="str">
        <f t="shared" ref="P738:P992" ca="1" si="85">IF(O738="","",IF(YEAR(O738)&gt;YEAR(TODAY()),"VIGENTE",IF(AND(YEAR(O738)&gt;=YEAR(TODAY()),MONTH(O738)&gt;=MONTH(TODAY())),"VIGENTE","ATRASADO")))</f>
        <v>ATRASADO</v>
      </c>
      <c r="Q738" s="362" t="s">
        <v>1556</v>
      </c>
      <c r="R738" s="359"/>
      <c r="S738" s="9" t="str">
        <f t="shared" si="79"/>
        <v/>
      </c>
    </row>
    <row r="739" spans="1:19" x14ac:dyDescent="0.3">
      <c r="A739" s="10">
        <v>735</v>
      </c>
      <c r="B739" s="365" t="s">
        <v>45</v>
      </c>
      <c r="C739" s="360" t="s">
        <v>2406</v>
      </c>
      <c r="D739" s="362" t="s">
        <v>2407</v>
      </c>
      <c r="E739" s="363">
        <v>22967</v>
      </c>
      <c r="F739" s="9">
        <f t="shared" ca="1" si="78"/>
        <v>63</v>
      </c>
      <c r="G739" s="364">
        <v>43131</v>
      </c>
      <c r="H739" s="362" t="s">
        <v>1661</v>
      </c>
      <c r="I739" s="364">
        <v>44822</v>
      </c>
      <c r="J739" s="578" t="s">
        <v>271</v>
      </c>
      <c r="K739" s="4" t="str">
        <f t="shared" si="80"/>
        <v>I</v>
      </c>
      <c r="L739" s="7" t="str">
        <f t="shared" si="81"/>
        <v>G8</v>
      </c>
      <c r="M739" s="7" t="str">
        <f t="shared" si="82"/>
        <v>J1</v>
      </c>
      <c r="N739" s="62" t="str">
        <f t="shared" si="83"/>
        <v/>
      </c>
      <c r="O739" s="8">
        <f t="shared" si="84"/>
        <v>45918</v>
      </c>
      <c r="P739" s="9" t="str">
        <f t="shared" ca="1" si="85"/>
        <v>ATRASADO</v>
      </c>
      <c r="Q739" s="362" t="s">
        <v>1556</v>
      </c>
      <c r="R739" s="359"/>
      <c r="S739" s="9" t="str">
        <f t="shared" si="79"/>
        <v/>
      </c>
    </row>
    <row r="740" spans="1:19" x14ac:dyDescent="0.3">
      <c r="A740" s="10">
        <v>736</v>
      </c>
      <c r="B740" s="365" t="s">
        <v>45</v>
      </c>
      <c r="C740" s="360" t="s">
        <v>2408</v>
      </c>
      <c r="D740" s="362" t="s">
        <v>2409</v>
      </c>
      <c r="E740" s="363">
        <v>29882</v>
      </c>
      <c r="F740" s="9">
        <f t="shared" ca="1" si="78"/>
        <v>44</v>
      </c>
      <c r="G740" s="364">
        <v>43144</v>
      </c>
      <c r="H740" s="362" t="s">
        <v>8</v>
      </c>
      <c r="I740" s="364">
        <v>44820</v>
      </c>
      <c r="J740" s="578" t="s">
        <v>8</v>
      </c>
      <c r="K740" s="4" t="str">
        <f t="shared" si="80"/>
        <v>SI</v>
      </c>
      <c r="L740" s="7" t="str">
        <f t="shared" si="81"/>
        <v xml:space="preserve">N </v>
      </c>
      <c r="M740" s="7" t="str">
        <f t="shared" si="82"/>
        <v>RE</v>
      </c>
      <c r="N740" s="62" t="str">
        <f t="shared" si="83"/>
        <v>GI</v>
      </c>
      <c r="O740" s="8">
        <f t="shared" si="84"/>
        <v>45916</v>
      </c>
      <c r="P740" s="9" t="str">
        <f t="shared" ca="1" si="85"/>
        <v>ATRASADO</v>
      </c>
      <c r="Q740" s="362" t="s">
        <v>1556</v>
      </c>
      <c r="R740" s="359"/>
      <c r="S740" s="9" t="str">
        <f t="shared" si="79"/>
        <v/>
      </c>
    </row>
    <row r="741" spans="1:19" x14ac:dyDescent="0.3">
      <c r="A741" s="10">
        <v>737</v>
      </c>
      <c r="B741" s="365" t="s">
        <v>45</v>
      </c>
      <c r="C741" s="360" t="s">
        <v>2410</v>
      </c>
      <c r="D741" s="362" t="s">
        <v>2411</v>
      </c>
      <c r="E741" s="363">
        <v>21342</v>
      </c>
      <c r="F741" s="9">
        <f t="shared" ca="1" si="78"/>
        <v>68</v>
      </c>
      <c r="G741" s="364">
        <v>44114</v>
      </c>
      <c r="H741" s="362" t="s">
        <v>271</v>
      </c>
      <c r="I741" s="364">
        <v>44806</v>
      </c>
      <c r="J741" s="578" t="s">
        <v>854</v>
      </c>
      <c r="K741" s="4" t="str">
        <f t="shared" si="80"/>
        <v>G6</v>
      </c>
      <c r="L741" s="7" t="str">
        <f t="shared" si="81"/>
        <v>O5</v>
      </c>
      <c r="M741" s="7" t="str">
        <f t="shared" si="82"/>
        <v/>
      </c>
      <c r="N741" s="62" t="str">
        <f t="shared" si="83"/>
        <v/>
      </c>
      <c r="O741" s="8">
        <f t="shared" si="84"/>
        <v>44897</v>
      </c>
      <c r="P741" s="9" t="str">
        <f t="shared" ca="1" si="85"/>
        <v>ATRASADO</v>
      </c>
      <c r="Q741" s="362" t="s">
        <v>1556</v>
      </c>
      <c r="R741" s="361"/>
      <c r="S741" s="9" t="str">
        <f t="shared" si="79"/>
        <v/>
      </c>
    </row>
    <row r="742" spans="1:19" x14ac:dyDescent="0.3">
      <c r="A742" s="10">
        <v>738</v>
      </c>
      <c r="B742" s="372" t="s">
        <v>111</v>
      </c>
      <c r="C742" s="367" t="s">
        <v>2412</v>
      </c>
      <c r="D742" s="369" t="s">
        <v>2413</v>
      </c>
      <c r="E742" s="370">
        <v>28967</v>
      </c>
      <c r="F742" s="9">
        <f t="shared" ca="1" si="78"/>
        <v>47</v>
      </c>
      <c r="G742" s="371">
        <v>44285</v>
      </c>
      <c r="H742" s="369" t="s">
        <v>275</v>
      </c>
      <c r="I742" s="371">
        <v>44834</v>
      </c>
      <c r="J742" s="578" t="s">
        <v>291</v>
      </c>
      <c r="K742" s="4" t="str">
        <f t="shared" si="80"/>
        <v>I</v>
      </c>
      <c r="L742" s="7" t="str">
        <f t="shared" si="81"/>
        <v>G8</v>
      </c>
      <c r="M742" s="7" t="str">
        <f t="shared" si="82"/>
        <v>J5</v>
      </c>
      <c r="N742" s="62" t="str">
        <f t="shared" si="83"/>
        <v/>
      </c>
      <c r="O742" s="8">
        <f t="shared" si="84"/>
        <v>45930</v>
      </c>
      <c r="P742" s="9" t="str">
        <f t="shared" ca="1" si="85"/>
        <v>ATRASADO</v>
      </c>
      <c r="Q742" s="369" t="s">
        <v>1556</v>
      </c>
      <c r="R742" s="366"/>
      <c r="S742" s="9" t="str">
        <f t="shared" si="79"/>
        <v>CANDIDA</v>
      </c>
    </row>
    <row r="743" spans="1:19" x14ac:dyDescent="0.3">
      <c r="A743" s="10">
        <v>739</v>
      </c>
      <c r="B743" s="372" t="s">
        <v>111</v>
      </c>
      <c r="C743" s="367" t="s">
        <v>2414</v>
      </c>
      <c r="D743" s="369" t="s">
        <v>2415</v>
      </c>
      <c r="E743" s="370">
        <v>24801</v>
      </c>
      <c r="F743" s="9">
        <f t="shared" ca="1" si="78"/>
        <v>58</v>
      </c>
      <c r="G743" s="371">
        <v>44299</v>
      </c>
      <c r="H743" s="369" t="s">
        <v>8</v>
      </c>
      <c r="I743" s="371">
        <v>44807</v>
      </c>
      <c r="J743" s="578" t="s">
        <v>271</v>
      </c>
      <c r="K743" s="4" t="str">
        <f t="shared" si="80"/>
        <v>I</v>
      </c>
      <c r="L743" s="7" t="str">
        <f t="shared" si="81"/>
        <v>G8</v>
      </c>
      <c r="M743" s="7" t="str">
        <f t="shared" si="82"/>
        <v>J1</v>
      </c>
      <c r="N743" s="62" t="str">
        <f t="shared" si="83"/>
        <v/>
      </c>
      <c r="O743" s="8">
        <f t="shared" si="84"/>
        <v>45903</v>
      </c>
      <c r="P743" s="9" t="str">
        <f t="shared" ca="1" si="85"/>
        <v>ATRASADO</v>
      </c>
      <c r="Q743" s="369" t="s">
        <v>1556</v>
      </c>
      <c r="R743" s="366"/>
      <c r="S743" s="9" t="str">
        <f t="shared" si="79"/>
        <v/>
      </c>
    </row>
    <row r="744" spans="1:19" x14ac:dyDescent="0.3">
      <c r="A744" s="10">
        <v>740</v>
      </c>
      <c r="B744" s="372" t="s">
        <v>111</v>
      </c>
      <c r="C744" s="367" t="s">
        <v>2416</v>
      </c>
      <c r="D744" s="369" t="s">
        <v>2417</v>
      </c>
      <c r="E744" s="370">
        <v>22437</v>
      </c>
      <c r="F744" s="9">
        <f t="shared" ca="1" si="78"/>
        <v>65</v>
      </c>
      <c r="G744" s="371">
        <v>44095</v>
      </c>
      <c r="H744" s="369" t="s">
        <v>271</v>
      </c>
      <c r="I744" s="371">
        <v>44816</v>
      </c>
      <c r="J744" s="578" t="s">
        <v>8</v>
      </c>
      <c r="K744" s="4" t="str">
        <f t="shared" si="80"/>
        <v>SI</v>
      </c>
      <c r="L744" s="7" t="str">
        <f t="shared" si="81"/>
        <v xml:space="preserve">N </v>
      </c>
      <c r="M744" s="7" t="str">
        <f t="shared" si="82"/>
        <v>RE</v>
      </c>
      <c r="N744" s="62" t="str">
        <f t="shared" si="83"/>
        <v>GI</v>
      </c>
      <c r="O744" s="8">
        <f t="shared" si="84"/>
        <v>45912</v>
      </c>
      <c r="P744" s="9" t="str">
        <f t="shared" ca="1" si="85"/>
        <v>ATRASADO</v>
      </c>
      <c r="Q744" s="369" t="s">
        <v>1556</v>
      </c>
      <c r="R744" s="368"/>
      <c r="S744" s="9" t="str">
        <f t="shared" si="79"/>
        <v/>
      </c>
    </row>
    <row r="745" spans="1:19" x14ac:dyDescent="0.3">
      <c r="A745" s="10">
        <v>741</v>
      </c>
      <c r="B745" s="372" t="s">
        <v>111</v>
      </c>
      <c r="C745" s="367" t="s">
        <v>2418</v>
      </c>
      <c r="D745" s="369" t="s">
        <v>2419</v>
      </c>
      <c r="E745" s="370">
        <v>28494</v>
      </c>
      <c r="F745" s="9">
        <f t="shared" ca="1" si="78"/>
        <v>48</v>
      </c>
      <c r="G745" s="371">
        <v>43480</v>
      </c>
      <c r="H745" s="369" t="s">
        <v>275</v>
      </c>
      <c r="I745" s="371">
        <v>44821</v>
      </c>
      <c r="J745" s="578" t="s">
        <v>8</v>
      </c>
      <c r="K745" s="4" t="str">
        <f t="shared" si="80"/>
        <v>SI</v>
      </c>
      <c r="L745" s="7" t="str">
        <f t="shared" si="81"/>
        <v xml:space="preserve">N </v>
      </c>
      <c r="M745" s="7" t="str">
        <f t="shared" si="82"/>
        <v>RE</v>
      </c>
      <c r="N745" s="62" t="str">
        <f t="shared" si="83"/>
        <v>GI</v>
      </c>
      <c r="O745" s="8">
        <f t="shared" si="84"/>
        <v>45917</v>
      </c>
      <c r="P745" s="9" t="str">
        <f t="shared" ca="1" si="85"/>
        <v>ATRASADO</v>
      </c>
      <c r="Q745" s="369" t="s">
        <v>1556</v>
      </c>
      <c r="R745" s="366"/>
      <c r="S745" s="9" t="str">
        <f t="shared" si="79"/>
        <v/>
      </c>
    </row>
    <row r="746" spans="1:19" x14ac:dyDescent="0.3">
      <c r="A746" s="10">
        <v>742</v>
      </c>
      <c r="B746" s="378" t="s">
        <v>111</v>
      </c>
      <c r="C746" s="374" t="s">
        <v>2420</v>
      </c>
      <c r="D746" s="375" t="s">
        <v>2421</v>
      </c>
      <c r="E746" s="376">
        <v>28174</v>
      </c>
      <c r="F746" s="9">
        <f t="shared" ca="1" si="78"/>
        <v>49</v>
      </c>
      <c r="G746" s="377">
        <v>44067</v>
      </c>
      <c r="H746" s="375" t="s">
        <v>271</v>
      </c>
      <c r="I746" s="377">
        <v>44809</v>
      </c>
      <c r="J746" s="578" t="s">
        <v>271</v>
      </c>
      <c r="K746" s="4" t="str">
        <f t="shared" si="80"/>
        <v>I</v>
      </c>
      <c r="L746" s="7" t="str">
        <f t="shared" si="81"/>
        <v>G8</v>
      </c>
      <c r="M746" s="7" t="str">
        <f t="shared" si="82"/>
        <v>J1</v>
      </c>
      <c r="N746" s="62" t="str">
        <f t="shared" si="83"/>
        <v/>
      </c>
      <c r="O746" s="8">
        <f t="shared" si="84"/>
        <v>45905</v>
      </c>
      <c r="P746" s="9" t="str">
        <f t="shared" ca="1" si="85"/>
        <v>ATRASADO</v>
      </c>
      <c r="Q746" s="375" t="s">
        <v>1556</v>
      </c>
      <c r="R746" s="373"/>
      <c r="S746" s="9" t="str">
        <f t="shared" si="79"/>
        <v/>
      </c>
    </row>
    <row r="747" spans="1:19" x14ac:dyDescent="0.3">
      <c r="A747" s="10">
        <v>743</v>
      </c>
      <c r="B747" s="378" t="s">
        <v>111</v>
      </c>
      <c r="C747" s="374" t="s">
        <v>2422</v>
      </c>
      <c r="D747" s="375" t="s">
        <v>2423</v>
      </c>
      <c r="E747" s="376">
        <v>30865</v>
      </c>
      <c r="F747" s="9">
        <f t="shared" ca="1" si="78"/>
        <v>42</v>
      </c>
      <c r="G747" s="377">
        <v>44161</v>
      </c>
      <c r="H747" s="375" t="s">
        <v>275</v>
      </c>
      <c r="I747" s="377">
        <v>44823</v>
      </c>
      <c r="J747" s="578" t="s">
        <v>8</v>
      </c>
      <c r="K747" s="4" t="str">
        <f t="shared" si="80"/>
        <v>SI</v>
      </c>
      <c r="L747" s="7" t="str">
        <f t="shared" si="81"/>
        <v xml:space="preserve">N </v>
      </c>
      <c r="M747" s="7" t="str">
        <f t="shared" si="82"/>
        <v>RE</v>
      </c>
      <c r="N747" s="62" t="str">
        <f t="shared" si="83"/>
        <v>GI</v>
      </c>
      <c r="O747" s="8">
        <f t="shared" si="84"/>
        <v>45919</v>
      </c>
      <c r="P747" s="9" t="str">
        <f t="shared" ca="1" si="85"/>
        <v>ATRASADO</v>
      </c>
      <c r="Q747" s="375" t="s">
        <v>1556</v>
      </c>
      <c r="R747" s="373"/>
      <c r="S747" s="9" t="str">
        <f t="shared" ref="S747:S810" si="86">IF(OR(K747="T1",L747="T1",M747="T1",N747="T1",),"LESION SOSPECHOSA A UPC",IF(OR(K747="T2",L747="T2",M747="T2",N747="T2",),"DERIVAR A UPC POR SEGUNDO ATIPICO",IF(OR(K747="J2",L747="J2",M747="J2",N747="J2",),"TRICOMONAS",IF(OR(K747="J3",L747="J3",M747="J3",N747="J3",),"HERPES SIMPLEX",IF(OR(K747="J5",L747="J5",M747="J5",N747="J5",),"CANDIDA",IF(OR(K747="J6",L747="J6",M747="J6",N747="J6",),"ACTINOMYCES",IF(OR(K747="A1",L747="A1",M747="A1",N747="A1",),"VPH",IF(OR(K747="ASC-H",L747="ASC-H",M747="ASC-H",K747="H2",K747="H3",K747="H4",N747="ASC-H",K747="AGUS",L747="AGUS",L747="H2",L747="H3",L747="H4",M747="AGUS",M747="H2",M747="H3",M747="H4",N747="AGUS",N747="H2",N747="H3",N747="H4"),"MANDAR A UPC / COLPOSCOPIA",IF(OR(K747="A",K747="B",K747="C",K747="D",K747="D0",K747="D1",K747="D2",K747="D3",K747="E",K747="E1",K747="E2",K747="K",K747="T",L747="A",L747="B",L747="C",L747="D",L747="D0",L747="D1",L747="D2",L747="D3",L747="E",L747="E1",L747="E2",L747="K",L747="T",M747="A",M747="B",M747="C",M747="D",M747="D0",M747="D1",M747="D2",M747="D3",M747="E",M747="E1",M747="E2",M747="K",M747="T",N747="A",N747="B",N747="C",N747="D",N747="D0",N747="D1",K747="D2",N747="D2",N747="D3",N747="E",N747="E1",N747="E2",N747="K",N747="T",),"CITAR A UPC","")))))))))</f>
        <v/>
      </c>
    </row>
    <row r="748" spans="1:19" x14ac:dyDescent="0.3">
      <c r="A748" s="10">
        <v>744</v>
      </c>
      <c r="B748" s="378" t="s">
        <v>111</v>
      </c>
      <c r="C748" s="374" t="s">
        <v>2424</v>
      </c>
      <c r="D748" s="375" t="s">
        <v>2425</v>
      </c>
      <c r="E748" s="376">
        <v>29880</v>
      </c>
      <c r="F748" s="9">
        <f t="shared" ca="1" si="78"/>
        <v>44</v>
      </c>
      <c r="G748" s="375" t="s">
        <v>8</v>
      </c>
      <c r="H748" s="375" t="s">
        <v>275</v>
      </c>
      <c r="I748" s="377">
        <v>44819</v>
      </c>
      <c r="J748" s="578" t="s">
        <v>275</v>
      </c>
      <c r="K748" s="4" t="str">
        <f t="shared" si="80"/>
        <v>I</v>
      </c>
      <c r="L748" s="7" t="str">
        <f t="shared" si="81"/>
        <v>G8</v>
      </c>
      <c r="M748" s="7" t="str">
        <f t="shared" si="82"/>
        <v/>
      </c>
      <c r="N748" s="62" t="str">
        <f t="shared" si="83"/>
        <v/>
      </c>
      <c r="O748" s="8">
        <f t="shared" si="84"/>
        <v>45915</v>
      </c>
      <c r="P748" s="9" t="str">
        <f t="shared" ca="1" si="85"/>
        <v>ATRASADO</v>
      </c>
      <c r="Q748" s="375" t="s">
        <v>1556</v>
      </c>
      <c r="R748" s="373"/>
      <c r="S748" s="9" t="str">
        <f t="shared" si="86"/>
        <v/>
      </c>
    </row>
    <row r="749" spans="1:19" x14ac:dyDescent="0.3">
      <c r="A749" s="10">
        <v>745</v>
      </c>
      <c r="B749" s="378" t="s">
        <v>111</v>
      </c>
      <c r="C749" s="374" t="s">
        <v>2426</v>
      </c>
      <c r="D749" s="375" t="s">
        <v>2427</v>
      </c>
      <c r="E749" s="376">
        <v>22392</v>
      </c>
      <c r="F749" s="9">
        <f t="shared" ca="1" si="78"/>
        <v>65</v>
      </c>
      <c r="G749" s="377">
        <v>43022</v>
      </c>
      <c r="H749" s="375" t="s">
        <v>271</v>
      </c>
      <c r="I749" s="377">
        <v>44808</v>
      </c>
      <c r="J749" s="578" t="s">
        <v>275</v>
      </c>
      <c r="K749" s="4" t="str">
        <f t="shared" si="80"/>
        <v>I</v>
      </c>
      <c r="L749" s="7" t="str">
        <f t="shared" si="81"/>
        <v>G8</v>
      </c>
      <c r="M749" s="7" t="str">
        <f t="shared" si="82"/>
        <v/>
      </c>
      <c r="N749" s="62" t="str">
        <f t="shared" si="83"/>
        <v/>
      </c>
      <c r="O749" s="8">
        <f t="shared" si="84"/>
        <v>45904</v>
      </c>
      <c r="P749" s="9" t="str">
        <f t="shared" ca="1" si="85"/>
        <v>ATRASADO</v>
      </c>
      <c r="Q749" s="375" t="s">
        <v>1556</v>
      </c>
      <c r="R749" s="373"/>
      <c r="S749" s="9" t="str">
        <f t="shared" si="86"/>
        <v/>
      </c>
    </row>
    <row r="750" spans="1:19" x14ac:dyDescent="0.3">
      <c r="A750" s="10">
        <v>746</v>
      </c>
      <c r="B750" s="384" t="s">
        <v>111</v>
      </c>
      <c r="C750" s="380" t="s">
        <v>2428</v>
      </c>
      <c r="D750" s="381" t="s">
        <v>2429</v>
      </c>
      <c r="E750" s="382">
        <v>36000</v>
      </c>
      <c r="F750" s="9">
        <f t="shared" ca="1" si="78"/>
        <v>28</v>
      </c>
      <c r="G750" s="383">
        <v>43797</v>
      </c>
      <c r="H750" s="381" t="s">
        <v>954</v>
      </c>
      <c r="I750" s="383">
        <v>44830</v>
      </c>
      <c r="J750" s="578" t="s">
        <v>271</v>
      </c>
      <c r="K750" s="4" t="str">
        <f t="shared" si="80"/>
        <v>I</v>
      </c>
      <c r="L750" s="7" t="str">
        <f t="shared" si="81"/>
        <v>G8</v>
      </c>
      <c r="M750" s="7" t="str">
        <f t="shared" si="82"/>
        <v>J1</v>
      </c>
      <c r="N750" s="62" t="str">
        <f t="shared" si="83"/>
        <v/>
      </c>
      <c r="O750" s="8">
        <f t="shared" si="84"/>
        <v>45926</v>
      </c>
      <c r="P750" s="9" t="str">
        <f t="shared" ca="1" si="85"/>
        <v>ATRASADO</v>
      </c>
      <c r="Q750" s="381" t="s">
        <v>1556</v>
      </c>
      <c r="R750" s="379"/>
      <c r="S750" s="9" t="str">
        <f t="shared" si="86"/>
        <v/>
      </c>
    </row>
    <row r="751" spans="1:19" x14ac:dyDescent="0.3">
      <c r="A751" s="10">
        <v>747</v>
      </c>
      <c r="B751" s="384" t="s">
        <v>111</v>
      </c>
      <c r="C751" s="380" t="s">
        <v>2430</v>
      </c>
      <c r="D751" s="381" t="s">
        <v>2431</v>
      </c>
      <c r="E751" s="382">
        <v>25006</v>
      </c>
      <c r="F751" s="9">
        <f t="shared" ca="1" si="78"/>
        <v>58</v>
      </c>
      <c r="G751" s="383">
        <v>43298</v>
      </c>
      <c r="H751" s="381" t="s">
        <v>275</v>
      </c>
      <c r="I751" s="383">
        <v>44824</v>
      </c>
      <c r="J751" s="578" t="s">
        <v>275</v>
      </c>
      <c r="K751" s="4" t="str">
        <f t="shared" si="80"/>
        <v>I</v>
      </c>
      <c r="L751" s="7" t="str">
        <f t="shared" si="81"/>
        <v>G8</v>
      </c>
      <c r="M751" s="7" t="str">
        <f t="shared" si="82"/>
        <v/>
      </c>
      <c r="N751" s="62" t="str">
        <f t="shared" si="83"/>
        <v/>
      </c>
      <c r="O751" s="8">
        <f t="shared" si="84"/>
        <v>45920</v>
      </c>
      <c r="P751" s="9" t="str">
        <f t="shared" ca="1" si="85"/>
        <v>ATRASADO</v>
      </c>
      <c r="Q751" s="381" t="s">
        <v>1556</v>
      </c>
      <c r="R751" s="379"/>
      <c r="S751" s="9" t="str">
        <f t="shared" si="86"/>
        <v/>
      </c>
    </row>
    <row r="752" spans="1:19" x14ac:dyDescent="0.3">
      <c r="A752" s="10">
        <v>748</v>
      </c>
      <c r="B752" s="384" t="s">
        <v>111</v>
      </c>
      <c r="C752" s="380" t="s">
        <v>2432</v>
      </c>
      <c r="D752" s="381" t="s">
        <v>2433</v>
      </c>
      <c r="E752" s="382">
        <v>24495</v>
      </c>
      <c r="F752" s="9">
        <f t="shared" ca="1" si="78"/>
        <v>59</v>
      </c>
      <c r="G752" s="383">
        <v>44047</v>
      </c>
      <c r="H752" s="381" t="s">
        <v>275</v>
      </c>
      <c r="I752" s="383">
        <v>44823</v>
      </c>
      <c r="J752" s="578" t="s">
        <v>275</v>
      </c>
      <c r="K752" s="4" t="str">
        <f t="shared" si="80"/>
        <v>I</v>
      </c>
      <c r="L752" s="7" t="str">
        <f t="shared" si="81"/>
        <v>G8</v>
      </c>
      <c r="M752" s="7" t="str">
        <f t="shared" si="82"/>
        <v/>
      </c>
      <c r="N752" s="62" t="str">
        <f t="shared" si="83"/>
        <v/>
      </c>
      <c r="O752" s="8">
        <f t="shared" si="84"/>
        <v>45919</v>
      </c>
      <c r="P752" s="9" t="str">
        <f t="shared" ca="1" si="85"/>
        <v>ATRASADO</v>
      </c>
      <c r="Q752" s="381" t="s">
        <v>1556</v>
      </c>
      <c r="R752" s="379"/>
      <c r="S752" s="9" t="str">
        <f t="shared" si="86"/>
        <v/>
      </c>
    </row>
    <row r="753" spans="1:19" x14ac:dyDescent="0.3">
      <c r="A753" s="10">
        <v>749</v>
      </c>
      <c r="B753" s="391" t="s">
        <v>346</v>
      </c>
      <c r="C753" s="386" t="s">
        <v>2434</v>
      </c>
      <c r="D753" s="388" t="s">
        <v>2435</v>
      </c>
      <c r="E753" s="389">
        <v>29508</v>
      </c>
      <c r="F753" s="9">
        <f t="shared" ca="1" si="78"/>
        <v>45</v>
      </c>
      <c r="G753" s="390">
        <v>43943</v>
      </c>
      <c r="H753" s="388" t="s">
        <v>275</v>
      </c>
      <c r="I753" s="390">
        <v>44815</v>
      </c>
      <c r="J753" s="578" t="s">
        <v>8</v>
      </c>
      <c r="K753" s="4" t="str">
        <f t="shared" si="80"/>
        <v>SI</v>
      </c>
      <c r="L753" s="7" t="str">
        <f t="shared" si="81"/>
        <v xml:space="preserve">N </v>
      </c>
      <c r="M753" s="7" t="str">
        <f t="shared" si="82"/>
        <v>RE</v>
      </c>
      <c r="N753" s="62" t="str">
        <f t="shared" si="83"/>
        <v>GI</v>
      </c>
      <c r="O753" s="8">
        <f t="shared" si="84"/>
        <v>45911</v>
      </c>
      <c r="P753" s="9" t="str">
        <f t="shared" ca="1" si="85"/>
        <v>ATRASADO</v>
      </c>
      <c r="Q753" s="388" t="s">
        <v>1556</v>
      </c>
      <c r="R753" s="385"/>
      <c r="S753" s="9" t="str">
        <f t="shared" si="86"/>
        <v/>
      </c>
    </row>
    <row r="754" spans="1:19" x14ac:dyDescent="0.3">
      <c r="A754" s="10">
        <v>750</v>
      </c>
      <c r="B754" s="391" t="s">
        <v>111</v>
      </c>
      <c r="C754" s="386" t="s">
        <v>2436</v>
      </c>
      <c r="D754" s="388" t="s">
        <v>2437</v>
      </c>
      <c r="E754" s="389">
        <v>30029</v>
      </c>
      <c r="F754" s="9">
        <f t="shared" ca="1" si="78"/>
        <v>44</v>
      </c>
      <c r="G754" s="390">
        <v>44337</v>
      </c>
      <c r="H754" s="388" t="s">
        <v>271</v>
      </c>
      <c r="I754" s="390">
        <v>44819</v>
      </c>
      <c r="J754" s="578" t="s">
        <v>275</v>
      </c>
      <c r="K754" s="4" t="str">
        <f t="shared" si="80"/>
        <v>I</v>
      </c>
      <c r="L754" s="7" t="str">
        <f t="shared" si="81"/>
        <v>G8</v>
      </c>
      <c r="M754" s="7" t="str">
        <f t="shared" si="82"/>
        <v/>
      </c>
      <c r="N754" s="62" t="str">
        <f t="shared" si="83"/>
        <v/>
      </c>
      <c r="O754" s="8">
        <f t="shared" si="84"/>
        <v>45915</v>
      </c>
      <c r="P754" s="9" t="str">
        <f t="shared" ca="1" si="85"/>
        <v>ATRASADO</v>
      </c>
      <c r="Q754" s="388" t="s">
        <v>1556</v>
      </c>
      <c r="R754" s="387"/>
      <c r="S754" s="9" t="str">
        <f t="shared" si="86"/>
        <v/>
      </c>
    </row>
    <row r="755" spans="1:19" x14ac:dyDescent="0.3">
      <c r="A755" s="10">
        <v>751</v>
      </c>
      <c r="B755" s="391" t="s">
        <v>111</v>
      </c>
      <c r="C755" s="386" t="s">
        <v>2438</v>
      </c>
      <c r="D755" s="388" t="s">
        <v>2439</v>
      </c>
      <c r="E755" s="389">
        <v>28634</v>
      </c>
      <c r="F755" s="9">
        <f t="shared" ca="1" si="78"/>
        <v>48</v>
      </c>
      <c r="G755" s="390">
        <v>43722</v>
      </c>
      <c r="H755" s="388" t="s">
        <v>275</v>
      </c>
      <c r="I755" s="390">
        <v>44811</v>
      </c>
      <c r="J755" s="578" t="s">
        <v>1139</v>
      </c>
      <c r="K755" s="4" t="str">
        <f t="shared" si="80"/>
        <v>I</v>
      </c>
      <c r="L755" s="7" t="str">
        <f t="shared" si="81"/>
        <v>G7</v>
      </c>
      <c r="M755" s="7" t="str">
        <f t="shared" si="82"/>
        <v>J5</v>
      </c>
      <c r="N755" s="62" t="str">
        <f t="shared" si="83"/>
        <v>S</v>
      </c>
      <c r="O755" s="8">
        <f t="shared" si="84"/>
        <v>45176</v>
      </c>
      <c r="P755" s="9" t="str">
        <f t="shared" ca="1" si="85"/>
        <v>ATRASADO</v>
      </c>
      <c r="Q755" s="388" t="s">
        <v>1556</v>
      </c>
      <c r="R755" s="385"/>
      <c r="S755" s="9" t="str">
        <f t="shared" si="86"/>
        <v>CANDIDA</v>
      </c>
    </row>
    <row r="756" spans="1:19" x14ac:dyDescent="0.3">
      <c r="A756" s="10">
        <v>752</v>
      </c>
      <c r="B756" s="391" t="s">
        <v>111</v>
      </c>
      <c r="C756" s="386" t="s">
        <v>2440</v>
      </c>
      <c r="D756" s="388" t="s">
        <v>2441</v>
      </c>
      <c r="E756" s="389">
        <v>24114</v>
      </c>
      <c r="F756" s="9">
        <f t="shared" ca="1" si="78"/>
        <v>60</v>
      </c>
      <c r="G756" s="390">
        <v>43974</v>
      </c>
      <c r="H756" s="388" t="s">
        <v>271</v>
      </c>
      <c r="I756" s="390">
        <v>44821</v>
      </c>
      <c r="J756" s="578" t="s">
        <v>8</v>
      </c>
      <c r="K756" s="4" t="str">
        <f t="shared" si="80"/>
        <v>SI</v>
      </c>
      <c r="L756" s="7" t="str">
        <f t="shared" si="81"/>
        <v xml:space="preserve">N </v>
      </c>
      <c r="M756" s="7" t="str">
        <f t="shared" si="82"/>
        <v>RE</v>
      </c>
      <c r="N756" s="62" t="str">
        <f t="shared" si="83"/>
        <v>GI</v>
      </c>
      <c r="O756" s="8">
        <f t="shared" si="84"/>
        <v>45917</v>
      </c>
      <c r="P756" s="9" t="str">
        <f t="shared" ca="1" si="85"/>
        <v>ATRASADO</v>
      </c>
      <c r="Q756" s="388" t="s">
        <v>1556</v>
      </c>
      <c r="R756" s="385"/>
      <c r="S756" s="9" t="str">
        <f t="shared" si="86"/>
        <v/>
      </c>
    </row>
    <row r="757" spans="1:19" x14ac:dyDescent="0.3">
      <c r="A757" s="10">
        <v>753</v>
      </c>
      <c r="B757" s="398" t="s">
        <v>56</v>
      </c>
      <c r="C757" s="393" t="s">
        <v>2442</v>
      </c>
      <c r="D757" s="395" t="s">
        <v>2443</v>
      </c>
      <c r="E757" s="396">
        <v>22720</v>
      </c>
      <c r="F757" s="9">
        <f t="shared" ca="1" si="78"/>
        <v>64</v>
      </c>
      <c r="G757" s="395" t="s">
        <v>8</v>
      </c>
      <c r="H757" s="395" t="s">
        <v>8</v>
      </c>
      <c r="I757" s="397">
        <v>44823</v>
      </c>
      <c r="J757" s="578" t="s">
        <v>271</v>
      </c>
      <c r="K757" s="4" t="str">
        <f t="shared" si="80"/>
        <v>I</v>
      </c>
      <c r="L757" s="7" t="str">
        <f t="shared" si="81"/>
        <v>G8</v>
      </c>
      <c r="M757" s="7" t="str">
        <f t="shared" si="82"/>
        <v>J1</v>
      </c>
      <c r="N757" s="62" t="str">
        <f t="shared" si="83"/>
        <v/>
      </c>
      <c r="O757" s="8">
        <f t="shared" si="84"/>
        <v>45919</v>
      </c>
      <c r="P757" s="9" t="str">
        <f t="shared" ca="1" si="85"/>
        <v>ATRASADO</v>
      </c>
      <c r="Q757" s="395" t="s">
        <v>1556</v>
      </c>
      <c r="R757" s="392"/>
      <c r="S757" s="9" t="str">
        <f t="shared" si="86"/>
        <v/>
      </c>
    </row>
    <row r="758" spans="1:19" x14ac:dyDescent="0.3">
      <c r="A758" s="10">
        <v>754</v>
      </c>
      <c r="B758" s="398" t="s">
        <v>56</v>
      </c>
      <c r="C758" s="393" t="s">
        <v>2444</v>
      </c>
      <c r="D758" s="395" t="s">
        <v>2445</v>
      </c>
      <c r="E758" s="396">
        <v>34448</v>
      </c>
      <c r="F758" s="9">
        <f t="shared" ca="1" si="78"/>
        <v>32</v>
      </c>
      <c r="G758" s="397">
        <v>43826</v>
      </c>
      <c r="H758" s="395" t="s">
        <v>271</v>
      </c>
      <c r="I758" s="397">
        <v>44821</v>
      </c>
      <c r="J758" s="578" t="s">
        <v>271</v>
      </c>
      <c r="K758" s="4" t="str">
        <f t="shared" si="80"/>
        <v>I</v>
      </c>
      <c r="L758" s="7" t="str">
        <f t="shared" si="81"/>
        <v>G8</v>
      </c>
      <c r="M758" s="7" t="str">
        <f t="shared" si="82"/>
        <v>J1</v>
      </c>
      <c r="N758" s="62" t="str">
        <f t="shared" si="83"/>
        <v/>
      </c>
      <c r="O758" s="8">
        <f t="shared" si="84"/>
        <v>45917</v>
      </c>
      <c r="P758" s="9" t="str">
        <f t="shared" ca="1" si="85"/>
        <v>ATRASADO</v>
      </c>
      <c r="Q758" s="395" t="s">
        <v>1556</v>
      </c>
      <c r="R758" s="392"/>
      <c r="S758" s="9" t="str">
        <f t="shared" si="86"/>
        <v/>
      </c>
    </row>
    <row r="759" spans="1:19" x14ac:dyDescent="0.3">
      <c r="A759" s="10">
        <v>755</v>
      </c>
      <c r="B759" s="398" t="s">
        <v>56</v>
      </c>
      <c r="C759" s="393" t="s">
        <v>2446</v>
      </c>
      <c r="D759" s="395" t="s">
        <v>2447</v>
      </c>
      <c r="E759" s="396">
        <v>29855</v>
      </c>
      <c r="F759" s="9">
        <f t="shared" ca="1" si="78"/>
        <v>45</v>
      </c>
      <c r="G759" s="395" t="s">
        <v>8</v>
      </c>
      <c r="H759" s="395" t="s">
        <v>8</v>
      </c>
      <c r="I759" s="397">
        <v>44820</v>
      </c>
      <c r="J759" s="578" t="s">
        <v>275</v>
      </c>
      <c r="K759" s="4" t="str">
        <f t="shared" si="80"/>
        <v>I</v>
      </c>
      <c r="L759" s="7" t="str">
        <f t="shared" si="81"/>
        <v>G8</v>
      </c>
      <c r="M759" s="7" t="str">
        <f t="shared" si="82"/>
        <v/>
      </c>
      <c r="N759" s="62" t="str">
        <f t="shared" si="83"/>
        <v/>
      </c>
      <c r="O759" s="8">
        <f t="shared" si="84"/>
        <v>45916</v>
      </c>
      <c r="P759" s="9" t="str">
        <f t="shared" ca="1" si="85"/>
        <v>ATRASADO</v>
      </c>
      <c r="Q759" s="395" t="s">
        <v>1556</v>
      </c>
      <c r="R759" s="394"/>
      <c r="S759" s="9" t="str">
        <f t="shared" si="86"/>
        <v/>
      </c>
    </row>
    <row r="760" spans="1:19" x14ac:dyDescent="0.3">
      <c r="A760" s="10">
        <v>756</v>
      </c>
      <c r="B760" s="398" t="s">
        <v>56</v>
      </c>
      <c r="C760" s="393" t="s">
        <v>2448</v>
      </c>
      <c r="D760" s="395" t="s">
        <v>2449</v>
      </c>
      <c r="E760" s="396">
        <v>25799</v>
      </c>
      <c r="F760" s="9">
        <f t="shared" ca="1" si="78"/>
        <v>56</v>
      </c>
      <c r="G760" s="397">
        <v>43640</v>
      </c>
      <c r="H760" s="395" t="s">
        <v>275</v>
      </c>
      <c r="I760" s="397">
        <v>44816</v>
      </c>
      <c r="J760" s="569" t="s">
        <v>8</v>
      </c>
      <c r="K760" s="4" t="str">
        <f t="shared" si="80"/>
        <v>SI</v>
      </c>
      <c r="L760" s="7" t="str">
        <f t="shared" si="81"/>
        <v xml:space="preserve">N </v>
      </c>
      <c r="M760" s="7" t="str">
        <f t="shared" si="82"/>
        <v>RE</v>
      </c>
      <c r="N760" s="62" t="str">
        <f t="shared" si="83"/>
        <v>GI</v>
      </c>
      <c r="O760" s="8">
        <f t="shared" si="84"/>
        <v>45912</v>
      </c>
      <c r="P760" s="9" t="str">
        <f t="shared" ca="1" si="85"/>
        <v>ATRASADO</v>
      </c>
      <c r="Q760" s="395" t="s">
        <v>1556</v>
      </c>
      <c r="R760" s="392"/>
      <c r="S760" s="9" t="str">
        <f t="shared" si="86"/>
        <v/>
      </c>
    </row>
    <row r="761" spans="1:19" x14ac:dyDescent="0.3">
      <c r="A761" s="10">
        <v>757</v>
      </c>
      <c r="B761" s="398" t="s">
        <v>78</v>
      </c>
      <c r="C761" s="393" t="s">
        <v>2450</v>
      </c>
      <c r="D761" s="395" t="s">
        <v>2451</v>
      </c>
      <c r="E761" s="396">
        <v>29856</v>
      </c>
      <c r="F761" s="9">
        <f t="shared" ca="1" si="78"/>
        <v>45</v>
      </c>
      <c r="G761" s="395" t="s">
        <v>8</v>
      </c>
      <c r="H761" s="395" t="s">
        <v>275</v>
      </c>
      <c r="I761" s="397">
        <v>44833</v>
      </c>
      <c r="J761" s="595" t="s">
        <v>327</v>
      </c>
      <c r="K761" s="4" t="str">
        <f t="shared" si="80"/>
        <v>I</v>
      </c>
      <c r="L761" s="7" t="str">
        <f t="shared" si="81"/>
        <v>G7</v>
      </c>
      <c r="M761" s="7" t="str">
        <f t="shared" si="82"/>
        <v>S</v>
      </c>
      <c r="N761" s="62" t="str">
        <f t="shared" si="83"/>
        <v/>
      </c>
      <c r="O761" s="8">
        <f t="shared" si="84"/>
        <v>45198</v>
      </c>
      <c r="P761" s="9" t="str">
        <f t="shared" ca="1" si="85"/>
        <v>ATRASADO</v>
      </c>
      <c r="Q761" s="395" t="s">
        <v>1556</v>
      </c>
      <c r="R761" s="392"/>
      <c r="S761" s="9" t="str">
        <f t="shared" si="86"/>
        <v/>
      </c>
    </row>
    <row r="762" spans="1:19" x14ac:dyDescent="0.3">
      <c r="A762" s="10">
        <v>758</v>
      </c>
      <c r="B762" s="398" t="s">
        <v>56</v>
      </c>
      <c r="C762" s="393" t="s">
        <v>2452</v>
      </c>
      <c r="D762" s="395" t="s">
        <v>2453</v>
      </c>
      <c r="E762" s="396">
        <v>28811</v>
      </c>
      <c r="F762" s="9">
        <f t="shared" ca="1" si="78"/>
        <v>47</v>
      </c>
      <c r="G762" s="395" t="s">
        <v>8</v>
      </c>
      <c r="H762" s="395" t="s">
        <v>275</v>
      </c>
      <c r="I762" s="397">
        <v>44808</v>
      </c>
      <c r="J762" s="578" t="s">
        <v>271</v>
      </c>
      <c r="K762" s="4" t="str">
        <f t="shared" si="80"/>
        <v>I</v>
      </c>
      <c r="L762" s="7" t="str">
        <f t="shared" si="81"/>
        <v>G8</v>
      </c>
      <c r="M762" s="7" t="str">
        <f t="shared" si="82"/>
        <v>J1</v>
      </c>
      <c r="N762" s="62" t="str">
        <f t="shared" si="83"/>
        <v/>
      </c>
      <c r="O762" s="8">
        <f t="shared" si="84"/>
        <v>45904</v>
      </c>
      <c r="P762" s="9" t="str">
        <f t="shared" ca="1" si="85"/>
        <v>ATRASADO</v>
      </c>
      <c r="Q762" s="395" t="s">
        <v>1556</v>
      </c>
      <c r="R762" s="392"/>
      <c r="S762" s="9" t="str">
        <f t="shared" si="86"/>
        <v/>
      </c>
    </row>
    <row r="763" spans="1:19" x14ac:dyDescent="0.3">
      <c r="A763" s="10">
        <v>759</v>
      </c>
      <c r="B763" s="398" t="s">
        <v>78</v>
      </c>
      <c r="C763" s="393" t="s">
        <v>2454</v>
      </c>
      <c r="D763" s="395" t="s">
        <v>2455</v>
      </c>
      <c r="E763" s="396">
        <v>34234</v>
      </c>
      <c r="F763" s="9">
        <f t="shared" ca="1" si="78"/>
        <v>33</v>
      </c>
      <c r="G763" s="395" t="s">
        <v>8</v>
      </c>
      <c r="H763" s="395" t="s">
        <v>271</v>
      </c>
      <c r="I763" s="397">
        <v>44808</v>
      </c>
      <c r="J763" s="595" t="s">
        <v>1873</v>
      </c>
      <c r="K763" s="4" t="str">
        <f t="shared" si="80"/>
        <v>G3</v>
      </c>
      <c r="L763" s="7" t="str">
        <f t="shared" si="81"/>
        <v>G4</v>
      </c>
      <c r="M763" s="7" t="str">
        <f t="shared" si="82"/>
        <v>O5</v>
      </c>
      <c r="N763" s="62" t="str">
        <f t="shared" si="83"/>
        <v/>
      </c>
      <c r="O763" s="8">
        <f t="shared" si="84"/>
        <v>44899</v>
      </c>
      <c r="P763" s="9" t="str">
        <f t="shared" ca="1" si="85"/>
        <v>ATRASADO</v>
      </c>
      <c r="Q763" s="395" t="s">
        <v>1556</v>
      </c>
      <c r="R763" s="392"/>
      <c r="S763" s="9" t="str">
        <f t="shared" si="86"/>
        <v/>
      </c>
    </row>
    <row r="764" spans="1:19" x14ac:dyDescent="0.3">
      <c r="A764" s="10">
        <v>760</v>
      </c>
      <c r="B764" s="405" t="s">
        <v>56</v>
      </c>
      <c r="C764" s="400" t="s">
        <v>2456</v>
      </c>
      <c r="D764" s="402" t="s">
        <v>2457</v>
      </c>
      <c r="E764" s="403">
        <v>29598</v>
      </c>
      <c r="F764" s="9">
        <f t="shared" ca="1" si="78"/>
        <v>45</v>
      </c>
      <c r="G764" s="402" t="s">
        <v>8</v>
      </c>
      <c r="H764" s="402" t="s">
        <v>271</v>
      </c>
      <c r="I764" s="404">
        <v>44834</v>
      </c>
      <c r="J764" s="578" t="s">
        <v>271</v>
      </c>
      <c r="K764" s="4" t="str">
        <f t="shared" si="80"/>
        <v>I</v>
      </c>
      <c r="L764" s="7" t="str">
        <f t="shared" si="81"/>
        <v>G8</v>
      </c>
      <c r="M764" s="7" t="str">
        <f t="shared" si="82"/>
        <v>J1</v>
      </c>
      <c r="N764" s="62" t="str">
        <f t="shared" si="83"/>
        <v/>
      </c>
      <c r="O764" s="8">
        <f t="shared" si="84"/>
        <v>45930</v>
      </c>
      <c r="P764" s="9" t="str">
        <f t="shared" ca="1" si="85"/>
        <v>ATRASADO</v>
      </c>
      <c r="Q764" s="402" t="s">
        <v>1556</v>
      </c>
      <c r="R764" s="399"/>
      <c r="S764" s="9" t="str">
        <f t="shared" si="86"/>
        <v/>
      </c>
    </row>
    <row r="765" spans="1:19" x14ac:dyDescent="0.3">
      <c r="A765" s="10">
        <v>761</v>
      </c>
      <c r="B765" s="405" t="s">
        <v>56</v>
      </c>
      <c r="C765" s="400" t="s">
        <v>2458</v>
      </c>
      <c r="D765" s="402" t="s">
        <v>2459</v>
      </c>
      <c r="E765" s="403">
        <v>23033</v>
      </c>
      <c r="F765" s="9">
        <f t="shared" ca="1" si="78"/>
        <v>63</v>
      </c>
      <c r="G765" s="402" t="s">
        <v>8</v>
      </c>
      <c r="H765" s="402" t="s">
        <v>275</v>
      </c>
      <c r="I765" s="404">
        <v>44811</v>
      </c>
      <c r="J765" s="569" t="s">
        <v>275</v>
      </c>
      <c r="K765" s="4" t="str">
        <f t="shared" si="80"/>
        <v>I</v>
      </c>
      <c r="L765" s="7" t="str">
        <f t="shared" si="81"/>
        <v>G8</v>
      </c>
      <c r="M765" s="7" t="str">
        <f t="shared" si="82"/>
        <v/>
      </c>
      <c r="N765" s="62" t="str">
        <f t="shared" si="83"/>
        <v/>
      </c>
      <c r="O765" s="8">
        <f t="shared" si="84"/>
        <v>45907</v>
      </c>
      <c r="P765" s="9" t="str">
        <f t="shared" ca="1" si="85"/>
        <v>ATRASADO</v>
      </c>
      <c r="Q765" s="402" t="s">
        <v>1556</v>
      </c>
      <c r="R765" s="401"/>
      <c r="S765" s="9" t="str">
        <f t="shared" si="86"/>
        <v/>
      </c>
    </row>
    <row r="766" spans="1:19" x14ac:dyDescent="0.3">
      <c r="A766" s="10">
        <v>762</v>
      </c>
      <c r="B766" s="405" t="s">
        <v>78</v>
      </c>
      <c r="C766" s="400" t="s">
        <v>2460</v>
      </c>
      <c r="D766" s="402" t="s">
        <v>2461</v>
      </c>
      <c r="E766" s="403">
        <v>28101</v>
      </c>
      <c r="F766" s="9">
        <f t="shared" ca="1" si="78"/>
        <v>49</v>
      </c>
      <c r="G766" s="402" t="s">
        <v>8</v>
      </c>
      <c r="H766" s="402" t="s">
        <v>8</v>
      </c>
      <c r="I766" s="404">
        <v>44809</v>
      </c>
      <c r="J766" s="602" t="s">
        <v>275</v>
      </c>
      <c r="K766" s="4" t="str">
        <f t="shared" si="80"/>
        <v>I</v>
      </c>
      <c r="L766" s="7" t="str">
        <f t="shared" si="81"/>
        <v>G8</v>
      </c>
      <c r="M766" s="7" t="str">
        <f t="shared" si="82"/>
        <v/>
      </c>
      <c r="N766" s="62" t="str">
        <f t="shared" si="83"/>
        <v/>
      </c>
      <c r="O766" s="8">
        <f t="shared" si="84"/>
        <v>45905</v>
      </c>
      <c r="P766" s="9" t="str">
        <f t="shared" ca="1" si="85"/>
        <v>ATRASADO</v>
      </c>
      <c r="Q766" s="402" t="s">
        <v>1556</v>
      </c>
      <c r="R766" s="399"/>
      <c r="S766" s="9" t="str">
        <f t="shared" si="86"/>
        <v/>
      </c>
    </row>
    <row r="767" spans="1:19" x14ac:dyDescent="0.3">
      <c r="A767" s="10">
        <v>763</v>
      </c>
      <c r="B767" s="405" t="s">
        <v>56</v>
      </c>
      <c r="C767" s="400" t="s">
        <v>2462</v>
      </c>
      <c r="D767" s="402" t="s">
        <v>2463</v>
      </c>
      <c r="E767" s="403">
        <v>25083</v>
      </c>
      <c r="F767" s="9">
        <f t="shared" ca="1" si="78"/>
        <v>58</v>
      </c>
      <c r="G767" s="404">
        <v>44528</v>
      </c>
      <c r="H767" s="402" t="s">
        <v>271</v>
      </c>
      <c r="I767" s="404">
        <v>44833</v>
      </c>
      <c r="J767" s="570" t="s">
        <v>275</v>
      </c>
      <c r="K767" s="4" t="str">
        <f t="shared" si="80"/>
        <v>I</v>
      </c>
      <c r="L767" s="7" t="str">
        <f t="shared" si="81"/>
        <v>G8</v>
      </c>
      <c r="M767" s="7" t="str">
        <f t="shared" si="82"/>
        <v/>
      </c>
      <c r="N767" s="62" t="str">
        <f t="shared" si="83"/>
        <v/>
      </c>
      <c r="O767" s="8">
        <f t="shared" si="84"/>
        <v>45929</v>
      </c>
      <c r="P767" s="9" t="str">
        <f t="shared" ca="1" si="85"/>
        <v>ATRASADO</v>
      </c>
      <c r="Q767" s="402" t="s">
        <v>1556</v>
      </c>
      <c r="R767" s="399"/>
      <c r="S767" s="9" t="str">
        <f t="shared" si="86"/>
        <v/>
      </c>
    </row>
    <row r="768" spans="1:19" x14ac:dyDescent="0.3">
      <c r="A768" s="10">
        <v>764</v>
      </c>
      <c r="B768" s="412" t="s">
        <v>312</v>
      </c>
      <c r="C768" s="407" t="s">
        <v>2464</v>
      </c>
      <c r="D768" s="409" t="s">
        <v>2465</v>
      </c>
      <c r="E768" s="410">
        <v>32614</v>
      </c>
      <c r="F768" s="9">
        <f t="shared" ca="1" si="78"/>
        <v>37</v>
      </c>
      <c r="G768" s="411">
        <v>44474</v>
      </c>
      <c r="H768" s="409" t="s">
        <v>271</v>
      </c>
      <c r="I768" s="411">
        <v>44815</v>
      </c>
      <c r="J768" s="578" t="s">
        <v>275</v>
      </c>
      <c r="K768" s="4" t="str">
        <f t="shared" si="80"/>
        <v>I</v>
      </c>
      <c r="L768" s="7" t="str">
        <f t="shared" si="81"/>
        <v>G8</v>
      </c>
      <c r="M768" s="7" t="str">
        <f t="shared" si="82"/>
        <v/>
      </c>
      <c r="N768" s="62" t="str">
        <f t="shared" si="83"/>
        <v/>
      </c>
      <c r="O768" s="8">
        <f t="shared" si="84"/>
        <v>45911</v>
      </c>
      <c r="P768" s="9" t="str">
        <f t="shared" ca="1" si="85"/>
        <v>ATRASADO</v>
      </c>
      <c r="Q768" s="409" t="s">
        <v>1556</v>
      </c>
      <c r="R768" s="408"/>
      <c r="S768" s="9" t="str">
        <f t="shared" si="86"/>
        <v/>
      </c>
    </row>
    <row r="769" spans="1:19" x14ac:dyDescent="0.3">
      <c r="A769" s="10">
        <v>765</v>
      </c>
      <c r="B769" s="412" t="s">
        <v>312</v>
      </c>
      <c r="C769" s="407" t="s">
        <v>2466</v>
      </c>
      <c r="D769" s="409" t="s">
        <v>2467</v>
      </c>
      <c r="E769" s="410">
        <v>32945</v>
      </c>
      <c r="F769" s="9">
        <f t="shared" ca="1" si="78"/>
        <v>36</v>
      </c>
      <c r="G769" s="411">
        <v>43440</v>
      </c>
      <c r="H769" s="409" t="s">
        <v>275</v>
      </c>
      <c r="I769" s="411">
        <v>44816</v>
      </c>
      <c r="J769" s="584" t="s">
        <v>8</v>
      </c>
      <c r="K769" s="4" t="str">
        <f t="shared" si="80"/>
        <v>SI</v>
      </c>
      <c r="L769" s="7" t="str">
        <f t="shared" si="81"/>
        <v xml:space="preserve">N </v>
      </c>
      <c r="M769" s="7" t="str">
        <f t="shared" si="82"/>
        <v>RE</v>
      </c>
      <c r="N769" s="62" t="str">
        <f t="shared" si="83"/>
        <v>GI</v>
      </c>
      <c r="O769" s="8">
        <f t="shared" si="84"/>
        <v>45912</v>
      </c>
      <c r="P769" s="9" t="str">
        <f t="shared" ca="1" si="85"/>
        <v>ATRASADO</v>
      </c>
      <c r="Q769" s="409" t="s">
        <v>1556</v>
      </c>
      <c r="R769" s="408"/>
      <c r="S769" s="9" t="str">
        <f t="shared" si="86"/>
        <v/>
      </c>
    </row>
    <row r="770" spans="1:19" x14ac:dyDescent="0.3">
      <c r="A770" s="10">
        <v>766</v>
      </c>
      <c r="B770" s="412" t="s">
        <v>312</v>
      </c>
      <c r="C770" s="407" t="s">
        <v>2468</v>
      </c>
      <c r="D770" s="409" t="s">
        <v>2469</v>
      </c>
      <c r="E770" s="410">
        <v>23848</v>
      </c>
      <c r="F770" s="9">
        <f t="shared" ca="1" si="78"/>
        <v>61</v>
      </c>
      <c r="G770" s="411">
        <v>43875</v>
      </c>
      <c r="H770" s="409" t="s">
        <v>271</v>
      </c>
      <c r="I770" s="411">
        <v>44812</v>
      </c>
      <c r="J770" s="584" t="s">
        <v>271</v>
      </c>
      <c r="K770" s="4" t="str">
        <f t="shared" si="80"/>
        <v>I</v>
      </c>
      <c r="L770" s="7" t="str">
        <f t="shared" si="81"/>
        <v>G8</v>
      </c>
      <c r="M770" s="7" t="str">
        <f t="shared" si="82"/>
        <v>J1</v>
      </c>
      <c r="N770" s="62" t="str">
        <f t="shared" si="83"/>
        <v/>
      </c>
      <c r="O770" s="8">
        <f t="shared" si="84"/>
        <v>45908</v>
      </c>
      <c r="P770" s="9" t="str">
        <f t="shared" ca="1" si="85"/>
        <v>ATRASADO</v>
      </c>
      <c r="Q770" s="409" t="s">
        <v>1556</v>
      </c>
      <c r="R770" s="406"/>
      <c r="S770" s="9" t="str">
        <f t="shared" si="86"/>
        <v/>
      </c>
    </row>
    <row r="771" spans="1:19" x14ac:dyDescent="0.3">
      <c r="A771" s="10">
        <v>767</v>
      </c>
      <c r="B771" s="412" t="s">
        <v>312</v>
      </c>
      <c r="C771" s="407" t="s">
        <v>2470</v>
      </c>
      <c r="D771" s="409" t="s">
        <v>2471</v>
      </c>
      <c r="E771" s="410">
        <v>27533</v>
      </c>
      <c r="F771" s="9">
        <f t="shared" ca="1" si="78"/>
        <v>51</v>
      </c>
      <c r="G771" s="411">
        <v>43584</v>
      </c>
      <c r="H771" s="409" t="s">
        <v>271</v>
      </c>
      <c r="I771" s="411">
        <v>44816</v>
      </c>
      <c r="J771" s="584" t="s">
        <v>275</v>
      </c>
      <c r="K771" s="4" t="str">
        <f t="shared" si="80"/>
        <v>I</v>
      </c>
      <c r="L771" s="7" t="str">
        <f t="shared" si="81"/>
        <v>G8</v>
      </c>
      <c r="M771" s="7" t="str">
        <f t="shared" si="82"/>
        <v/>
      </c>
      <c r="N771" s="62" t="str">
        <f t="shared" si="83"/>
        <v/>
      </c>
      <c r="O771" s="8">
        <f t="shared" si="84"/>
        <v>45912</v>
      </c>
      <c r="P771" s="9" t="str">
        <f t="shared" ca="1" si="85"/>
        <v>ATRASADO</v>
      </c>
      <c r="Q771" s="409" t="s">
        <v>1556</v>
      </c>
      <c r="R771" s="408" t="s">
        <v>2003</v>
      </c>
      <c r="S771" s="9" t="str">
        <f t="shared" si="86"/>
        <v/>
      </c>
    </row>
    <row r="772" spans="1:19" x14ac:dyDescent="0.3">
      <c r="A772" s="10">
        <v>768</v>
      </c>
      <c r="B772" s="412" t="s">
        <v>312</v>
      </c>
      <c r="C772" s="407" t="s">
        <v>2472</v>
      </c>
      <c r="D772" s="409" t="s">
        <v>2473</v>
      </c>
      <c r="E772" s="410">
        <v>30200</v>
      </c>
      <c r="F772" s="9">
        <f t="shared" ca="1" si="78"/>
        <v>44</v>
      </c>
      <c r="G772" s="409" t="s">
        <v>8</v>
      </c>
      <c r="H772" s="409" t="s">
        <v>340</v>
      </c>
      <c r="I772" s="411">
        <v>44827</v>
      </c>
      <c r="J772" s="584" t="s">
        <v>271</v>
      </c>
      <c r="K772" s="4" t="str">
        <f t="shared" si="80"/>
        <v>I</v>
      </c>
      <c r="L772" s="7" t="str">
        <f t="shared" si="81"/>
        <v>G8</v>
      </c>
      <c r="M772" s="7" t="str">
        <f t="shared" si="82"/>
        <v>J1</v>
      </c>
      <c r="N772" s="62" t="str">
        <f t="shared" si="83"/>
        <v/>
      </c>
      <c r="O772" s="8">
        <f t="shared" si="84"/>
        <v>45923</v>
      </c>
      <c r="P772" s="9" t="str">
        <f t="shared" ca="1" si="85"/>
        <v>ATRASADO</v>
      </c>
      <c r="Q772" s="409" t="s">
        <v>1556</v>
      </c>
      <c r="R772" s="406"/>
      <c r="S772" s="9" t="str">
        <f t="shared" si="86"/>
        <v/>
      </c>
    </row>
    <row r="773" spans="1:19" x14ac:dyDescent="0.3">
      <c r="A773" s="10">
        <v>769</v>
      </c>
      <c r="B773" s="412" t="s">
        <v>312</v>
      </c>
      <c r="C773" s="407" t="s">
        <v>2474</v>
      </c>
      <c r="D773" s="409" t="s">
        <v>2475</v>
      </c>
      <c r="E773" s="410">
        <v>27917</v>
      </c>
      <c r="F773" s="9">
        <f t="shared" ca="1" si="78"/>
        <v>50</v>
      </c>
      <c r="G773" s="411">
        <v>43113</v>
      </c>
      <c r="H773" s="409" t="s">
        <v>271</v>
      </c>
      <c r="I773" s="411">
        <v>44817</v>
      </c>
      <c r="J773" s="584" t="s">
        <v>271</v>
      </c>
      <c r="K773" s="4" t="str">
        <f t="shared" si="80"/>
        <v>I</v>
      </c>
      <c r="L773" s="7" t="str">
        <f t="shared" si="81"/>
        <v>G8</v>
      </c>
      <c r="M773" s="7" t="str">
        <f t="shared" si="82"/>
        <v>J1</v>
      </c>
      <c r="N773" s="62" t="str">
        <f t="shared" si="83"/>
        <v/>
      </c>
      <c r="O773" s="8">
        <f t="shared" si="84"/>
        <v>45913</v>
      </c>
      <c r="P773" s="9" t="str">
        <f t="shared" ca="1" si="85"/>
        <v>ATRASADO</v>
      </c>
      <c r="Q773" s="409" t="s">
        <v>1556</v>
      </c>
      <c r="R773" s="406"/>
      <c r="S773" s="9" t="str">
        <f t="shared" si="86"/>
        <v/>
      </c>
    </row>
    <row r="774" spans="1:19" x14ac:dyDescent="0.3">
      <c r="A774" s="10">
        <v>770</v>
      </c>
      <c r="B774" s="412" t="s">
        <v>312</v>
      </c>
      <c r="C774" s="407" t="s">
        <v>2476</v>
      </c>
      <c r="D774" s="409" t="s">
        <v>2477</v>
      </c>
      <c r="E774" s="410">
        <v>25466</v>
      </c>
      <c r="F774" s="9">
        <f t="shared" ca="1" si="78"/>
        <v>57</v>
      </c>
      <c r="G774" s="411">
        <v>44521</v>
      </c>
      <c r="H774" s="409" t="s">
        <v>317</v>
      </c>
      <c r="I774" s="411">
        <v>44830</v>
      </c>
      <c r="J774" s="585" t="s">
        <v>275</v>
      </c>
      <c r="K774" s="4" t="str">
        <f t="shared" si="80"/>
        <v>I</v>
      </c>
      <c r="L774" s="7" t="str">
        <f t="shared" si="81"/>
        <v>G8</v>
      </c>
      <c r="M774" s="7" t="str">
        <f t="shared" si="82"/>
        <v/>
      </c>
      <c r="N774" s="62" t="str">
        <f t="shared" si="83"/>
        <v/>
      </c>
      <c r="O774" s="8">
        <f t="shared" si="84"/>
        <v>45926</v>
      </c>
      <c r="P774" s="9" t="str">
        <f t="shared" ca="1" si="85"/>
        <v>ATRASADO</v>
      </c>
      <c r="Q774" s="409" t="s">
        <v>1556</v>
      </c>
      <c r="R774" s="406"/>
      <c r="S774" s="9" t="str">
        <f t="shared" si="86"/>
        <v/>
      </c>
    </row>
    <row r="775" spans="1:19" x14ac:dyDescent="0.3">
      <c r="A775" s="10">
        <v>771</v>
      </c>
      <c r="B775" s="412" t="s">
        <v>579</v>
      </c>
      <c r="C775" s="407" t="s">
        <v>2478</v>
      </c>
      <c r="D775" s="409" t="s">
        <v>2479</v>
      </c>
      <c r="E775" s="410">
        <v>24066</v>
      </c>
      <c r="F775" s="9">
        <f t="shared" ca="1" si="78"/>
        <v>60</v>
      </c>
      <c r="G775" s="411">
        <v>44042</v>
      </c>
      <c r="H775" s="409" t="s">
        <v>320</v>
      </c>
      <c r="I775" s="411">
        <v>44828</v>
      </c>
      <c r="J775" s="607" t="s">
        <v>271</v>
      </c>
      <c r="K775" s="4" t="str">
        <f t="shared" si="80"/>
        <v>I</v>
      </c>
      <c r="L775" s="7" t="str">
        <f t="shared" si="81"/>
        <v>G8</v>
      </c>
      <c r="M775" s="7" t="str">
        <f t="shared" si="82"/>
        <v>J1</v>
      </c>
      <c r="N775" s="62" t="str">
        <f t="shared" si="83"/>
        <v/>
      </c>
      <c r="O775" s="8">
        <f t="shared" si="84"/>
        <v>45924</v>
      </c>
      <c r="P775" s="9" t="str">
        <f t="shared" ca="1" si="85"/>
        <v>ATRASADO</v>
      </c>
      <c r="Q775" s="409" t="s">
        <v>1556</v>
      </c>
      <c r="R775" s="406"/>
      <c r="S775" s="9" t="str">
        <f t="shared" si="86"/>
        <v/>
      </c>
    </row>
    <row r="776" spans="1:19" x14ac:dyDescent="0.3">
      <c r="A776" s="10">
        <v>772</v>
      </c>
      <c r="B776" s="418" t="s">
        <v>312</v>
      </c>
      <c r="C776" s="414" t="s">
        <v>2480</v>
      </c>
      <c r="D776" s="415" t="s">
        <v>2481</v>
      </c>
      <c r="E776" s="416">
        <v>35639</v>
      </c>
      <c r="F776" s="9">
        <f t="shared" ca="1" si="78"/>
        <v>29</v>
      </c>
      <c r="G776" s="417">
        <v>44370</v>
      </c>
      <c r="H776" s="415" t="s">
        <v>271</v>
      </c>
      <c r="I776" s="417">
        <v>44828</v>
      </c>
      <c r="J776" s="584" t="s">
        <v>275</v>
      </c>
      <c r="K776" s="4" t="str">
        <f t="shared" si="80"/>
        <v>I</v>
      </c>
      <c r="L776" s="7" t="str">
        <f t="shared" si="81"/>
        <v>G8</v>
      </c>
      <c r="M776" s="7" t="str">
        <f t="shared" si="82"/>
        <v/>
      </c>
      <c r="N776" s="62" t="str">
        <f t="shared" si="83"/>
        <v/>
      </c>
      <c r="O776" s="8">
        <f t="shared" si="84"/>
        <v>45924</v>
      </c>
      <c r="P776" s="9" t="str">
        <f t="shared" ca="1" si="85"/>
        <v>ATRASADO</v>
      </c>
      <c r="Q776" s="415" t="s">
        <v>1556</v>
      </c>
      <c r="R776" s="413"/>
      <c r="S776" s="9" t="str">
        <f t="shared" si="86"/>
        <v/>
      </c>
    </row>
    <row r="777" spans="1:19" x14ac:dyDescent="0.3">
      <c r="A777" s="10">
        <v>773</v>
      </c>
      <c r="B777" s="418" t="s">
        <v>312</v>
      </c>
      <c r="C777" s="414" t="s">
        <v>2482</v>
      </c>
      <c r="D777" s="415" t="s">
        <v>2483</v>
      </c>
      <c r="E777" s="416">
        <v>31658</v>
      </c>
      <c r="F777" s="9">
        <f t="shared" ca="1" si="78"/>
        <v>40</v>
      </c>
      <c r="G777" s="417">
        <v>43417</v>
      </c>
      <c r="H777" s="415" t="s">
        <v>271</v>
      </c>
      <c r="I777" s="417">
        <v>44831</v>
      </c>
      <c r="J777" s="584" t="s">
        <v>271</v>
      </c>
      <c r="K777" s="4" t="str">
        <f t="shared" si="80"/>
        <v>I</v>
      </c>
      <c r="L777" s="7" t="str">
        <f t="shared" si="81"/>
        <v>G8</v>
      </c>
      <c r="M777" s="7" t="str">
        <f t="shared" si="82"/>
        <v>J1</v>
      </c>
      <c r="N777" s="62" t="str">
        <f t="shared" si="83"/>
        <v/>
      </c>
      <c r="O777" s="8">
        <f t="shared" si="84"/>
        <v>45927</v>
      </c>
      <c r="P777" s="9" t="str">
        <f t="shared" ca="1" si="85"/>
        <v>ATRASADO</v>
      </c>
      <c r="Q777" s="415" t="s">
        <v>1556</v>
      </c>
      <c r="R777" s="413"/>
      <c r="S777" s="9" t="str">
        <f t="shared" si="86"/>
        <v/>
      </c>
    </row>
    <row r="778" spans="1:19" x14ac:dyDescent="0.3">
      <c r="A778" s="10">
        <v>774</v>
      </c>
      <c r="B778" s="425" t="s">
        <v>312</v>
      </c>
      <c r="C778" s="420" t="s">
        <v>2484</v>
      </c>
      <c r="D778" s="422" t="s">
        <v>2485</v>
      </c>
      <c r="E778" s="423">
        <v>25236</v>
      </c>
      <c r="F778" s="9">
        <f t="shared" ca="1" si="78"/>
        <v>57</v>
      </c>
      <c r="G778" s="424">
        <v>43824</v>
      </c>
      <c r="H778" s="422" t="s">
        <v>271</v>
      </c>
      <c r="I778" s="424">
        <v>44834</v>
      </c>
      <c r="J778" s="584" t="s">
        <v>735</v>
      </c>
      <c r="K778" s="4" t="str">
        <f t="shared" si="80"/>
        <v>G3</v>
      </c>
      <c r="L778" s="7" t="str">
        <f t="shared" si="81"/>
        <v>O5</v>
      </c>
      <c r="M778" s="7" t="str">
        <f t="shared" si="82"/>
        <v/>
      </c>
      <c r="N778" s="62" t="str">
        <f t="shared" si="83"/>
        <v/>
      </c>
      <c r="O778" s="8">
        <f t="shared" si="84"/>
        <v>44925</v>
      </c>
      <c r="P778" s="9" t="str">
        <f t="shared" ca="1" si="85"/>
        <v>ATRASADO</v>
      </c>
      <c r="Q778" s="422" t="s">
        <v>1556</v>
      </c>
      <c r="R778" s="419"/>
      <c r="S778" s="9" t="str">
        <f t="shared" si="86"/>
        <v/>
      </c>
    </row>
    <row r="779" spans="1:19" x14ac:dyDescent="0.3">
      <c r="A779" s="10">
        <v>775</v>
      </c>
      <c r="B779" s="425" t="s">
        <v>312</v>
      </c>
      <c r="C779" s="420" t="s">
        <v>2486</v>
      </c>
      <c r="D779" s="422" t="s">
        <v>2487</v>
      </c>
      <c r="E779" s="423">
        <v>27026</v>
      </c>
      <c r="F779" s="9">
        <f t="shared" ca="1" si="78"/>
        <v>52</v>
      </c>
      <c r="G779" s="424">
        <v>43445</v>
      </c>
      <c r="H779" s="422" t="s">
        <v>275</v>
      </c>
      <c r="I779" s="424">
        <v>44827</v>
      </c>
      <c r="J779" s="586" t="s">
        <v>271</v>
      </c>
      <c r="K779" s="4" t="str">
        <f t="shared" si="80"/>
        <v>I</v>
      </c>
      <c r="L779" s="7" t="str">
        <f t="shared" si="81"/>
        <v>G8</v>
      </c>
      <c r="M779" s="7" t="str">
        <f t="shared" si="82"/>
        <v>J1</v>
      </c>
      <c r="N779" s="62" t="str">
        <f t="shared" si="83"/>
        <v/>
      </c>
      <c r="O779" s="8">
        <f t="shared" si="84"/>
        <v>45923</v>
      </c>
      <c r="P779" s="9" t="str">
        <f t="shared" ca="1" si="85"/>
        <v>ATRASADO</v>
      </c>
      <c r="Q779" s="422" t="s">
        <v>1556</v>
      </c>
      <c r="R779" s="419"/>
      <c r="S779" s="9" t="str">
        <f t="shared" si="86"/>
        <v/>
      </c>
    </row>
    <row r="780" spans="1:19" x14ac:dyDescent="0.3">
      <c r="A780" s="10">
        <v>776</v>
      </c>
      <c r="B780" s="425" t="s">
        <v>312</v>
      </c>
      <c r="C780" s="420" t="s">
        <v>2488</v>
      </c>
      <c r="D780" s="422" t="s">
        <v>2489</v>
      </c>
      <c r="E780" s="423">
        <v>24401</v>
      </c>
      <c r="F780" s="9">
        <f t="shared" ca="1" si="78"/>
        <v>59</v>
      </c>
      <c r="G780" s="424">
        <v>44300</v>
      </c>
      <c r="H780" s="422" t="s">
        <v>275</v>
      </c>
      <c r="I780" s="424">
        <v>44827</v>
      </c>
      <c r="J780" s="584" t="s">
        <v>8</v>
      </c>
      <c r="K780" s="4" t="str">
        <f t="shared" si="80"/>
        <v>SI</v>
      </c>
      <c r="L780" s="7" t="str">
        <f t="shared" si="81"/>
        <v xml:space="preserve">N </v>
      </c>
      <c r="M780" s="7" t="str">
        <f t="shared" si="82"/>
        <v>RE</v>
      </c>
      <c r="N780" s="62" t="str">
        <f t="shared" si="83"/>
        <v>GI</v>
      </c>
      <c r="O780" s="8">
        <f t="shared" si="84"/>
        <v>45923</v>
      </c>
      <c r="P780" s="9" t="str">
        <f t="shared" ca="1" si="85"/>
        <v>ATRASADO</v>
      </c>
      <c r="Q780" s="422" t="s">
        <v>1556</v>
      </c>
      <c r="R780" s="421"/>
      <c r="S780" s="9" t="str">
        <f t="shared" si="86"/>
        <v/>
      </c>
    </row>
    <row r="781" spans="1:19" x14ac:dyDescent="0.3">
      <c r="A781" s="10">
        <v>777</v>
      </c>
      <c r="B781" s="425" t="s">
        <v>312</v>
      </c>
      <c r="C781" s="420" t="s">
        <v>2490</v>
      </c>
      <c r="D781" s="422" t="s">
        <v>2491</v>
      </c>
      <c r="E781" s="423">
        <v>34446</v>
      </c>
      <c r="F781" s="9">
        <f t="shared" ca="1" si="78"/>
        <v>32</v>
      </c>
      <c r="G781" s="424">
        <v>44358</v>
      </c>
      <c r="H781" s="422" t="s">
        <v>327</v>
      </c>
      <c r="I781" s="424">
        <v>44816</v>
      </c>
      <c r="J781" s="584" t="s">
        <v>271</v>
      </c>
      <c r="K781" s="4" t="str">
        <f t="shared" si="80"/>
        <v>I</v>
      </c>
      <c r="L781" s="7" t="str">
        <f t="shared" si="81"/>
        <v>G8</v>
      </c>
      <c r="M781" s="7" t="str">
        <f t="shared" si="82"/>
        <v>J1</v>
      </c>
      <c r="N781" s="62" t="str">
        <f t="shared" si="83"/>
        <v/>
      </c>
      <c r="O781" s="8">
        <f t="shared" si="84"/>
        <v>45912</v>
      </c>
      <c r="P781" s="9" t="str">
        <f t="shared" ca="1" si="85"/>
        <v>ATRASADO</v>
      </c>
      <c r="Q781" s="422" t="s">
        <v>1556</v>
      </c>
      <c r="R781" s="419"/>
      <c r="S781" s="9" t="str">
        <f t="shared" si="86"/>
        <v/>
      </c>
    </row>
    <row r="782" spans="1:19" x14ac:dyDescent="0.3">
      <c r="A782" s="10">
        <v>778</v>
      </c>
      <c r="B782" s="425" t="s">
        <v>312</v>
      </c>
      <c r="C782" s="420" t="s">
        <v>2492</v>
      </c>
      <c r="D782" s="422" t="s">
        <v>2493</v>
      </c>
      <c r="E782" s="423">
        <v>30891</v>
      </c>
      <c r="F782" s="9">
        <f t="shared" ca="1" si="78"/>
        <v>42</v>
      </c>
      <c r="G782" s="424">
        <v>43742</v>
      </c>
      <c r="H782" s="422" t="s">
        <v>271</v>
      </c>
      <c r="I782" s="424">
        <v>44827</v>
      </c>
      <c r="J782" s="586" t="s">
        <v>275</v>
      </c>
      <c r="K782" s="4" t="str">
        <f t="shared" si="80"/>
        <v>I</v>
      </c>
      <c r="L782" s="7" t="str">
        <f t="shared" si="81"/>
        <v>G8</v>
      </c>
      <c r="M782" s="7" t="str">
        <f t="shared" si="82"/>
        <v/>
      </c>
      <c r="N782" s="62" t="str">
        <f t="shared" si="83"/>
        <v/>
      </c>
      <c r="O782" s="8">
        <f t="shared" si="84"/>
        <v>45923</v>
      </c>
      <c r="P782" s="9" t="str">
        <f t="shared" ca="1" si="85"/>
        <v>ATRASADO</v>
      </c>
      <c r="Q782" s="422" t="s">
        <v>1556</v>
      </c>
      <c r="R782" s="419"/>
      <c r="S782" s="9" t="str">
        <f t="shared" si="86"/>
        <v/>
      </c>
    </row>
    <row r="783" spans="1:19" x14ac:dyDescent="0.3">
      <c r="A783" s="10">
        <v>779</v>
      </c>
      <c r="B783" s="432" t="s">
        <v>312</v>
      </c>
      <c r="C783" s="427" t="s">
        <v>2494</v>
      </c>
      <c r="D783" s="429" t="s">
        <v>2495</v>
      </c>
      <c r="E783" s="430">
        <v>31261</v>
      </c>
      <c r="F783" s="9">
        <f t="shared" ca="1" si="78"/>
        <v>41</v>
      </c>
      <c r="G783" s="431">
        <v>43414</v>
      </c>
      <c r="H783" s="429" t="s">
        <v>340</v>
      </c>
      <c r="I783" s="431">
        <v>44814</v>
      </c>
      <c r="J783" s="584" t="s">
        <v>8</v>
      </c>
      <c r="K783" s="4" t="str">
        <f t="shared" si="80"/>
        <v>SI</v>
      </c>
      <c r="L783" s="7" t="str">
        <f t="shared" si="81"/>
        <v xml:space="preserve">N </v>
      </c>
      <c r="M783" s="7" t="str">
        <f t="shared" si="82"/>
        <v>RE</v>
      </c>
      <c r="N783" s="62" t="str">
        <f t="shared" si="83"/>
        <v>GI</v>
      </c>
      <c r="O783" s="8">
        <f t="shared" si="84"/>
        <v>45910</v>
      </c>
      <c r="P783" s="9" t="str">
        <f t="shared" ca="1" si="85"/>
        <v>ATRASADO</v>
      </c>
      <c r="Q783" s="429" t="s">
        <v>1556</v>
      </c>
      <c r="R783" s="426"/>
      <c r="S783" s="9" t="str">
        <f t="shared" si="86"/>
        <v/>
      </c>
    </row>
    <row r="784" spans="1:19" x14ac:dyDescent="0.3">
      <c r="A784" s="10">
        <v>780</v>
      </c>
      <c r="B784" s="432" t="s">
        <v>312</v>
      </c>
      <c r="C784" s="427" t="s">
        <v>2496</v>
      </c>
      <c r="D784" s="429" t="s">
        <v>2497</v>
      </c>
      <c r="E784" s="430">
        <v>30413</v>
      </c>
      <c r="F784" s="9">
        <f t="shared" ca="1" si="78"/>
        <v>43</v>
      </c>
      <c r="G784" s="431">
        <v>44395</v>
      </c>
      <c r="H784" s="429" t="s">
        <v>271</v>
      </c>
      <c r="I784" s="431">
        <v>44809</v>
      </c>
      <c r="J784" s="585" t="s">
        <v>275</v>
      </c>
      <c r="K784" s="4" t="str">
        <f t="shared" si="80"/>
        <v>I</v>
      </c>
      <c r="L784" s="7" t="str">
        <f t="shared" si="81"/>
        <v>G8</v>
      </c>
      <c r="M784" s="7" t="str">
        <f t="shared" si="82"/>
        <v/>
      </c>
      <c r="N784" s="62" t="str">
        <f t="shared" si="83"/>
        <v/>
      </c>
      <c r="O784" s="8">
        <f t="shared" si="84"/>
        <v>45905</v>
      </c>
      <c r="P784" s="9" t="str">
        <f t="shared" ca="1" si="85"/>
        <v>ATRASADO</v>
      </c>
      <c r="Q784" s="429" t="s">
        <v>1556</v>
      </c>
      <c r="R784" s="428"/>
      <c r="S784" s="9" t="str">
        <f t="shared" si="86"/>
        <v/>
      </c>
    </row>
    <row r="785" spans="1:19" x14ac:dyDescent="0.3">
      <c r="A785" s="10">
        <v>781</v>
      </c>
      <c r="B785" s="432" t="s">
        <v>312</v>
      </c>
      <c r="C785" s="427" t="s">
        <v>2498</v>
      </c>
      <c r="D785" s="429" t="s">
        <v>2499</v>
      </c>
      <c r="E785" s="430">
        <v>25890</v>
      </c>
      <c r="F785" s="9">
        <f t="shared" ca="1" si="78"/>
        <v>55</v>
      </c>
      <c r="G785" s="431">
        <v>43625</v>
      </c>
      <c r="H785" s="429" t="s">
        <v>271</v>
      </c>
      <c r="I785" s="431">
        <v>44818</v>
      </c>
      <c r="J785" s="584" t="s">
        <v>275</v>
      </c>
      <c r="K785" s="4" t="str">
        <f t="shared" si="80"/>
        <v>I</v>
      </c>
      <c r="L785" s="7" t="str">
        <f t="shared" si="81"/>
        <v>G8</v>
      </c>
      <c r="M785" s="7" t="str">
        <f t="shared" si="82"/>
        <v/>
      </c>
      <c r="N785" s="62" t="str">
        <f t="shared" si="83"/>
        <v/>
      </c>
      <c r="O785" s="8">
        <f t="shared" si="84"/>
        <v>45914</v>
      </c>
      <c r="P785" s="9" t="str">
        <f t="shared" ca="1" si="85"/>
        <v>ATRASADO</v>
      </c>
      <c r="Q785" s="429" t="s">
        <v>1556</v>
      </c>
      <c r="R785" s="426"/>
      <c r="S785" s="9" t="str">
        <f t="shared" si="86"/>
        <v/>
      </c>
    </row>
    <row r="786" spans="1:19" x14ac:dyDescent="0.3">
      <c r="A786" s="10">
        <v>782</v>
      </c>
      <c r="B786" s="432" t="s">
        <v>312</v>
      </c>
      <c r="C786" s="427" t="s">
        <v>2500</v>
      </c>
      <c r="D786" s="429" t="s">
        <v>2501</v>
      </c>
      <c r="E786" s="430">
        <v>23353</v>
      </c>
      <c r="F786" s="9">
        <f t="shared" ca="1" si="78"/>
        <v>62</v>
      </c>
      <c r="G786" s="431">
        <v>44197</v>
      </c>
      <c r="H786" s="429" t="s">
        <v>271</v>
      </c>
      <c r="I786" s="431">
        <v>44831</v>
      </c>
      <c r="J786" s="584" t="s">
        <v>275</v>
      </c>
      <c r="K786" s="4" t="str">
        <f t="shared" si="80"/>
        <v>I</v>
      </c>
      <c r="L786" s="7" t="str">
        <f t="shared" si="81"/>
        <v>G8</v>
      </c>
      <c r="M786" s="7" t="str">
        <f t="shared" si="82"/>
        <v/>
      </c>
      <c r="N786" s="62" t="str">
        <f t="shared" si="83"/>
        <v/>
      </c>
      <c r="O786" s="8">
        <f t="shared" si="84"/>
        <v>45927</v>
      </c>
      <c r="P786" s="9" t="str">
        <f t="shared" ca="1" si="85"/>
        <v>ATRASADO</v>
      </c>
      <c r="Q786" s="429" t="s">
        <v>1556</v>
      </c>
      <c r="R786" s="428"/>
      <c r="S786" s="9" t="str">
        <f t="shared" si="86"/>
        <v/>
      </c>
    </row>
    <row r="787" spans="1:19" x14ac:dyDescent="0.3">
      <c r="A787" s="10">
        <v>783</v>
      </c>
      <c r="B787" s="432" t="s">
        <v>312</v>
      </c>
      <c r="C787" s="427" t="s">
        <v>2502</v>
      </c>
      <c r="D787" s="429" t="s">
        <v>2503</v>
      </c>
      <c r="E787" s="430">
        <v>21478</v>
      </c>
      <c r="F787" s="9">
        <f t="shared" ca="1" si="78"/>
        <v>67</v>
      </c>
      <c r="G787" s="431">
        <v>44182</v>
      </c>
      <c r="H787" s="429" t="s">
        <v>271</v>
      </c>
      <c r="I787" s="431">
        <v>44828</v>
      </c>
      <c r="J787" s="585" t="s">
        <v>271</v>
      </c>
      <c r="K787" s="4" t="str">
        <f t="shared" si="80"/>
        <v>I</v>
      </c>
      <c r="L787" s="7" t="str">
        <f t="shared" si="81"/>
        <v>G8</v>
      </c>
      <c r="M787" s="7" t="str">
        <f t="shared" si="82"/>
        <v>J1</v>
      </c>
      <c r="N787" s="62" t="str">
        <f t="shared" si="83"/>
        <v/>
      </c>
      <c r="O787" s="8">
        <f t="shared" si="84"/>
        <v>45924</v>
      </c>
      <c r="P787" s="9" t="str">
        <f t="shared" ca="1" si="85"/>
        <v>ATRASADO</v>
      </c>
      <c r="Q787" s="429" t="s">
        <v>1556</v>
      </c>
      <c r="R787" s="426"/>
      <c r="S787" s="9" t="str">
        <f t="shared" si="86"/>
        <v/>
      </c>
    </row>
    <row r="788" spans="1:19" x14ac:dyDescent="0.3">
      <c r="A788" s="10">
        <v>784</v>
      </c>
      <c r="B788" s="432" t="s">
        <v>312</v>
      </c>
      <c r="C788" s="427" t="s">
        <v>2504</v>
      </c>
      <c r="D788" s="429" t="s">
        <v>2505</v>
      </c>
      <c r="E788" s="430">
        <v>27007</v>
      </c>
      <c r="F788" s="9">
        <f t="shared" ca="1" si="78"/>
        <v>52</v>
      </c>
      <c r="G788" s="431">
        <v>44468</v>
      </c>
      <c r="H788" s="429" t="s">
        <v>300</v>
      </c>
      <c r="I788" s="431">
        <v>44813</v>
      </c>
      <c r="J788" s="584" t="s">
        <v>275</v>
      </c>
      <c r="K788" s="4" t="str">
        <f t="shared" si="80"/>
        <v>I</v>
      </c>
      <c r="L788" s="7" t="str">
        <f t="shared" si="81"/>
        <v>G8</v>
      </c>
      <c r="M788" s="7" t="str">
        <f t="shared" si="82"/>
        <v/>
      </c>
      <c r="N788" s="62" t="str">
        <f t="shared" si="83"/>
        <v/>
      </c>
      <c r="O788" s="8">
        <f t="shared" si="84"/>
        <v>45909</v>
      </c>
      <c r="P788" s="9" t="str">
        <f t="shared" ca="1" si="85"/>
        <v>ATRASADO</v>
      </c>
      <c r="Q788" s="429" t="s">
        <v>1556</v>
      </c>
      <c r="R788" s="426"/>
      <c r="S788" s="9" t="str">
        <f t="shared" si="86"/>
        <v/>
      </c>
    </row>
    <row r="789" spans="1:19" x14ac:dyDescent="0.3">
      <c r="A789" s="10">
        <v>785</v>
      </c>
      <c r="B789" s="432" t="s">
        <v>312</v>
      </c>
      <c r="C789" s="427" t="s">
        <v>2506</v>
      </c>
      <c r="D789" s="429" t="s">
        <v>2507</v>
      </c>
      <c r="E789" s="430">
        <v>34124</v>
      </c>
      <c r="F789" s="9">
        <f t="shared" ca="1" si="78"/>
        <v>33</v>
      </c>
      <c r="G789" s="429" t="s">
        <v>8</v>
      </c>
      <c r="H789" s="429" t="s">
        <v>8</v>
      </c>
      <c r="I789" s="431">
        <v>44818</v>
      </c>
      <c r="J789" s="584" t="s">
        <v>291</v>
      </c>
      <c r="K789" s="4" t="str">
        <f t="shared" si="80"/>
        <v>I</v>
      </c>
      <c r="L789" s="7" t="str">
        <f t="shared" si="81"/>
        <v>G8</v>
      </c>
      <c r="M789" s="7" t="str">
        <f t="shared" si="82"/>
        <v>J5</v>
      </c>
      <c r="N789" s="62" t="str">
        <f t="shared" si="83"/>
        <v/>
      </c>
      <c r="O789" s="8">
        <f t="shared" si="84"/>
        <v>45914</v>
      </c>
      <c r="P789" s="9" t="str">
        <f t="shared" ca="1" si="85"/>
        <v>ATRASADO</v>
      </c>
      <c r="Q789" s="429" t="s">
        <v>1556</v>
      </c>
      <c r="R789" s="426"/>
      <c r="S789" s="9" t="str">
        <f t="shared" si="86"/>
        <v>CANDIDA</v>
      </c>
    </row>
    <row r="790" spans="1:19" x14ac:dyDescent="0.3">
      <c r="A790" s="10">
        <v>786</v>
      </c>
      <c r="B790" s="439" t="s">
        <v>312</v>
      </c>
      <c r="C790" s="434" t="s">
        <v>2508</v>
      </c>
      <c r="D790" s="436" t="s">
        <v>2509</v>
      </c>
      <c r="E790" s="437">
        <v>24793</v>
      </c>
      <c r="F790" s="9">
        <f t="shared" ca="1" si="78"/>
        <v>58</v>
      </c>
      <c r="G790" s="438">
        <v>43626</v>
      </c>
      <c r="H790" s="436" t="s">
        <v>327</v>
      </c>
      <c r="I790" s="438">
        <v>44823</v>
      </c>
      <c r="J790" s="586" t="s">
        <v>275</v>
      </c>
      <c r="K790" s="4" t="str">
        <f t="shared" si="80"/>
        <v>I</v>
      </c>
      <c r="L790" s="7" t="str">
        <f t="shared" si="81"/>
        <v>G8</v>
      </c>
      <c r="M790" s="7" t="str">
        <f t="shared" si="82"/>
        <v/>
      </c>
      <c r="N790" s="62" t="str">
        <f t="shared" si="83"/>
        <v/>
      </c>
      <c r="O790" s="8">
        <f t="shared" si="84"/>
        <v>45919</v>
      </c>
      <c r="P790" s="9" t="str">
        <f t="shared" ca="1" si="85"/>
        <v>ATRASADO</v>
      </c>
      <c r="Q790" s="436" t="s">
        <v>1556</v>
      </c>
      <c r="R790" s="433"/>
      <c r="S790" s="9" t="str">
        <f t="shared" si="86"/>
        <v/>
      </c>
    </row>
    <row r="791" spans="1:19" x14ac:dyDescent="0.3">
      <c r="A791" s="10">
        <v>787</v>
      </c>
      <c r="B791" s="439" t="s">
        <v>312</v>
      </c>
      <c r="C791" s="434" t="s">
        <v>2510</v>
      </c>
      <c r="D791" s="436" t="s">
        <v>2511</v>
      </c>
      <c r="E791" s="437">
        <v>34075</v>
      </c>
      <c r="F791" s="9">
        <f t="shared" ca="1" si="78"/>
        <v>33</v>
      </c>
      <c r="G791" s="438">
        <v>43161</v>
      </c>
      <c r="H791" s="436" t="s">
        <v>271</v>
      </c>
      <c r="I791" s="438">
        <v>44830</v>
      </c>
      <c r="J791" s="584" t="s">
        <v>271</v>
      </c>
      <c r="K791" s="4" t="str">
        <f t="shared" si="80"/>
        <v>I</v>
      </c>
      <c r="L791" s="7" t="str">
        <f t="shared" si="81"/>
        <v>G8</v>
      </c>
      <c r="M791" s="7" t="str">
        <f t="shared" si="82"/>
        <v>J1</v>
      </c>
      <c r="N791" s="62" t="str">
        <f t="shared" si="83"/>
        <v/>
      </c>
      <c r="O791" s="8">
        <f t="shared" si="84"/>
        <v>45926</v>
      </c>
      <c r="P791" s="9" t="str">
        <f t="shared" ca="1" si="85"/>
        <v>ATRASADO</v>
      </c>
      <c r="Q791" s="436" t="s">
        <v>1556</v>
      </c>
      <c r="R791" s="433"/>
      <c r="S791" s="9" t="str">
        <f t="shared" si="86"/>
        <v/>
      </c>
    </row>
    <row r="792" spans="1:19" x14ac:dyDescent="0.3">
      <c r="A792" s="10">
        <v>788</v>
      </c>
      <c r="B792" s="439" t="s">
        <v>312</v>
      </c>
      <c r="C792" s="434" t="s">
        <v>2512</v>
      </c>
      <c r="D792" s="436" t="s">
        <v>2513</v>
      </c>
      <c r="E792" s="437">
        <v>24534</v>
      </c>
      <c r="F792" s="9">
        <f t="shared" ca="1" si="78"/>
        <v>59</v>
      </c>
      <c r="G792" s="438">
        <v>43470</v>
      </c>
      <c r="H792" s="436" t="s">
        <v>275</v>
      </c>
      <c r="I792" s="438">
        <v>44832</v>
      </c>
      <c r="J792" s="578" t="s">
        <v>275</v>
      </c>
      <c r="K792" s="4" t="str">
        <f t="shared" si="80"/>
        <v>I</v>
      </c>
      <c r="L792" s="7" t="str">
        <f t="shared" si="81"/>
        <v>G8</v>
      </c>
      <c r="M792" s="7" t="str">
        <f t="shared" si="82"/>
        <v/>
      </c>
      <c r="N792" s="62" t="str">
        <f t="shared" si="83"/>
        <v/>
      </c>
      <c r="O792" s="8">
        <f t="shared" si="84"/>
        <v>45928</v>
      </c>
      <c r="P792" s="9" t="str">
        <f t="shared" ca="1" si="85"/>
        <v>ATRASADO</v>
      </c>
      <c r="Q792" s="436" t="s">
        <v>1556</v>
      </c>
      <c r="R792" s="435"/>
      <c r="S792" s="9" t="str">
        <f t="shared" si="86"/>
        <v/>
      </c>
    </row>
    <row r="793" spans="1:19" x14ac:dyDescent="0.3">
      <c r="A793" s="10">
        <v>789</v>
      </c>
      <c r="B793" s="439" t="s">
        <v>312</v>
      </c>
      <c r="C793" s="434" t="s">
        <v>2514</v>
      </c>
      <c r="D793" s="436" t="s">
        <v>2515</v>
      </c>
      <c r="E793" s="437">
        <v>24851</v>
      </c>
      <c r="F793" s="9">
        <f t="shared" ca="1" si="78"/>
        <v>58</v>
      </c>
      <c r="G793" s="438">
        <v>43144</v>
      </c>
      <c r="H793" s="436" t="s">
        <v>271</v>
      </c>
      <c r="I793" s="438">
        <v>44818</v>
      </c>
      <c r="J793" s="578" t="s">
        <v>275</v>
      </c>
      <c r="K793" s="4" t="str">
        <f t="shared" si="80"/>
        <v>I</v>
      </c>
      <c r="L793" s="7" t="str">
        <f t="shared" si="81"/>
        <v>G8</v>
      </c>
      <c r="M793" s="7" t="str">
        <f t="shared" si="82"/>
        <v/>
      </c>
      <c r="N793" s="62" t="str">
        <f t="shared" si="83"/>
        <v/>
      </c>
      <c r="O793" s="8">
        <f t="shared" si="84"/>
        <v>45914</v>
      </c>
      <c r="P793" s="9" t="str">
        <f t="shared" ca="1" si="85"/>
        <v>ATRASADO</v>
      </c>
      <c r="Q793" s="436" t="s">
        <v>1556</v>
      </c>
      <c r="R793" s="433"/>
      <c r="S793" s="9" t="str">
        <f t="shared" si="86"/>
        <v/>
      </c>
    </row>
    <row r="794" spans="1:19" x14ac:dyDescent="0.3">
      <c r="A794" s="10">
        <v>790</v>
      </c>
      <c r="B794" s="439" t="s">
        <v>312</v>
      </c>
      <c r="C794" s="434" t="s">
        <v>2516</v>
      </c>
      <c r="D794" s="436" t="s">
        <v>2517</v>
      </c>
      <c r="E794" s="437">
        <v>32299</v>
      </c>
      <c r="F794" s="9">
        <f t="shared" ca="1" si="78"/>
        <v>38</v>
      </c>
      <c r="G794" s="438">
        <v>43679</v>
      </c>
      <c r="H794" s="436" t="s">
        <v>275</v>
      </c>
      <c r="I794" s="438">
        <v>44827</v>
      </c>
      <c r="J794" s="578" t="s">
        <v>275</v>
      </c>
      <c r="K794" s="4" t="str">
        <f t="shared" si="80"/>
        <v>I</v>
      </c>
      <c r="L794" s="7" t="str">
        <f t="shared" si="81"/>
        <v>G8</v>
      </c>
      <c r="M794" s="7" t="str">
        <f t="shared" si="82"/>
        <v/>
      </c>
      <c r="N794" s="62" t="str">
        <f t="shared" si="83"/>
        <v/>
      </c>
      <c r="O794" s="8">
        <f t="shared" si="84"/>
        <v>45923</v>
      </c>
      <c r="P794" s="9" t="str">
        <f t="shared" ca="1" si="85"/>
        <v>ATRASADO</v>
      </c>
      <c r="Q794" s="436" t="s">
        <v>1556</v>
      </c>
      <c r="R794" s="433"/>
      <c r="S794" s="9" t="str">
        <f t="shared" si="86"/>
        <v/>
      </c>
    </row>
    <row r="795" spans="1:19" x14ac:dyDescent="0.3">
      <c r="A795" s="10">
        <v>791</v>
      </c>
      <c r="B795" s="439" t="s">
        <v>312</v>
      </c>
      <c r="C795" s="434" t="s">
        <v>2518</v>
      </c>
      <c r="D795" s="436" t="s">
        <v>2519</v>
      </c>
      <c r="E795" s="437">
        <v>30028</v>
      </c>
      <c r="F795" s="9">
        <f t="shared" ca="1" si="78"/>
        <v>44</v>
      </c>
      <c r="G795" s="438">
        <v>43189</v>
      </c>
      <c r="H795" s="436" t="s">
        <v>320</v>
      </c>
      <c r="I795" s="438">
        <v>44806</v>
      </c>
      <c r="J795" s="578" t="s">
        <v>271</v>
      </c>
      <c r="K795" s="4" t="str">
        <f t="shared" si="80"/>
        <v>I</v>
      </c>
      <c r="L795" s="7" t="str">
        <f t="shared" si="81"/>
        <v>G8</v>
      </c>
      <c r="M795" s="7" t="str">
        <f t="shared" si="82"/>
        <v>J1</v>
      </c>
      <c r="N795" s="62" t="str">
        <f t="shared" si="83"/>
        <v/>
      </c>
      <c r="O795" s="8">
        <f t="shared" si="84"/>
        <v>45902</v>
      </c>
      <c r="P795" s="9" t="str">
        <f t="shared" ca="1" si="85"/>
        <v>ATRASADO</v>
      </c>
      <c r="Q795" s="436" t="s">
        <v>1556</v>
      </c>
      <c r="R795" s="433"/>
      <c r="S795" s="9" t="str">
        <f t="shared" si="86"/>
        <v/>
      </c>
    </row>
    <row r="796" spans="1:19" x14ac:dyDescent="0.3">
      <c r="A796" s="10">
        <v>792</v>
      </c>
      <c r="B796" s="439" t="s">
        <v>312</v>
      </c>
      <c r="C796" s="434" t="s">
        <v>2520</v>
      </c>
      <c r="D796" s="436" t="s">
        <v>2521</v>
      </c>
      <c r="E796" s="437">
        <v>32420</v>
      </c>
      <c r="F796" s="9">
        <f t="shared" ca="1" si="78"/>
        <v>37</v>
      </c>
      <c r="G796" s="438">
        <v>43600</v>
      </c>
      <c r="H796" s="436" t="s">
        <v>275</v>
      </c>
      <c r="I796" s="438">
        <v>44829</v>
      </c>
      <c r="J796" s="578" t="s">
        <v>271</v>
      </c>
      <c r="K796" s="4" t="str">
        <f t="shared" si="80"/>
        <v>I</v>
      </c>
      <c r="L796" s="7" t="str">
        <f t="shared" si="81"/>
        <v>G8</v>
      </c>
      <c r="M796" s="7" t="str">
        <f t="shared" si="82"/>
        <v>J1</v>
      </c>
      <c r="N796" s="62" t="str">
        <f t="shared" si="83"/>
        <v/>
      </c>
      <c r="O796" s="8">
        <f t="shared" si="84"/>
        <v>45925</v>
      </c>
      <c r="P796" s="9" t="str">
        <f t="shared" ca="1" si="85"/>
        <v>ATRASADO</v>
      </c>
      <c r="Q796" s="436" t="s">
        <v>1556</v>
      </c>
      <c r="R796" s="433"/>
      <c r="S796" s="9" t="str">
        <f t="shared" si="86"/>
        <v/>
      </c>
    </row>
    <row r="797" spans="1:19" x14ac:dyDescent="0.3">
      <c r="A797" s="10">
        <v>793</v>
      </c>
      <c r="B797" s="439" t="s">
        <v>312</v>
      </c>
      <c r="C797" s="434" t="s">
        <v>2522</v>
      </c>
      <c r="D797" s="436" t="s">
        <v>2523</v>
      </c>
      <c r="E797" s="437">
        <v>24404</v>
      </c>
      <c r="F797" s="9">
        <f t="shared" ca="1" si="78"/>
        <v>59</v>
      </c>
      <c r="G797" s="438">
        <v>44408</v>
      </c>
      <c r="H797" s="436" t="s">
        <v>275</v>
      </c>
      <c r="I797" s="438">
        <v>44833</v>
      </c>
      <c r="J797" s="578" t="s">
        <v>275</v>
      </c>
      <c r="K797" s="4" t="str">
        <f t="shared" si="80"/>
        <v>I</v>
      </c>
      <c r="L797" s="7" t="str">
        <f t="shared" si="81"/>
        <v>G8</v>
      </c>
      <c r="M797" s="7" t="str">
        <f t="shared" si="82"/>
        <v/>
      </c>
      <c r="N797" s="62" t="str">
        <f t="shared" si="83"/>
        <v/>
      </c>
      <c r="O797" s="8">
        <f t="shared" si="84"/>
        <v>45929</v>
      </c>
      <c r="P797" s="9" t="str">
        <f t="shared" ca="1" si="85"/>
        <v>ATRASADO</v>
      </c>
      <c r="Q797" s="436" t="s">
        <v>1556</v>
      </c>
      <c r="R797" s="433"/>
      <c r="S797" s="9" t="str">
        <f t="shared" si="86"/>
        <v/>
      </c>
    </row>
    <row r="798" spans="1:19" x14ac:dyDescent="0.3">
      <c r="A798" s="10">
        <v>794</v>
      </c>
      <c r="B798" s="446" t="s">
        <v>45</v>
      </c>
      <c r="C798" s="441" t="s">
        <v>2524</v>
      </c>
      <c r="D798" s="443" t="s">
        <v>2525</v>
      </c>
      <c r="E798" s="444">
        <v>33929</v>
      </c>
      <c r="F798" s="9">
        <f t="shared" ca="1" si="78"/>
        <v>33</v>
      </c>
      <c r="G798" s="445">
        <v>43863</v>
      </c>
      <c r="H798" s="443" t="s">
        <v>271</v>
      </c>
      <c r="I798" s="445">
        <v>44812</v>
      </c>
      <c r="J798" s="595" t="s">
        <v>275</v>
      </c>
      <c r="K798" s="4" t="str">
        <f t="shared" si="80"/>
        <v>I</v>
      </c>
      <c r="L798" s="7" t="str">
        <f t="shared" si="81"/>
        <v>G8</v>
      </c>
      <c r="M798" s="7" t="str">
        <f t="shared" si="82"/>
        <v/>
      </c>
      <c r="N798" s="62" t="str">
        <f t="shared" si="83"/>
        <v/>
      </c>
      <c r="O798" s="8">
        <f t="shared" si="84"/>
        <v>45908</v>
      </c>
      <c r="P798" s="9" t="str">
        <f t="shared" ca="1" si="85"/>
        <v>ATRASADO</v>
      </c>
      <c r="Q798" s="443" t="s">
        <v>1556</v>
      </c>
      <c r="R798" s="442"/>
      <c r="S798" s="9" t="str">
        <f t="shared" si="86"/>
        <v/>
      </c>
    </row>
    <row r="799" spans="1:19" x14ac:dyDescent="0.3">
      <c r="A799" s="10">
        <v>795</v>
      </c>
      <c r="B799" s="446" t="s">
        <v>45</v>
      </c>
      <c r="C799" s="441" t="s">
        <v>2526</v>
      </c>
      <c r="D799" s="443" t="s">
        <v>2527</v>
      </c>
      <c r="E799" s="444">
        <v>30384</v>
      </c>
      <c r="F799" s="9">
        <f t="shared" ca="1" si="78"/>
        <v>43</v>
      </c>
      <c r="G799" s="445">
        <v>43495</v>
      </c>
      <c r="H799" s="443" t="s">
        <v>320</v>
      </c>
      <c r="I799" s="445">
        <v>44834</v>
      </c>
      <c r="J799" s="595" t="s">
        <v>271</v>
      </c>
      <c r="K799" s="4" t="str">
        <f t="shared" si="80"/>
        <v>I</v>
      </c>
      <c r="L799" s="7" t="str">
        <f t="shared" si="81"/>
        <v>G8</v>
      </c>
      <c r="M799" s="7" t="str">
        <f t="shared" si="82"/>
        <v>J1</v>
      </c>
      <c r="N799" s="62" t="str">
        <f t="shared" si="83"/>
        <v/>
      </c>
      <c r="O799" s="8">
        <f t="shared" si="84"/>
        <v>45930</v>
      </c>
      <c r="P799" s="9" t="str">
        <f t="shared" ca="1" si="85"/>
        <v>ATRASADO</v>
      </c>
      <c r="Q799" s="443" t="s">
        <v>1556</v>
      </c>
      <c r="R799" s="440"/>
      <c r="S799" s="9" t="str">
        <f t="shared" si="86"/>
        <v/>
      </c>
    </row>
    <row r="800" spans="1:19" x14ac:dyDescent="0.3">
      <c r="A800" s="10">
        <v>796</v>
      </c>
      <c r="B800" s="453" t="s">
        <v>270</v>
      </c>
      <c r="C800" s="448" t="s">
        <v>2528</v>
      </c>
      <c r="D800" s="450" t="s">
        <v>2529</v>
      </c>
      <c r="E800" s="451">
        <v>34207</v>
      </c>
      <c r="F800" s="9">
        <f t="shared" ca="1" si="78"/>
        <v>33</v>
      </c>
      <c r="G800" s="452">
        <v>43911</v>
      </c>
      <c r="H800" s="450" t="s">
        <v>271</v>
      </c>
      <c r="I800" s="452">
        <v>44823</v>
      </c>
      <c r="J800" s="595" t="s">
        <v>271</v>
      </c>
      <c r="K800" s="4" t="str">
        <f t="shared" si="80"/>
        <v>I</v>
      </c>
      <c r="L800" s="7" t="str">
        <f t="shared" si="81"/>
        <v>G8</v>
      </c>
      <c r="M800" s="7" t="str">
        <f t="shared" si="82"/>
        <v>J1</v>
      </c>
      <c r="N800" s="62" t="str">
        <f t="shared" si="83"/>
        <v/>
      </c>
      <c r="O800" s="8">
        <f t="shared" si="84"/>
        <v>45919</v>
      </c>
      <c r="P800" s="9" t="str">
        <f t="shared" ca="1" si="85"/>
        <v>ATRASADO</v>
      </c>
      <c r="Q800" s="450" t="s">
        <v>1556</v>
      </c>
      <c r="R800" s="447"/>
      <c r="S800" s="9" t="str">
        <f t="shared" si="86"/>
        <v/>
      </c>
    </row>
    <row r="801" spans="1:19" x14ac:dyDescent="0.3">
      <c r="A801" s="10">
        <v>797</v>
      </c>
      <c r="B801" s="453" t="s">
        <v>45</v>
      </c>
      <c r="C801" s="448" t="s">
        <v>2530</v>
      </c>
      <c r="D801" s="450" t="s">
        <v>2531</v>
      </c>
      <c r="E801" s="451">
        <v>31127</v>
      </c>
      <c r="F801" s="9">
        <f t="shared" ca="1" si="78"/>
        <v>41</v>
      </c>
      <c r="G801" s="452">
        <v>43492</v>
      </c>
      <c r="H801" s="450" t="s">
        <v>275</v>
      </c>
      <c r="I801" s="452">
        <v>44805</v>
      </c>
      <c r="J801" s="578" t="s">
        <v>275</v>
      </c>
      <c r="K801" s="4" t="str">
        <f t="shared" si="80"/>
        <v>I</v>
      </c>
      <c r="L801" s="7" t="str">
        <f t="shared" si="81"/>
        <v>G8</v>
      </c>
      <c r="M801" s="7" t="str">
        <f t="shared" si="82"/>
        <v/>
      </c>
      <c r="N801" s="62" t="str">
        <f t="shared" si="83"/>
        <v/>
      </c>
      <c r="O801" s="8">
        <f t="shared" si="84"/>
        <v>45901</v>
      </c>
      <c r="P801" s="9" t="str">
        <f t="shared" ca="1" si="85"/>
        <v>ATRASADO</v>
      </c>
      <c r="Q801" s="450" t="s">
        <v>1556</v>
      </c>
      <c r="R801" s="449"/>
      <c r="S801" s="9" t="str">
        <f t="shared" si="86"/>
        <v/>
      </c>
    </row>
    <row r="802" spans="1:19" x14ac:dyDescent="0.3">
      <c r="A802" s="10">
        <v>798</v>
      </c>
      <c r="B802" s="453" t="s">
        <v>45</v>
      </c>
      <c r="C802" s="448" t="s">
        <v>2532</v>
      </c>
      <c r="D802" s="450" t="s">
        <v>2533</v>
      </c>
      <c r="E802" s="451">
        <v>33309</v>
      </c>
      <c r="F802" s="9">
        <f t="shared" ca="1" si="78"/>
        <v>35</v>
      </c>
      <c r="G802" s="452">
        <v>43145</v>
      </c>
      <c r="H802" s="450" t="s">
        <v>340</v>
      </c>
      <c r="I802" s="452">
        <v>44826</v>
      </c>
      <c r="J802" s="578" t="s">
        <v>8</v>
      </c>
      <c r="K802" s="4" t="str">
        <f t="shared" si="80"/>
        <v>SI</v>
      </c>
      <c r="L802" s="7" t="str">
        <f t="shared" si="81"/>
        <v xml:space="preserve">N </v>
      </c>
      <c r="M802" s="7" t="str">
        <f t="shared" si="82"/>
        <v>RE</v>
      </c>
      <c r="N802" s="62" t="str">
        <f t="shared" si="83"/>
        <v>GI</v>
      </c>
      <c r="O802" s="8">
        <f t="shared" si="84"/>
        <v>45922</v>
      </c>
      <c r="P802" s="9" t="str">
        <f t="shared" ca="1" si="85"/>
        <v>ATRASADO</v>
      </c>
      <c r="Q802" s="450" t="s">
        <v>1556</v>
      </c>
      <c r="R802" s="447"/>
      <c r="S802" s="9" t="str">
        <f t="shared" si="86"/>
        <v/>
      </c>
    </row>
    <row r="803" spans="1:19" x14ac:dyDescent="0.3">
      <c r="A803" s="10">
        <v>799</v>
      </c>
      <c r="B803" s="453" t="s">
        <v>45</v>
      </c>
      <c r="C803" s="448" t="s">
        <v>2534</v>
      </c>
      <c r="D803" s="450" t="s">
        <v>2535</v>
      </c>
      <c r="E803" s="451">
        <v>29428</v>
      </c>
      <c r="F803" s="9">
        <f t="shared" ca="1" si="78"/>
        <v>46</v>
      </c>
      <c r="G803" s="452">
        <v>44156</v>
      </c>
      <c r="H803" s="450" t="s">
        <v>275</v>
      </c>
      <c r="I803" s="452">
        <v>44832</v>
      </c>
      <c r="J803" s="578" t="s">
        <v>271</v>
      </c>
      <c r="K803" s="4" t="str">
        <f t="shared" si="80"/>
        <v>I</v>
      </c>
      <c r="L803" s="7" t="str">
        <f t="shared" si="81"/>
        <v>G8</v>
      </c>
      <c r="M803" s="7" t="str">
        <f t="shared" si="82"/>
        <v>J1</v>
      </c>
      <c r="N803" s="62" t="str">
        <f t="shared" si="83"/>
        <v/>
      </c>
      <c r="O803" s="8">
        <f t="shared" si="84"/>
        <v>45928</v>
      </c>
      <c r="P803" s="9" t="str">
        <f t="shared" ca="1" si="85"/>
        <v>ATRASADO</v>
      </c>
      <c r="Q803" s="450" t="s">
        <v>1556</v>
      </c>
      <c r="R803" s="447"/>
      <c r="S803" s="9" t="str">
        <f t="shared" si="86"/>
        <v/>
      </c>
    </row>
    <row r="804" spans="1:19" x14ac:dyDescent="0.3">
      <c r="A804" s="10">
        <v>800</v>
      </c>
      <c r="B804" s="453" t="s">
        <v>45</v>
      </c>
      <c r="C804" s="448" t="s">
        <v>2536</v>
      </c>
      <c r="D804" s="450" t="s">
        <v>2537</v>
      </c>
      <c r="E804" s="451">
        <v>29482</v>
      </c>
      <c r="F804" s="9">
        <f t="shared" ca="1" si="78"/>
        <v>46</v>
      </c>
      <c r="G804" s="452">
        <v>43248</v>
      </c>
      <c r="H804" s="450" t="s">
        <v>275</v>
      </c>
      <c r="I804" s="452">
        <v>44823</v>
      </c>
      <c r="J804" s="578" t="s">
        <v>275</v>
      </c>
      <c r="K804" s="4" t="str">
        <f t="shared" si="80"/>
        <v>I</v>
      </c>
      <c r="L804" s="7" t="str">
        <f t="shared" si="81"/>
        <v>G8</v>
      </c>
      <c r="M804" s="7" t="str">
        <f t="shared" si="82"/>
        <v/>
      </c>
      <c r="N804" s="62" t="str">
        <f t="shared" si="83"/>
        <v/>
      </c>
      <c r="O804" s="8">
        <f t="shared" si="84"/>
        <v>45919</v>
      </c>
      <c r="P804" s="9" t="str">
        <f t="shared" ca="1" si="85"/>
        <v>ATRASADO</v>
      </c>
      <c r="Q804" s="450" t="s">
        <v>1556</v>
      </c>
      <c r="R804" s="449"/>
      <c r="S804" s="9" t="str">
        <f t="shared" si="86"/>
        <v/>
      </c>
    </row>
    <row r="805" spans="1:19" x14ac:dyDescent="0.3">
      <c r="A805" s="10">
        <v>801</v>
      </c>
      <c r="B805" s="460" t="s">
        <v>45</v>
      </c>
      <c r="C805" s="455" t="s">
        <v>2538</v>
      </c>
      <c r="D805" s="457" t="s">
        <v>2539</v>
      </c>
      <c r="E805" s="458">
        <v>22267</v>
      </c>
      <c r="F805" s="9">
        <f t="shared" ca="1" si="78"/>
        <v>65</v>
      </c>
      <c r="G805" s="457" t="s">
        <v>8</v>
      </c>
      <c r="H805" s="457" t="s">
        <v>300</v>
      </c>
      <c r="I805" s="459">
        <v>44831</v>
      </c>
      <c r="J805" s="578" t="s">
        <v>340</v>
      </c>
      <c r="K805" s="4" t="str">
        <f t="shared" si="80"/>
        <v>I</v>
      </c>
      <c r="L805" s="7" t="str">
        <f t="shared" si="81"/>
        <v>G8</v>
      </c>
      <c r="M805" s="7" t="str">
        <f t="shared" si="82"/>
        <v>S</v>
      </c>
      <c r="N805" s="62" t="str">
        <f t="shared" si="83"/>
        <v/>
      </c>
      <c r="O805" s="8">
        <f t="shared" si="84"/>
        <v>45196</v>
      </c>
      <c r="P805" s="9" t="str">
        <f t="shared" ca="1" si="85"/>
        <v>ATRASADO</v>
      </c>
      <c r="Q805" s="457" t="s">
        <v>1556</v>
      </c>
      <c r="R805" s="456" t="s">
        <v>2540</v>
      </c>
      <c r="S805" s="9" t="str">
        <f t="shared" si="86"/>
        <v/>
      </c>
    </row>
    <row r="806" spans="1:19" x14ac:dyDescent="0.3">
      <c r="A806" s="10">
        <v>802</v>
      </c>
      <c r="B806" s="460" t="s">
        <v>75</v>
      </c>
      <c r="C806" s="455" t="s">
        <v>2541</v>
      </c>
      <c r="D806" s="457" t="s">
        <v>2542</v>
      </c>
      <c r="E806" s="458">
        <v>24285</v>
      </c>
      <c r="F806" s="9">
        <f t="shared" ca="1" si="78"/>
        <v>60</v>
      </c>
      <c r="G806" s="457" t="s">
        <v>8</v>
      </c>
      <c r="H806" s="457" t="s">
        <v>275</v>
      </c>
      <c r="I806" s="459">
        <v>44812</v>
      </c>
      <c r="J806" s="684" t="s">
        <v>8</v>
      </c>
      <c r="K806" s="4" t="str">
        <f t="shared" si="80"/>
        <v>SI</v>
      </c>
      <c r="L806" s="7" t="str">
        <f t="shared" si="81"/>
        <v xml:space="preserve">N </v>
      </c>
      <c r="M806" s="7" t="str">
        <f t="shared" si="82"/>
        <v>RE</v>
      </c>
      <c r="N806" s="62" t="str">
        <f t="shared" si="83"/>
        <v>GI</v>
      </c>
      <c r="O806" s="8">
        <f t="shared" si="84"/>
        <v>45908</v>
      </c>
      <c r="P806" s="9" t="str">
        <f t="shared" ca="1" si="85"/>
        <v>ATRASADO</v>
      </c>
      <c r="Q806" s="457" t="s">
        <v>1556</v>
      </c>
      <c r="R806" s="454"/>
      <c r="S806" s="9" t="str">
        <f t="shared" si="86"/>
        <v/>
      </c>
    </row>
    <row r="807" spans="1:19" x14ac:dyDescent="0.3">
      <c r="A807" s="10">
        <v>803</v>
      </c>
      <c r="B807" s="460" t="s">
        <v>45</v>
      </c>
      <c r="C807" s="455" t="s">
        <v>2543</v>
      </c>
      <c r="D807" s="457" t="s">
        <v>2544</v>
      </c>
      <c r="E807" s="458">
        <v>35985</v>
      </c>
      <c r="F807" s="9">
        <f t="shared" ca="1" si="78"/>
        <v>28</v>
      </c>
      <c r="G807" s="459">
        <v>43492</v>
      </c>
      <c r="H807" s="457" t="s">
        <v>275</v>
      </c>
      <c r="I807" s="459">
        <v>44827</v>
      </c>
      <c r="J807" s="578" t="s">
        <v>275</v>
      </c>
      <c r="K807" s="4" t="str">
        <f t="shared" si="80"/>
        <v>I</v>
      </c>
      <c r="L807" s="7" t="str">
        <f t="shared" si="81"/>
        <v>G8</v>
      </c>
      <c r="M807" s="7" t="str">
        <f t="shared" si="82"/>
        <v/>
      </c>
      <c r="N807" s="62" t="str">
        <f t="shared" si="83"/>
        <v/>
      </c>
      <c r="O807" s="8">
        <f t="shared" si="84"/>
        <v>45923</v>
      </c>
      <c r="P807" s="9" t="str">
        <f t="shared" ca="1" si="85"/>
        <v>ATRASADO</v>
      </c>
      <c r="Q807" s="457" t="s">
        <v>1556</v>
      </c>
      <c r="R807" s="456"/>
      <c r="S807" s="9" t="str">
        <f t="shared" si="86"/>
        <v/>
      </c>
    </row>
    <row r="808" spans="1:19" x14ac:dyDescent="0.3">
      <c r="A808" s="10">
        <v>804</v>
      </c>
      <c r="B808" s="460" t="s">
        <v>579</v>
      </c>
      <c r="C808" s="455" t="s">
        <v>2545</v>
      </c>
      <c r="D808" s="457" t="s">
        <v>2546</v>
      </c>
      <c r="E808" s="458">
        <v>34610</v>
      </c>
      <c r="F808" s="9">
        <f t="shared" ca="1" si="78"/>
        <v>31</v>
      </c>
      <c r="G808" s="459">
        <v>44078</v>
      </c>
      <c r="H808" s="457" t="s">
        <v>275</v>
      </c>
      <c r="I808" s="459">
        <v>44832</v>
      </c>
      <c r="J808" s="578" t="s">
        <v>275</v>
      </c>
      <c r="K808" s="4" t="str">
        <f t="shared" si="80"/>
        <v>I</v>
      </c>
      <c r="L808" s="7" t="str">
        <f t="shared" si="81"/>
        <v>G8</v>
      </c>
      <c r="M808" s="7" t="str">
        <f t="shared" si="82"/>
        <v/>
      </c>
      <c r="N808" s="62" t="str">
        <f t="shared" si="83"/>
        <v/>
      </c>
      <c r="O808" s="8">
        <f t="shared" si="84"/>
        <v>45928</v>
      </c>
      <c r="P808" s="9" t="str">
        <f t="shared" ca="1" si="85"/>
        <v>ATRASADO</v>
      </c>
      <c r="Q808" s="457" t="s">
        <v>1556</v>
      </c>
      <c r="R808" s="454"/>
      <c r="S808" s="9" t="str">
        <f t="shared" si="86"/>
        <v/>
      </c>
    </row>
    <row r="809" spans="1:19" x14ac:dyDescent="0.3">
      <c r="A809" s="10">
        <v>805</v>
      </c>
      <c r="B809" s="460" t="s">
        <v>45</v>
      </c>
      <c r="C809" s="455" t="s">
        <v>2547</v>
      </c>
      <c r="D809" s="457" t="s">
        <v>2548</v>
      </c>
      <c r="E809" s="458">
        <v>32869</v>
      </c>
      <c r="F809" s="9">
        <f t="shared" ca="1" si="78"/>
        <v>36</v>
      </c>
      <c r="G809" s="459">
        <v>44289</v>
      </c>
      <c r="H809" s="457" t="s">
        <v>271</v>
      </c>
      <c r="I809" s="459">
        <v>44826</v>
      </c>
      <c r="J809" s="578" t="s">
        <v>275</v>
      </c>
      <c r="K809" s="4" t="str">
        <f t="shared" si="80"/>
        <v>I</v>
      </c>
      <c r="L809" s="7" t="str">
        <f t="shared" si="81"/>
        <v>G8</v>
      </c>
      <c r="M809" s="7" t="str">
        <f t="shared" si="82"/>
        <v/>
      </c>
      <c r="N809" s="62" t="str">
        <f t="shared" si="83"/>
        <v/>
      </c>
      <c r="O809" s="8">
        <f t="shared" si="84"/>
        <v>45922</v>
      </c>
      <c r="P809" s="9" t="str">
        <f t="shared" ca="1" si="85"/>
        <v>ATRASADO</v>
      </c>
      <c r="Q809" s="457" t="s">
        <v>1556</v>
      </c>
      <c r="R809" s="456" t="s">
        <v>1842</v>
      </c>
      <c r="S809" s="9" t="str">
        <f t="shared" si="86"/>
        <v/>
      </c>
    </row>
    <row r="810" spans="1:19" x14ac:dyDescent="0.3">
      <c r="A810" s="10">
        <v>806</v>
      </c>
      <c r="B810" s="460" t="s">
        <v>75</v>
      </c>
      <c r="C810" s="455" t="s">
        <v>2549</v>
      </c>
      <c r="D810" s="457" t="s">
        <v>2550</v>
      </c>
      <c r="E810" s="458">
        <v>35846</v>
      </c>
      <c r="F810" s="9">
        <f t="shared" ca="1" si="78"/>
        <v>28</v>
      </c>
      <c r="G810" s="459">
        <v>43433</v>
      </c>
      <c r="H810" s="457" t="s">
        <v>275</v>
      </c>
      <c r="I810" s="459">
        <v>44833</v>
      </c>
      <c r="J810" s="684" t="s">
        <v>275</v>
      </c>
      <c r="K810" s="4" t="str">
        <f t="shared" si="80"/>
        <v>I</v>
      </c>
      <c r="L810" s="7" t="str">
        <f t="shared" si="81"/>
        <v>G8</v>
      </c>
      <c r="M810" s="7" t="str">
        <f t="shared" si="82"/>
        <v/>
      </c>
      <c r="N810" s="62" t="str">
        <f t="shared" si="83"/>
        <v/>
      </c>
      <c r="O810" s="8">
        <f t="shared" si="84"/>
        <v>45929</v>
      </c>
      <c r="P810" s="9" t="str">
        <f t="shared" ca="1" si="85"/>
        <v>ATRASADO</v>
      </c>
      <c r="Q810" s="457" t="s">
        <v>1556</v>
      </c>
      <c r="R810" s="454"/>
      <c r="S810" s="9" t="str">
        <f t="shared" si="86"/>
        <v/>
      </c>
    </row>
    <row r="811" spans="1:19" x14ac:dyDescent="0.3">
      <c r="A811" s="10">
        <v>807</v>
      </c>
      <c r="B811" s="460" t="s">
        <v>45</v>
      </c>
      <c r="C811" s="455" t="s">
        <v>2551</v>
      </c>
      <c r="D811" s="457" t="s">
        <v>2552</v>
      </c>
      <c r="E811" s="458">
        <v>20797</v>
      </c>
      <c r="F811" s="9">
        <f t="shared" ca="1" si="78"/>
        <v>69</v>
      </c>
      <c r="G811" s="459">
        <v>43304</v>
      </c>
      <c r="H811" s="457" t="s">
        <v>8</v>
      </c>
      <c r="I811" s="459">
        <v>44813</v>
      </c>
      <c r="J811" s="578" t="s">
        <v>275</v>
      </c>
      <c r="K811" s="4" t="str">
        <f t="shared" si="80"/>
        <v>I</v>
      </c>
      <c r="L811" s="7" t="str">
        <f t="shared" si="81"/>
        <v>G8</v>
      </c>
      <c r="M811" s="7" t="str">
        <f t="shared" si="82"/>
        <v/>
      </c>
      <c r="N811" s="62" t="str">
        <f t="shared" si="83"/>
        <v/>
      </c>
      <c r="O811" s="8">
        <f t="shared" si="84"/>
        <v>45909</v>
      </c>
      <c r="P811" s="9" t="str">
        <f t="shared" ca="1" si="85"/>
        <v>ATRASADO</v>
      </c>
      <c r="Q811" s="457" t="s">
        <v>1556</v>
      </c>
      <c r="R811" s="454"/>
      <c r="S811" s="9" t="str">
        <f t="shared" ref="S811:S874" si="87">IF(OR(K811="T1",L811="T1",M811="T1",N811="T1",),"LESION SOSPECHOSA A UPC",IF(OR(K811="T2",L811="T2",M811="T2",N811="T2",),"DERIVAR A UPC POR SEGUNDO ATIPICO",IF(OR(K811="J2",L811="J2",M811="J2",N811="J2",),"TRICOMONAS",IF(OR(K811="J3",L811="J3",M811="J3",N811="J3",),"HERPES SIMPLEX",IF(OR(K811="J5",L811="J5",M811="J5",N811="J5",),"CANDIDA",IF(OR(K811="J6",L811="J6",M811="J6",N811="J6",),"ACTINOMYCES",IF(OR(K811="A1",L811="A1",M811="A1",N811="A1",),"VPH",IF(OR(K811="ASC-H",L811="ASC-H",M811="ASC-H",K811="H2",K811="H3",K811="H4",N811="ASC-H",K811="AGUS",L811="AGUS",L811="H2",L811="H3",L811="H4",M811="AGUS",M811="H2",M811="H3",M811="H4",N811="AGUS",N811="H2",N811="H3",N811="H4"),"MANDAR A UPC / COLPOSCOPIA",IF(OR(K811="A",K811="B",K811="C",K811="D",K811="D0",K811="D1",K811="D2",K811="D3",K811="E",K811="E1",K811="E2",K811="K",K811="T",L811="A",L811="B",L811="C",L811="D",L811="D0",L811="D1",L811="D2",L811="D3",L811="E",L811="E1",L811="E2",L811="K",L811="T",M811="A",M811="B",M811="C",M811="D",M811="D0",M811="D1",M811="D2",M811="D3",M811="E",M811="E1",M811="E2",M811="K",M811="T",N811="A",N811="B",N811="C",N811="D",N811="D0",N811="D1",K811="D2",N811="D2",N811="D3",N811="E",N811="E1",N811="E2",N811="K",N811="T",),"CITAR A UPC","")))))))))</f>
        <v/>
      </c>
    </row>
    <row r="812" spans="1:19" x14ac:dyDescent="0.3">
      <c r="A812" s="10">
        <v>808</v>
      </c>
      <c r="B812" s="466" t="s">
        <v>45</v>
      </c>
      <c r="C812" s="462" t="s">
        <v>2553</v>
      </c>
      <c r="D812" s="463" t="s">
        <v>2554</v>
      </c>
      <c r="E812" s="464">
        <v>25333</v>
      </c>
      <c r="F812" s="9">
        <f t="shared" ca="1" si="78"/>
        <v>57</v>
      </c>
      <c r="G812" s="465">
        <v>43449</v>
      </c>
      <c r="H812" s="463" t="s">
        <v>275</v>
      </c>
      <c r="I812" s="465">
        <v>44813</v>
      </c>
      <c r="J812" s="578" t="s">
        <v>271</v>
      </c>
      <c r="K812" s="4" t="str">
        <f t="shared" si="80"/>
        <v>I</v>
      </c>
      <c r="L812" s="7" t="str">
        <f t="shared" si="81"/>
        <v>G8</v>
      </c>
      <c r="M812" s="7" t="str">
        <f t="shared" si="82"/>
        <v>J1</v>
      </c>
      <c r="N812" s="62" t="str">
        <f t="shared" si="83"/>
        <v/>
      </c>
      <c r="O812" s="8">
        <f t="shared" si="84"/>
        <v>45909</v>
      </c>
      <c r="P812" s="9" t="str">
        <f t="shared" ca="1" si="85"/>
        <v>ATRASADO</v>
      </c>
      <c r="Q812" s="463" t="s">
        <v>1556</v>
      </c>
      <c r="R812" s="461"/>
      <c r="S812" s="9" t="str">
        <f t="shared" si="87"/>
        <v/>
      </c>
    </row>
    <row r="813" spans="1:19" x14ac:dyDescent="0.3">
      <c r="A813" s="10">
        <v>809</v>
      </c>
      <c r="B813" s="466" t="s">
        <v>45</v>
      </c>
      <c r="C813" s="462" t="s">
        <v>2555</v>
      </c>
      <c r="D813" s="463" t="s">
        <v>2556</v>
      </c>
      <c r="E813" s="464">
        <v>22092</v>
      </c>
      <c r="F813" s="9">
        <f t="shared" ca="1" si="78"/>
        <v>66</v>
      </c>
      <c r="G813" s="465">
        <v>43845</v>
      </c>
      <c r="H813" s="463" t="s">
        <v>271</v>
      </c>
      <c r="I813" s="465">
        <v>44832</v>
      </c>
      <c r="J813" s="578" t="s">
        <v>275</v>
      </c>
      <c r="K813" s="4" t="str">
        <f t="shared" si="80"/>
        <v>I</v>
      </c>
      <c r="L813" s="7" t="str">
        <f t="shared" si="81"/>
        <v>G8</v>
      </c>
      <c r="M813" s="7" t="str">
        <f t="shared" si="82"/>
        <v/>
      </c>
      <c r="N813" s="62" t="str">
        <f t="shared" si="83"/>
        <v/>
      </c>
      <c r="O813" s="8">
        <f t="shared" si="84"/>
        <v>45928</v>
      </c>
      <c r="P813" s="9" t="str">
        <f t="shared" ca="1" si="85"/>
        <v>ATRASADO</v>
      </c>
      <c r="Q813" s="463" t="s">
        <v>1556</v>
      </c>
      <c r="R813" s="461"/>
      <c r="S813" s="9" t="str">
        <f t="shared" si="87"/>
        <v/>
      </c>
    </row>
    <row r="814" spans="1:19" x14ac:dyDescent="0.3">
      <c r="A814" s="10">
        <v>810</v>
      </c>
      <c r="B814" s="466" t="s">
        <v>45</v>
      </c>
      <c r="C814" s="462" t="s">
        <v>2557</v>
      </c>
      <c r="D814" s="463" t="s">
        <v>2558</v>
      </c>
      <c r="E814" s="464">
        <v>24422</v>
      </c>
      <c r="F814" s="9">
        <f t="shared" ca="1" si="78"/>
        <v>59</v>
      </c>
      <c r="G814" s="465">
        <v>44004</v>
      </c>
      <c r="H814" s="463" t="s">
        <v>275</v>
      </c>
      <c r="I814" s="465">
        <v>44833</v>
      </c>
      <c r="J814" s="578" t="s">
        <v>275</v>
      </c>
      <c r="K814" s="4" t="str">
        <f t="shared" si="80"/>
        <v>I</v>
      </c>
      <c r="L814" s="7" t="str">
        <f t="shared" si="81"/>
        <v>G8</v>
      </c>
      <c r="M814" s="7" t="str">
        <f t="shared" si="82"/>
        <v/>
      </c>
      <c r="N814" s="62" t="str">
        <f t="shared" si="83"/>
        <v/>
      </c>
      <c r="O814" s="8">
        <f t="shared" si="84"/>
        <v>45929</v>
      </c>
      <c r="P814" s="9" t="str">
        <f t="shared" ca="1" si="85"/>
        <v>ATRASADO</v>
      </c>
      <c r="Q814" s="463" t="s">
        <v>1556</v>
      </c>
      <c r="R814" s="461"/>
      <c r="S814" s="9" t="str">
        <f t="shared" si="87"/>
        <v/>
      </c>
    </row>
    <row r="815" spans="1:19" x14ac:dyDescent="0.3">
      <c r="A815" s="10">
        <v>811</v>
      </c>
      <c r="B815" s="466" t="s">
        <v>45</v>
      </c>
      <c r="C815" s="462" t="s">
        <v>2559</v>
      </c>
      <c r="D815" s="463" t="s">
        <v>2560</v>
      </c>
      <c r="E815" s="464">
        <v>33107</v>
      </c>
      <c r="F815" s="9">
        <f t="shared" ca="1" si="78"/>
        <v>36</v>
      </c>
      <c r="G815" s="463" t="s">
        <v>8</v>
      </c>
      <c r="H815" s="463" t="s">
        <v>271</v>
      </c>
      <c r="I815" s="465">
        <v>44820</v>
      </c>
      <c r="J815" s="578" t="s">
        <v>271</v>
      </c>
      <c r="K815" s="4" t="str">
        <f t="shared" si="80"/>
        <v>I</v>
      </c>
      <c r="L815" s="7" t="str">
        <f t="shared" si="81"/>
        <v>G8</v>
      </c>
      <c r="M815" s="7" t="str">
        <f t="shared" si="82"/>
        <v>J1</v>
      </c>
      <c r="N815" s="62" t="str">
        <f t="shared" si="83"/>
        <v/>
      </c>
      <c r="O815" s="8">
        <f t="shared" si="84"/>
        <v>45916</v>
      </c>
      <c r="P815" s="9" t="str">
        <f t="shared" ca="1" si="85"/>
        <v>ATRASADO</v>
      </c>
      <c r="Q815" s="463" t="s">
        <v>1556</v>
      </c>
      <c r="R815" s="461"/>
      <c r="S815" s="9" t="str">
        <f t="shared" si="87"/>
        <v/>
      </c>
    </row>
    <row r="816" spans="1:19" x14ac:dyDescent="0.3">
      <c r="A816" s="10">
        <v>812</v>
      </c>
      <c r="B816" s="466" t="s">
        <v>45</v>
      </c>
      <c r="C816" s="462" t="s">
        <v>2561</v>
      </c>
      <c r="D816" s="463" t="s">
        <v>2562</v>
      </c>
      <c r="E816" s="464">
        <v>33695</v>
      </c>
      <c r="F816" s="9">
        <f t="shared" ca="1" si="78"/>
        <v>34</v>
      </c>
      <c r="G816" s="465">
        <v>43796</v>
      </c>
      <c r="H816" s="463" t="s">
        <v>271</v>
      </c>
      <c r="I816" s="465">
        <v>44809</v>
      </c>
      <c r="J816" s="578" t="s">
        <v>275</v>
      </c>
      <c r="K816" s="4" t="str">
        <f t="shared" si="80"/>
        <v>I</v>
      </c>
      <c r="L816" s="7" t="str">
        <f t="shared" si="81"/>
        <v>G8</v>
      </c>
      <c r="M816" s="7" t="str">
        <f t="shared" si="82"/>
        <v/>
      </c>
      <c r="N816" s="62" t="str">
        <f t="shared" si="83"/>
        <v/>
      </c>
      <c r="O816" s="8">
        <f t="shared" si="84"/>
        <v>45905</v>
      </c>
      <c r="P816" s="9" t="str">
        <f t="shared" ca="1" si="85"/>
        <v>ATRASADO</v>
      </c>
      <c r="Q816" s="463" t="s">
        <v>1556</v>
      </c>
      <c r="R816" s="461"/>
      <c r="S816" s="9" t="str">
        <f t="shared" si="87"/>
        <v/>
      </c>
    </row>
    <row r="817" spans="1:19" x14ac:dyDescent="0.3">
      <c r="A817" s="10">
        <v>813</v>
      </c>
      <c r="B817" s="466" t="s">
        <v>270</v>
      </c>
      <c r="C817" s="462" t="s">
        <v>2563</v>
      </c>
      <c r="D817" s="463" t="s">
        <v>2564</v>
      </c>
      <c r="E817" s="464">
        <v>29765</v>
      </c>
      <c r="F817" s="9">
        <f t="shared" ca="1" si="78"/>
        <v>45</v>
      </c>
      <c r="G817" s="465">
        <v>43412</v>
      </c>
      <c r="H817" s="463" t="s">
        <v>275</v>
      </c>
      <c r="I817" s="465">
        <v>44814</v>
      </c>
      <c r="J817" s="578" t="s">
        <v>275</v>
      </c>
      <c r="K817" s="4" t="str">
        <f t="shared" si="80"/>
        <v>I</v>
      </c>
      <c r="L817" s="7" t="str">
        <f t="shared" si="81"/>
        <v>G8</v>
      </c>
      <c r="M817" s="7" t="str">
        <f t="shared" si="82"/>
        <v/>
      </c>
      <c r="N817" s="62" t="str">
        <f t="shared" si="83"/>
        <v/>
      </c>
      <c r="O817" s="8">
        <f t="shared" si="84"/>
        <v>45910</v>
      </c>
      <c r="P817" s="9" t="str">
        <f t="shared" ca="1" si="85"/>
        <v>ATRASADO</v>
      </c>
      <c r="Q817" s="463" t="s">
        <v>1556</v>
      </c>
      <c r="R817" s="461"/>
      <c r="S817" s="9" t="str">
        <f t="shared" si="87"/>
        <v/>
      </c>
    </row>
    <row r="818" spans="1:19" x14ac:dyDescent="0.3">
      <c r="A818" s="10">
        <v>814</v>
      </c>
      <c r="B818" s="472" t="s">
        <v>45</v>
      </c>
      <c r="C818" s="468" t="s">
        <v>2565</v>
      </c>
      <c r="D818" s="469" t="s">
        <v>2566</v>
      </c>
      <c r="E818" s="470">
        <v>21928</v>
      </c>
      <c r="F818" s="9">
        <f t="shared" ca="1" si="78"/>
        <v>66</v>
      </c>
      <c r="G818" s="469" t="s">
        <v>8</v>
      </c>
      <c r="H818" s="469" t="s">
        <v>275</v>
      </c>
      <c r="I818" s="471">
        <v>44823</v>
      </c>
      <c r="J818" s="578" t="s">
        <v>300</v>
      </c>
      <c r="K818" s="4" t="str">
        <f t="shared" si="80"/>
        <v>G4</v>
      </c>
      <c r="L818" s="7" t="str">
        <f t="shared" si="81"/>
        <v>O5</v>
      </c>
      <c r="M818" s="7" t="str">
        <f t="shared" si="82"/>
        <v/>
      </c>
      <c r="N818" s="62" t="str">
        <f t="shared" si="83"/>
        <v/>
      </c>
      <c r="O818" s="8">
        <f t="shared" si="84"/>
        <v>44914</v>
      </c>
      <c r="P818" s="9" t="str">
        <f t="shared" ca="1" si="85"/>
        <v>ATRASADO</v>
      </c>
      <c r="Q818" s="469" t="s">
        <v>1556</v>
      </c>
      <c r="R818" s="467"/>
      <c r="S818" s="9" t="str">
        <f t="shared" si="87"/>
        <v/>
      </c>
    </row>
    <row r="819" spans="1:19" x14ac:dyDescent="0.3">
      <c r="A819" s="10">
        <v>815</v>
      </c>
      <c r="B819" s="478" t="s">
        <v>45</v>
      </c>
      <c r="C819" s="474" t="s">
        <v>2567</v>
      </c>
      <c r="D819" s="475" t="s">
        <v>2568</v>
      </c>
      <c r="E819" s="476">
        <v>23317</v>
      </c>
      <c r="F819" s="9">
        <f t="shared" ca="1" si="78"/>
        <v>62</v>
      </c>
      <c r="G819" s="477">
        <v>44040</v>
      </c>
      <c r="H819" s="475" t="s">
        <v>275</v>
      </c>
      <c r="I819" s="477">
        <v>44808</v>
      </c>
      <c r="J819" s="578" t="s">
        <v>8</v>
      </c>
      <c r="K819" s="4" t="str">
        <f t="shared" si="80"/>
        <v>SI</v>
      </c>
      <c r="L819" s="7" t="str">
        <f t="shared" si="81"/>
        <v xml:space="preserve">N </v>
      </c>
      <c r="M819" s="7" t="str">
        <f t="shared" si="82"/>
        <v>RE</v>
      </c>
      <c r="N819" s="62" t="str">
        <f t="shared" si="83"/>
        <v>GI</v>
      </c>
      <c r="O819" s="8">
        <f t="shared" si="84"/>
        <v>45904</v>
      </c>
      <c r="P819" s="9" t="str">
        <f t="shared" ca="1" si="85"/>
        <v>ATRASADO</v>
      </c>
      <c r="Q819" s="475" t="s">
        <v>1556</v>
      </c>
      <c r="R819" s="473"/>
      <c r="S819" s="9" t="str">
        <f t="shared" si="87"/>
        <v/>
      </c>
    </row>
    <row r="820" spans="1:19" x14ac:dyDescent="0.3">
      <c r="A820" s="10">
        <v>816</v>
      </c>
      <c r="B820" s="484" t="s">
        <v>56</v>
      </c>
      <c r="C820" s="480" t="s">
        <v>2569</v>
      </c>
      <c r="D820" s="481" t="s">
        <v>2570</v>
      </c>
      <c r="E820" s="482">
        <v>23585</v>
      </c>
      <c r="F820" s="9">
        <f t="shared" ca="1" si="78"/>
        <v>62</v>
      </c>
      <c r="G820" s="481" t="s">
        <v>8</v>
      </c>
      <c r="H820" s="481" t="s">
        <v>594</v>
      </c>
      <c r="I820" s="483">
        <v>44864</v>
      </c>
      <c r="J820" s="753" t="s">
        <v>8</v>
      </c>
      <c r="K820" s="4" t="str">
        <f t="shared" si="80"/>
        <v>SI</v>
      </c>
      <c r="L820" s="7" t="str">
        <f t="shared" si="81"/>
        <v xml:space="preserve">N </v>
      </c>
      <c r="M820" s="7" t="str">
        <f t="shared" si="82"/>
        <v>RE</v>
      </c>
      <c r="N820" s="62" t="str">
        <f t="shared" si="83"/>
        <v>GI</v>
      </c>
      <c r="O820" s="8">
        <f t="shared" si="84"/>
        <v>45960</v>
      </c>
      <c r="P820" s="9" t="str">
        <f t="shared" ca="1" si="85"/>
        <v>ATRASADO</v>
      </c>
      <c r="Q820" s="481" t="s">
        <v>1556</v>
      </c>
      <c r="R820" s="479"/>
      <c r="S820" s="9" t="str">
        <f t="shared" si="87"/>
        <v/>
      </c>
    </row>
    <row r="821" spans="1:19" x14ac:dyDescent="0.3">
      <c r="A821" s="10">
        <v>817</v>
      </c>
      <c r="B821" s="484" t="s">
        <v>56</v>
      </c>
      <c r="C821" s="480" t="s">
        <v>2571</v>
      </c>
      <c r="D821" s="481" t="s">
        <v>2572</v>
      </c>
      <c r="E821" s="482">
        <v>25685</v>
      </c>
      <c r="F821" s="9">
        <f t="shared" ca="1" si="78"/>
        <v>56</v>
      </c>
      <c r="G821" s="483">
        <v>43778</v>
      </c>
      <c r="H821" s="481" t="s">
        <v>1274</v>
      </c>
      <c r="I821" s="483">
        <v>44862</v>
      </c>
      <c r="J821" s="753" t="s">
        <v>271</v>
      </c>
      <c r="K821" s="4" t="str">
        <f t="shared" si="80"/>
        <v>I</v>
      </c>
      <c r="L821" s="7" t="str">
        <f t="shared" si="81"/>
        <v>G8</v>
      </c>
      <c r="M821" s="7" t="str">
        <f t="shared" si="82"/>
        <v>J1</v>
      </c>
      <c r="N821" s="62" t="str">
        <f t="shared" si="83"/>
        <v/>
      </c>
      <c r="O821" s="8">
        <f t="shared" si="84"/>
        <v>45958</v>
      </c>
      <c r="P821" s="9" t="str">
        <f t="shared" ca="1" si="85"/>
        <v>ATRASADO</v>
      </c>
      <c r="Q821" s="481" t="s">
        <v>1556</v>
      </c>
      <c r="R821" s="479"/>
      <c r="S821" s="9" t="str">
        <f t="shared" si="87"/>
        <v/>
      </c>
    </row>
    <row r="822" spans="1:19" x14ac:dyDescent="0.3">
      <c r="A822" s="10">
        <v>818</v>
      </c>
      <c r="B822" s="484" t="s">
        <v>56</v>
      </c>
      <c r="C822" s="480" t="s">
        <v>2573</v>
      </c>
      <c r="D822" s="481" t="s">
        <v>2574</v>
      </c>
      <c r="E822" s="482">
        <v>21235</v>
      </c>
      <c r="F822" s="9">
        <f t="shared" ca="1" si="78"/>
        <v>68</v>
      </c>
      <c r="G822" s="481" t="s">
        <v>8</v>
      </c>
      <c r="H822" s="481" t="s">
        <v>271</v>
      </c>
      <c r="I822" s="483">
        <v>44846</v>
      </c>
      <c r="J822" s="753" t="s">
        <v>275</v>
      </c>
      <c r="K822" s="4" t="str">
        <f t="shared" si="80"/>
        <v>I</v>
      </c>
      <c r="L822" s="7" t="str">
        <f t="shared" si="81"/>
        <v>G8</v>
      </c>
      <c r="M822" s="7" t="str">
        <f t="shared" si="82"/>
        <v/>
      </c>
      <c r="N822" s="62" t="str">
        <f t="shared" si="83"/>
        <v/>
      </c>
      <c r="O822" s="8">
        <f t="shared" si="84"/>
        <v>45942</v>
      </c>
      <c r="P822" s="9" t="str">
        <f t="shared" ca="1" si="85"/>
        <v>ATRASADO</v>
      </c>
      <c r="Q822" s="481" t="s">
        <v>1556</v>
      </c>
      <c r="R822" s="479"/>
      <c r="S822" s="9" t="str">
        <f t="shared" si="87"/>
        <v/>
      </c>
    </row>
    <row r="823" spans="1:19" x14ac:dyDescent="0.3">
      <c r="A823" s="10">
        <v>819</v>
      </c>
      <c r="B823" s="491" t="s">
        <v>56</v>
      </c>
      <c r="C823" s="486" t="s">
        <v>2575</v>
      </c>
      <c r="D823" s="488" t="s">
        <v>2576</v>
      </c>
      <c r="E823" s="489">
        <v>34251</v>
      </c>
      <c r="F823" s="9">
        <f t="shared" ca="1" si="78"/>
        <v>32</v>
      </c>
      <c r="G823" s="490">
        <v>43406</v>
      </c>
      <c r="H823" s="488" t="s">
        <v>275</v>
      </c>
      <c r="I823" s="490">
        <v>44839</v>
      </c>
      <c r="J823" s="753" t="s">
        <v>8</v>
      </c>
      <c r="K823" s="4" t="str">
        <f t="shared" si="80"/>
        <v>SI</v>
      </c>
      <c r="L823" s="7" t="str">
        <f t="shared" si="81"/>
        <v xml:space="preserve">N </v>
      </c>
      <c r="M823" s="7" t="str">
        <f t="shared" si="82"/>
        <v>RE</v>
      </c>
      <c r="N823" s="62" t="str">
        <f t="shared" si="83"/>
        <v>GI</v>
      </c>
      <c r="O823" s="8">
        <f t="shared" si="84"/>
        <v>45935</v>
      </c>
      <c r="P823" s="9" t="str">
        <f t="shared" ca="1" si="85"/>
        <v>ATRASADO</v>
      </c>
      <c r="Q823" s="488" t="s">
        <v>1556</v>
      </c>
      <c r="R823" s="487"/>
      <c r="S823" s="9" t="str">
        <f t="shared" si="87"/>
        <v/>
      </c>
    </row>
    <row r="824" spans="1:19" x14ac:dyDescent="0.3">
      <c r="A824" s="10">
        <v>820</v>
      </c>
      <c r="B824" s="491" t="s">
        <v>56</v>
      </c>
      <c r="C824" s="486" t="s">
        <v>2577</v>
      </c>
      <c r="D824" s="488" t="s">
        <v>2578</v>
      </c>
      <c r="E824" s="489">
        <v>24455</v>
      </c>
      <c r="F824" s="9">
        <f t="shared" ca="1" si="78"/>
        <v>59</v>
      </c>
      <c r="G824" s="490">
        <v>43600</v>
      </c>
      <c r="H824" s="488" t="s">
        <v>271</v>
      </c>
      <c r="I824" s="490">
        <v>44862</v>
      </c>
      <c r="J824" s="753" t="s">
        <v>271</v>
      </c>
      <c r="K824" s="4" t="str">
        <f t="shared" si="80"/>
        <v>I</v>
      </c>
      <c r="L824" s="7" t="str">
        <f t="shared" si="81"/>
        <v>G8</v>
      </c>
      <c r="M824" s="7" t="str">
        <f t="shared" si="82"/>
        <v>J1</v>
      </c>
      <c r="N824" s="62" t="str">
        <f t="shared" si="83"/>
        <v/>
      </c>
      <c r="O824" s="8">
        <f t="shared" si="84"/>
        <v>45958</v>
      </c>
      <c r="P824" s="9" t="str">
        <f t="shared" ca="1" si="85"/>
        <v>ATRASADO</v>
      </c>
      <c r="Q824" s="488" t="s">
        <v>1556</v>
      </c>
      <c r="R824" s="487"/>
      <c r="S824" s="9" t="str">
        <f t="shared" si="87"/>
        <v/>
      </c>
    </row>
    <row r="825" spans="1:19" x14ac:dyDescent="0.3">
      <c r="A825" s="10">
        <v>821</v>
      </c>
      <c r="B825" s="491" t="s">
        <v>56</v>
      </c>
      <c r="C825" s="486" t="s">
        <v>2579</v>
      </c>
      <c r="D825" s="488" t="s">
        <v>2580</v>
      </c>
      <c r="E825" s="489">
        <v>28684</v>
      </c>
      <c r="F825" s="9">
        <f t="shared" ca="1" si="78"/>
        <v>48</v>
      </c>
      <c r="G825" s="490">
        <v>44242</v>
      </c>
      <c r="H825" s="488" t="s">
        <v>275</v>
      </c>
      <c r="I825" s="490">
        <v>44839</v>
      </c>
      <c r="J825" s="753" t="s">
        <v>271</v>
      </c>
      <c r="K825" s="4" t="str">
        <f t="shared" si="80"/>
        <v>I</v>
      </c>
      <c r="L825" s="7" t="str">
        <f t="shared" si="81"/>
        <v>G8</v>
      </c>
      <c r="M825" s="7" t="str">
        <f t="shared" si="82"/>
        <v>J1</v>
      </c>
      <c r="N825" s="62" t="str">
        <f t="shared" si="83"/>
        <v/>
      </c>
      <c r="O825" s="8">
        <f t="shared" si="84"/>
        <v>45935</v>
      </c>
      <c r="P825" s="9" t="str">
        <f t="shared" ca="1" si="85"/>
        <v>ATRASADO</v>
      </c>
      <c r="Q825" s="488" t="s">
        <v>1556</v>
      </c>
      <c r="R825" s="485"/>
      <c r="S825" s="9" t="str">
        <f t="shared" si="87"/>
        <v/>
      </c>
    </row>
    <row r="826" spans="1:19" x14ac:dyDescent="0.3">
      <c r="A826" s="10">
        <v>822</v>
      </c>
      <c r="B826" s="491" t="s">
        <v>56</v>
      </c>
      <c r="C826" s="486" t="s">
        <v>2581</v>
      </c>
      <c r="D826" s="488" t="s">
        <v>2582</v>
      </c>
      <c r="E826" s="489">
        <v>30532</v>
      </c>
      <c r="F826" s="9">
        <f t="shared" ca="1" si="78"/>
        <v>43</v>
      </c>
      <c r="G826" s="490">
        <v>44070</v>
      </c>
      <c r="H826" s="488" t="s">
        <v>271</v>
      </c>
      <c r="I826" s="490">
        <v>44843</v>
      </c>
      <c r="J826" s="753" t="s">
        <v>275</v>
      </c>
      <c r="K826" s="4" t="str">
        <f t="shared" si="80"/>
        <v>I</v>
      </c>
      <c r="L826" s="7" t="str">
        <f t="shared" si="81"/>
        <v>G8</v>
      </c>
      <c r="M826" s="7" t="str">
        <f t="shared" si="82"/>
        <v/>
      </c>
      <c r="N826" s="62" t="str">
        <f t="shared" si="83"/>
        <v/>
      </c>
      <c r="O826" s="8">
        <f t="shared" si="84"/>
        <v>45939</v>
      </c>
      <c r="P826" s="9" t="str">
        <f t="shared" ca="1" si="85"/>
        <v>ATRASADO</v>
      </c>
      <c r="Q826" s="488" t="s">
        <v>1556</v>
      </c>
      <c r="R826" s="487"/>
      <c r="S826" s="9" t="str">
        <f t="shared" si="87"/>
        <v/>
      </c>
    </row>
    <row r="827" spans="1:19" x14ac:dyDescent="0.3">
      <c r="A827" s="10">
        <v>823</v>
      </c>
      <c r="B827" s="491" t="s">
        <v>56</v>
      </c>
      <c r="C827" s="486" t="s">
        <v>2583</v>
      </c>
      <c r="D827" s="488" t="s">
        <v>2584</v>
      </c>
      <c r="E827" s="489">
        <v>31949</v>
      </c>
      <c r="F827" s="9">
        <f t="shared" ca="1" si="78"/>
        <v>39</v>
      </c>
      <c r="G827" s="490">
        <v>44380</v>
      </c>
      <c r="H827" s="488" t="s">
        <v>8</v>
      </c>
      <c r="I827" s="490">
        <v>44849</v>
      </c>
      <c r="J827" s="753" t="s">
        <v>275</v>
      </c>
      <c r="K827" s="4" t="str">
        <f t="shared" si="80"/>
        <v>I</v>
      </c>
      <c r="L827" s="7" t="str">
        <f t="shared" si="81"/>
        <v>G8</v>
      </c>
      <c r="M827" s="7" t="str">
        <f t="shared" si="82"/>
        <v/>
      </c>
      <c r="N827" s="62" t="str">
        <f t="shared" si="83"/>
        <v/>
      </c>
      <c r="O827" s="8">
        <f t="shared" si="84"/>
        <v>45945</v>
      </c>
      <c r="P827" s="9" t="str">
        <f t="shared" ca="1" si="85"/>
        <v>ATRASADO</v>
      </c>
      <c r="Q827" s="488" t="s">
        <v>1556</v>
      </c>
      <c r="R827" s="485"/>
      <c r="S827" s="9" t="str">
        <f t="shared" si="87"/>
        <v/>
      </c>
    </row>
    <row r="828" spans="1:19" x14ac:dyDescent="0.3">
      <c r="A828" s="10">
        <v>824</v>
      </c>
      <c r="B828" s="491" t="s">
        <v>56</v>
      </c>
      <c r="C828" s="486" t="s">
        <v>2585</v>
      </c>
      <c r="D828" s="488" t="s">
        <v>2586</v>
      </c>
      <c r="E828" s="489">
        <v>22966</v>
      </c>
      <c r="F828" s="9">
        <f t="shared" ca="1" si="78"/>
        <v>63</v>
      </c>
      <c r="G828" s="490">
        <v>43400</v>
      </c>
      <c r="H828" s="488" t="s">
        <v>275</v>
      </c>
      <c r="I828" s="490">
        <v>44835</v>
      </c>
      <c r="J828" s="753" t="s">
        <v>271</v>
      </c>
      <c r="K828" s="4" t="str">
        <f t="shared" si="80"/>
        <v>I</v>
      </c>
      <c r="L828" s="7" t="str">
        <f t="shared" si="81"/>
        <v>G8</v>
      </c>
      <c r="M828" s="7" t="str">
        <f t="shared" si="82"/>
        <v>J1</v>
      </c>
      <c r="N828" s="62" t="str">
        <f t="shared" si="83"/>
        <v/>
      </c>
      <c r="O828" s="8">
        <f t="shared" si="84"/>
        <v>45931</v>
      </c>
      <c r="P828" s="9" t="str">
        <f t="shared" ca="1" si="85"/>
        <v>ATRASADO</v>
      </c>
      <c r="Q828" s="488" t="s">
        <v>1556</v>
      </c>
      <c r="R828" s="485"/>
      <c r="S828" s="9" t="str">
        <f t="shared" si="87"/>
        <v/>
      </c>
    </row>
    <row r="829" spans="1:19" x14ac:dyDescent="0.3">
      <c r="A829" s="10">
        <v>825</v>
      </c>
      <c r="B829" s="491" t="s">
        <v>56</v>
      </c>
      <c r="C829" s="486" t="s">
        <v>2587</v>
      </c>
      <c r="D829" s="488" t="s">
        <v>2588</v>
      </c>
      <c r="E829" s="489">
        <v>32254</v>
      </c>
      <c r="F829" s="9">
        <f t="shared" ca="1" si="78"/>
        <v>38</v>
      </c>
      <c r="G829" s="490">
        <v>43964</v>
      </c>
      <c r="H829" s="488" t="s">
        <v>271</v>
      </c>
      <c r="I829" s="490">
        <v>44863</v>
      </c>
      <c r="J829" s="753" t="s">
        <v>8</v>
      </c>
      <c r="K829" s="4" t="str">
        <f t="shared" si="80"/>
        <v>SI</v>
      </c>
      <c r="L829" s="7" t="str">
        <f t="shared" si="81"/>
        <v xml:space="preserve">N </v>
      </c>
      <c r="M829" s="7" t="str">
        <f t="shared" si="82"/>
        <v>RE</v>
      </c>
      <c r="N829" s="62" t="str">
        <f t="shared" si="83"/>
        <v>GI</v>
      </c>
      <c r="O829" s="8">
        <f t="shared" si="84"/>
        <v>45959</v>
      </c>
      <c r="P829" s="9" t="str">
        <f t="shared" ca="1" si="85"/>
        <v>ATRASADO</v>
      </c>
      <c r="Q829" s="488" t="s">
        <v>1556</v>
      </c>
      <c r="R829" s="485"/>
      <c r="S829" s="9" t="str">
        <f t="shared" si="87"/>
        <v/>
      </c>
    </row>
    <row r="830" spans="1:19" x14ac:dyDescent="0.3">
      <c r="A830" s="10">
        <v>826</v>
      </c>
      <c r="B830" s="491" t="s">
        <v>45</v>
      </c>
      <c r="C830" s="486" t="s">
        <v>2589</v>
      </c>
      <c r="D830" s="488" t="s">
        <v>2590</v>
      </c>
      <c r="E830" s="489">
        <v>26999</v>
      </c>
      <c r="F830" s="9">
        <f t="shared" ca="1" si="78"/>
        <v>52</v>
      </c>
      <c r="G830" s="490">
        <v>44001</v>
      </c>
      <c r="H830" s="488" t="s">
        <v>8</v>
      </c>
      <c r="I830" s="490">
        <v>44837</v>
      </c>
      <c r="J830" s="753" t="s">
        <v>8</v>
      </c>
      <c r="K830" s="4" t="str">
        <f t="shared" si="80"/>
        <v>SI</v>
      </c>
      <c r="L830" s="7" t="str">
        <f t="shared" si="81"/>
        <v xml:space="preserve">N </v>
      </c>
      <c r="M830" s="7" t="str">
        <f t="shared" si="82"/>
        <v>RE</v>
      </c>
      <c r="N830" s="62" t="str">
        <f t="shared" si="83"/>
        <v>GI</v>
      </c>
      <c r="O830" s="8">
        <f t="shared" si="84"/>
        <v>45933</v>
      </c>
      <c r="P830" s="9" t="str">
        <f t="shared" ca="1" si="85"/>
        <v>ATRASADO</v>
      </c>
      <c r="Q830" s="488" t="s">
        <v>1556</v>
      </c>
      <c r="R830" s="485"/>
      <c r="S830" s="9" t="str">
        <f t="shared" si="87"/>
        <v/>
      </c>
    </row>
    <row r="831" spans="1:19" x14ac:dyDescent="0.3">
      <c r="A831" s="10">
        <v>827</v>
      </c>
      <c r="B831" s="498" t="s">
        <v>579</v>
      </c>
      <c r="C831" s="493" t="s">
        <v>2591</v>
      </c>
      <c r="D831" s="495" t="s">
        <v>2592</v>
      </c>
      <c r="E831" s="496">
        <v>28401</v>
      </c>
      <c r="F831" s="9">
        <f t="shared" ca="1" si="78"/>
        <v>48</v>
      </c>
      <c r="G831" s="495" t="s">
        <v>8</v>
      </c>
      <c r="H831" s="495" t="s">
        <v>275</v>
      </c>
      <c r="I831" s="497">
        <v>44857</v>
      </c>
      <c r="J831" s="753" t="s">
        <v>275</v>
      </c>
      <c r="K831" s="4" t="str">
        <f t="shared" si="80"/>
        <v>I</v>
      </c>
      <c r="L831" s="7" t="str">
        <f t="shared" si="81"/>
        <v>G8</v>
      </c>
      <c r="M831" s="7" t="str">
        <f t="shared" si="82"/>
        <v/>
      </c>
      <c r="N831" s="62" t="str">
        <f t="shared" si="83"/>
        <v/>
      </c>
      <c r="O831" s="8">
        <f t="shared" si="84"/>
        <v>45953</v>
      </c>
      <c r="P831" s="9" t="str">
        <f t="shared" ca="1" si="85"/>
        <v>ATRASADO</v>
      </c>
      <c r="Q831" s="495" t="s">
        <v>1556</v>
      </c>
      <c r="R831" s="492"/>
      <c r="S831" s="9" t="str">
        <f t="shared" si="87"/>
        <v/>
      </c>
    </row>
    <row r="832" spans="1:19" x14ac:dyDescent="0.3">
      <c r="A832" s="10">
        <v>828</v>
      </c>
      <c r="B832" s="498" t="s">
        <v>579</v>
      </c>
      <c r="C832" s="493" t="s">
        <v>2593</v>
      </c>
      <c r="D832" s="495" t="s">
        <v>2594</v>
      </c>
      <c r="E832" s="496">
        <v>21875</v>
      </c>
      <c r="F832" s="9">
        <f t="shared" ca="1" si="78"/>
        <v>66</v>
      </c>
      <c r="G832" s="497">
        <v>43608</v>
      </c>
      <c r="H832" s="495" t="s">
        <v>327</v>
      </c>
      <c r="I832" s="497">
        <v>44864</v>
      </c>
      <c r="J832" s="753" t="s">
        <v>275</v>
      </c>
      <c r="K832" s="4" t="str">
        <f t="shared" si="80"/>
        <v>I</v>
      </c>
      <c r="L832" s="7" t="str">
        <f t="shared" si="81"/>
        <v>G8</v>
      </c>
      <c r="M832" s="7" t="str">
        <f t="shared" si="82"/>
        <v/>
      </c>
      <c r="N832" s="62" t="str">
        <f t="shared" si="83"/>
        <v/>
      </c>
      <c r="O832" s="8">
        <f t="shared" si="84"/>
        <v>45960</v>
      </c>
      <c r="P832" s="9" t="str">
        <f t="shared" ca="1" si="85"/>
        <v>ATRASADO</v>
      </c>
      <c r="Q832" s="495" t="s">
        <v>1556</v>
      </c>
      <c r="R832" s="492"/>
      <c r="S832" s="9" t="str">
        <f t="shared" si="87"/>
        <v/>
      </c>
    </row>
    <row r="833" spans="1:19" x14ac:dyDescent="0.3">
      <c r="A833" s="10">
        <v>829</v>
      </c>
      <c r="B833" s="498" t="s">
        <v>56</v>
      </c>
      <c r="C833" s="493" t="s">
        <v>2595</v>
      </c>
      <c r="D833" s="495" t="s">
        <v>2596</v>
      </c>
      <c r="E833" s="496">
        <v>34772</v>
      </c>
      <c r="F833" s="9">
        <f t="shared" ca="1" si="78"/>
        <v>31</v>
      </c>
      <c r="G833" s="497">
        <v>43513</v>
      </c>
      <c r="H833" s="495" t="s">
        <v>275</v>
      </c>
      <c r="I833" s="497">
        <v>44847</v>
      </c>
      <c r="J833" s="753" t="s">
        <v>275</v>
      </c>
      <c r="K833" s="4" t="str">
        <f t="shared" si="80"/>
        <v>I</v>
      </c>
      <c r="L833" s="7" t="str">
        <f t="shared" si="81"/>
        <v>G8</v>
      </c>
      <c r="M833" s="7" t="str">
        <f t="shared" si="82"/>
        <v/>
      </c>
      <c r="N833" s="62" t="str">
        <f t="shared" si="83"/>
        <v/>
      </c>
      <c r="O833" s="8">
        <f t="shared" si="84"/>
        <v>45943</v>
      </c>
      <c r="P833" s="9" t="str">
        <f t="shared" ca="1" si="85"/>
        <v>ATRASADO</v>
      </c>
      <c r="Q833" s="495" t="s">
        <v>1556</v>
      </c>
      <c r="R833" s="494"/>
      <c r="S833" s="9" t="str">
        <f t="shared" si="87"/>
        <v/>
      </c>
    </row>
    <row r="834" spans="1:19" x14ac:dyDescent="0.3">
      <c r="A834" s="10">
        <v>830</v>
      </c>
      <c r="B834" s="498" t="s">
        <v>312</v>
      </c>
      <c r="C834" s="493" t="s">
        <v>2597</v>
      </c>
      <c r="D834" s="495" t="s">
        <v>2598</v>
      </c>
      <c r="E834" s="496">
        <v>23737</v>
      </c>
      <c r="F834" s="9">
        <f t="shared" ca="1" si="78"/>
        <v>61</v>
      </c>
      <c r="G834" s="497">
        <v>43128</v>
      </c>
      <c r="H834" s="495" t="s">
        <v>275</v>
      </c>
      <c r="I834" s="497">
        <v>44844</v>
      </c>
      <c r="J834" s="753" t="s">
        <v>271</v>
      </c>
      <c r="K834" s="4" t="str">
        <f t="shared" si="80"/>
        <v>I</v>
      </c>
      <c r="L834" s="7" t="str">
        <f t="shared" si="81"/>
        <v>G8</v>
      </c>
      <c r="M834" s="7" t="str">
        <f t="shared" si="82"/>
        <v>J1</v>
      </c>
      <c r="N834" s="62" t="str">
        <f t="shared" si="83"/>
        <v/>
      </c>
      <c r="O834" s="8">
        <f t="shared" si="84"/>
        <v>45940</v>
      </c>
      <c r="P834" s="9" t="str">
        <f t="shared" ca="1" si="85"/>
        <v>ATRASADO</v>
      </c>
      <c r="Q834" s="495" t="s">
        <v>1556</v>
      </c>
      <c r="R834" s="494"/>
      <c r="S834" s="9" t="str">
        <f t="shared" si="87"/>
        <v/>
      </c>
    </row>
    <row r="835" spans="1:19" x14ac:dyDescent="0.3">
      <c r="A835" s="10">
        <v>831</v>
      </c>
      <c r="B835" s="498" t="s">
        <v>56</v>
      </c>
      <c r="C835" s="493" t="s">
        <v>2599</v>
      </c>
      <c r="D835" s="495" t="s">
        <v>2600</v>
      </c>
      <c r="E835" s="496">
        <v>24563</v>
      </c>
      <c r="F835" s="9">
        <f t="shared" ca="1" si="78"/>
        <v>59</v>
      </c>
      <c r="G835" s="497">
        <v>43215</v>
      </c>
      <c r="H835" s="495" t="s">
        <v>271</v>
      </c>
      <c r="I835" s="497">
        <v>44839</v>
      </c>
      <c r="J835" s="753" t="s">
        <v>8</v>
      </c>
      <c r="K835" s="4" t="str">
        <f t="shared" si="80"/>
        <v>SI</v>
      </c>
      <c r="L835" s="7" t="str">
        <f t="shared" si="81"/>
        <v xml:space="preserve">N </v>
      </c>
      <c r="M835" s="7" t="str">
        <f t="shared" si="82"/>
        <v>RE</v>
      </c>
      <c r="N835" s="62" t="str">
        <f t="shared" si="83"/>
        <v>GI</v>
      </c>
      <c r="O835" s="8">
        <f t="shared" si="84"/>
        <v>45935</v>
      </c>
      <c r="P835" s="9" t="str">
        <f t="shared" ca="1" si="85"/>
        <v>ATRASADO</v>
      </c>
      <c r="Q835" s="495" t="s">
        <v>1556</v>
      </c>
      <c r="R835" s="492"/>
      <c r="S835" s="9" t="str">
        <f t="shared" si="87"/>
        <v/>
      </c>
    </row>
    <row r="836" spans="1:19" x14ac:dyDescent="0.3">
      <c r="A836" s="10">
        <v>832</v>
      </c>
      <c r="B836" s="504" t="s">
        <v>312</v>
      </c>
      <c r="C836" s="500" t="s">
        <v>2601</v>
      </c>
      <c r="D836" s="501" t="s">
        <v>2602</v>
      </c>
      <c r="E836" s="502">
        <v>28206</v>
      </c>
      <c r="F836" s="9">
        <f t="shared" ca="1" si="78"/>
        <v>49</v>
      </c>
      <c r="G836" s="501" t="s">
        <v>8</v>
      </c>
      <c r="H836" s="501" t="s">
        <v>8</v>
      </c>
      <c r="I836" s="503">
        <v>44863</v>
      </c>
      <c r="J836" s="753" t="s">
        <v>271</v>
      </c>
      <c r="K836" s="4" t="str">
        <f t="shared" si="80"/>
        <v>I</v>
      </c>
      <c r="L836" s="7" t="str">
        <f t="shared" si="81"/>
        <v>G8</v>
      </c>
      <c r="M836" s="7" t="str">
        <f t="shared" si="82"/>
        <v>J1</v>
      </c>
      <c r="N836" s="62" t="str">
        <f t="shared" si="83"/>
        <v/>
      </c>
      <c r="O836" s="8">
        <f t="shared" si="84"/>
        <v>45959</v>
      </c>
      <c r="P836" s="9" t="str">
        <f t="shared" ca="1" si="85"/>
        <v>ATRASADO</v>
      </c>
      <c r="Q836" s="501" t="s">
        <v>1556</v>
      </c>
      <c r="R836" s="499"/>
      <c r="S836" s="9" t="str">
        <f t="shared" si="87"/>
        <v/>
      </c>
    </row>
    <row r="837" spans="1:19" x14ac:dyDescent="0.3">
      <c r="A837" s="10">
        <v>833</v>
      </c>
      <c r="B837" s="504" t="s">
        <v>56</v>
      </c>
      <c r="C837" s="500" t="s">
        <v>2603</v>
      </c>
      <c r="D837" s="501" t="s">
        <v>2604</v>
      </c>
      <c r="E837" s="502">
        <v>27407</v>
      </c>
      <c r="F837" s="9">
        <f t="shared" ca="1" si="78"/>
        <v>51</v>
      </c>
      <c r="G837" s="503">
        <v>43814</v>
      </c>
      <c r="H837" s="501" t="s">
        <v>275</v>
      </c>
      <c r="I837" s="503">
        <v>44857</v>
      </c>
      <c r="J837" s="753" t="s">
        <v>320</v>
      </c>
      <c r="K837" s="4" t="str">
        <f t="shared" si="80"/>
        <v>I</v>
      </c>
      <c r="L837" s="7" t="str">
        <f t="shared" si="81"/>
        <v>G8</v>
      </c>
      <c r="M837" s="7" t="str">
        <f t="shared" si="82"/>
        <v>J1</v>
      </c>
      <c r="N837" s="62" t="str">
        <f t="shared" si="83"/>
        <v>S</v>
      </c>
      <c r="O837" s="8">
        <f t="shared" si="84"/>
        <v>45222</v>
      </c>
      <c r="P837" s="9" t="str">
        <f t="shared" ca="1" si="85"/>
        <v>ATRASADO</v>
      </c>
      <c r="Q837" s="501" t="s">
        <v>1556</v>
      </c>
      <c r="R837" s="499"/>
      <c r="S837" s="9" t="str">
        <f t="shared" si="87"/>
        <v/>
      </c>
    </row>
    <row r="838" spans="1:19" x14ac:dyDescent="0.3">
      <c r="A838" s="10">
        <v>834</v>
      </c>
      <c r="B838" s="511" t="s">
        <v>56</v>
      </c>
      <c r="C838" s="506" t="s">
        <v>2605</v>
      </c>
      <c r="D838" s="508" t="s">
        <v>2606</v>
      </c>
      <c r="E838" s="509">
        <v>31750</v>
      </c>
      <c r="F838" s="9">
        <f t="shared" ca="1" si="78"/>
        <v>39</v>
      </c>
      <c r="G838" s="508" t="s">
        <v>8</v>
      </c>
      <c r="H838" s="508" t="s">
        <v>8</v>
      </c>
      <c r="I838" s="510">
        <v>44845</v>
      </c>
      <c r="J838" s="753" t="s">
        <v>8</v>
      </c>
      <c r="K838" s="4" t="str">
        <f t="shared" si="80"/>
        <v>SI</v>
      </c>
      <c r="L838" s="7" t="str">
        <f t="shared" si="81"/>
        <v xml:space="preserve">N </v>
      </c>
      <c r="M838" s="7" t="str">
        <f t="shared" si="82"/>
        <v>RE</v>
      </c>
      <c r="N838" s="62" t="str">
        <f t="shared" si="83"/>
        <v>GI</v>
      </c>
      <c r="O838" s="8">
        <f t="shared" si="84"/>
        <v>45941</v>
      </c>
      <c r="P838" s="9" t="str">
        <f t="shared" ca="1" si="85"/>
        <v>ATRASADO</v>
      </c>
      <c r="Q838" s="508" t="s">
        <v>1556</v>
      </c>
      <c r="R838" s="505"/>
      <c r="S838" s="9" t="str">
        <f t="shared" si="87"/>
        <v/>
      </c>
    </row>
    <row r="839" spans="1:19" x14ac:dyDescent="0.3">
      <c r="A839" s="10">
        <v>835</v>
      </c>
      <c r="B839" s="511" t="s">
        <v>312</v>
      </c>
      <c r="C839" s="506" t="s">
        <v>2607</v>
      </c>
      <c r="D839" s="508" t="s">
        <v>2608</v>
      </c>
      <c r="E839" s="509">
        <v>24778</v>
      </c>
      <c r="F839" s="9">
        <f t="shared" ca="1" si="78"/>
        <v>58</v>
      </c>
      <c r="G839" s="508" t="s">
        <v>8</v>
      </c>
      <c r="H839" s="508" t="s">
        <v>300</v>
      </c>
      <c r="I839" s="510">
        <v>44856</v>
      </c>
      <c r="J839" s="753" t="s">
        <v>275</v>
      </c>
      <c r="K839" s="4" t="str">
        <f t="shared" si="80"/>
        <v>I</v>
      </c>
      <c r="L839" s="7" t="str">
        <f t="shared" si="81"/>
        <v>G8</v>
      </c>
      <c r="M839" s="7" t="str">
        <f t="shared" si="82"/>
        <v/>
      </c>
      <c r="N839" s="62" t="str">
        <f t="shared" si="83"/>
        <v/>
      </c>
      <c r="O839" s="8">
        <f t="shared" si="84"/>
        <v>45952</v>
      </c>
      <c r="P839" s="9" t="str">
        <f t="shared" ca="1" si="85"/>
        <v>ATRASADO</v>
      </c>
      <c r="Q839" s="508" t="s">
        <v>1556</v>
      </c>
      <c r="R839" s="507" t="s">
        <v>2315</v>
      </c>
      <c r="S839" s="9" t="str">
        <f t="shared" si="87"/>
        <v/>
      </c>
    </row>
    <row r="840" spans="1:19" x14ac:dyDescent="0.3">
      <c r="A840" s="10">
        <v>836</v>
      </c>
      <c r="B840" s="517" t="s">
        <v>270</v>
      </c>
      <c r="C840" s="513" t="s">
        <v>2609</v>
      </c>
      <c r="D840" s="514" t="s">
        <v>2610</v>
      </c>
      <c r="E840" s="515">
        <v>21404</v>
      </c>
      <c r="F840" s="9">
        <f t="shared" ca="1" si="78"/>
        <v>68</v>
      </c>
      <c r="G840" s="516">
        <v>44351</v>
      </c>
      <c r="H840" s="514" t="s">
        <v>271</v>
      </c>
      <c r="I840" s="516">
        <v>44850</v>
      </c>
      <c r="J840" s="753" t="s">
        <v>275</v>
      </c>
      <c r="K840" s="4" t="str">
        <f t="shared" si="80"/>
        <v>I</v>
      </c>
      <c r="L840" s="7" t="str">
        <f t="shared" si="81"/>
        <v>G8</v>
      </c>
      <c r="M840" s="7" t="str">
        <f t="shared" si="82"/>
        <v/>
      </c>
      <c r="N840" s="62" t="str">
        <f t="shared" si="83"/>
        <v/>
      </c>
      <c r="O840" s="8">
        <f t="shared" si="84"/>
        <v>45946</v>
      </c>
      <c r="P840" s="9" t="str">
        <f t="shared" ca="1" si="85"/>
        <v>ATRASADO</v>
      </c>
      <c r="Q840" s="514" t="s">
        <v>1556</v>
      </c>
      <c r="R840" s="512"/>
      <c r="S840" s="9" t="str">
        <f t="shared" si="87"/>
        <v/>
      </c>
    </row>
    <row r="841" spans="1:19" x14ac:dyDescent="0.3">
      <c r="A841" s="10">
        <v>837</v>
      </c>
      <c r="B841" s="524" t="s">
        <v>56</v>
      </c>
      <c r="C841" s="519" t="s">
        <v>2611</v>
      </c>
      <c r="D841" s="521" t="s">
        <v>2612</v>
      </c>
      <c r="E841" s="522">
        <v>27336</v>
      </c>
      <c r="F841" s="9">
        <f t="shared" ca="1" si="78"/>
        <v>51</v>
      </c>
      <c r="G841" s="523">
        <v>43356</v>
      </c>
      <c r="H841" s="521" t="s">
        <v>275</v>
      </c>
      <c r="I841" s="523">
        <v>44838</v>
      </c>
      <c r="J841" s="753" t="s">
        <v>271</v>
      </c>
      <c r="K841" s="4" t="str">
        <f t="shared" si="80"/>
        <v>I</v>
      </c>
      <c r="L841" s="7" t="str">
        <f t="shared" si="81"/>
        <v>G8</v>
      </c>
      <c r="M841" s="7" t="str">
        <f t="shared" si="82"/>
        <v>J1</v>
      </c>
      <c r="N841" s="62" t="str">
        <f t="shared" si="83"/>
        <v/>
      </c>
      <c r="O841" s="8">
        <f t="shared" si="84"/>
        <v>45934</v>
      </c>
      <c r="P841" s="9" t="str">
        <f t="shared" ca="1" si="85"/>
        <v>ATRASADO</v>
      </c>
      <c r="Q841" s="521" t="s">
        <v>1556</v>
      </c>
      <c r="R841" s="520" t="s">
        <v>2315</v>
      </c>
      <c r="S841" s="9" t="str">
        <f t="shared" si="87"/>
        <v/>
      </c>
    </row>
    <row r="842" spans="1:19" x14ac:dyDescent="0.3">
      <c r="A842" s="10">
        <v>838</v>
      </c>
      <c r="B842" s="524" t="s">
        <v>56</v>
      </c>
      <c r="C842" s="519" t="s">
        <v>2613</v>
      </c>
      <c r="D842" s="521" t="s">
        <v>2614</v>
      </c>
      <c r="E842" s="522">
        <v>32468</v>
      </c>
      <c r="F842" s="9">
        <f t="shared" ca="1" si="78"/>
        <v>37</v>
      </c>
      <c r="G842" s="523">
        <v>43791</v>
      </c>
      <c r="H842" s="521" t="s">
        <v>275</v>
      </c>
      <c r="I842" s="523">
        <v>44854</v>
      </c>
      <c r="J842" s="753" t="s">
        <v>8</v>
      </c>
      <c r="K842" s="4" t="str">
        <f t="shared" si="80"/>
        <v>SI</v>
      </c>
      <c r="L842" s="7" t="str">
        <f t="shared" si="81"/>
        <v xml:space="preserve">N </v>
      </c>
      <c r="M842" s="7" t="str">
        <f t="shared" si="82"/>
        <v>RE</v>
      </c>
      <c r="N842" s="62" t="str">
        <f t="shared" si="83"/>
        <v>GI</v>
      </c>
      <c r="O842" s="8">
        <f t="shared" si="84"/>
        <v>45950</v>
      </c>
      <c r="P842" s="9" t="str">
        <f t="shared" ca="1" si="85"/>
        <v>ATRASADO</v>
      </c>
      <c r="Q842" s="521" t="s">
        <v>1556</v>
      </c>
      <c r="R842" s="518"/>
      <c r="S842" s="9" t="str">
        <f t="shared" si="87"/>
        <v/>
      </c>
    </row>
    <row r="843" spans="1:19" x14ac:dyDescent="0.3">
      <c r="A843" s="10">
        <v>839</v>
      </c>
      <c r="B843" s="524" t="s">
        <v>56</v>
      </c>
      <c r="C843" s="519" t="s">
        <v>2615</v>
      </c>
      <c r="D843" s="521" t="s">
        <v>2616</v>
      </c>
      <c r="E843" s="522">
        <v>22867</v>
      </c>
      <c r="F843" s="9">
        <f t="shared" ca="1" si="78"/>
        <v>64</v>
      </c>
      <c r="G843" s="523">
        <v>43566</v>
      </c>
      <c r="H843" s="521" t="s">
        <v>275</v>
      </c>
      <c r="I843" s="523">
        <v>44856</v>
      </c>
      <c r="J843" s="753" t="s">
        <v>340</v>
      </c>
      <c r="K843" s="4" t="str">
        <f t="shared" si="80"/>
        <v>I</v>
      </c>
      <c r="L843" s="7" t="str">
        <f t="shared" si="81"/>
        <v>G8</v>
      </c>
      <c r="M843" s="7" t="str">
        <f t="shared" si="82"/>
        <v>S</v>
      </c>
      <c r="N843" s="62" t="str">
        <f t="shared" si="83"/>
        <v/>
      </c>
      <c r="O843" s="8">
        <f t="shared" si="84"/>
        <v>45221</v>
      </c>
      <c r="P843" s="9" t="str">
        <f t="shared" ca="1" si="85"/>
        <v>ATRASADO</v>
      </c>
      <c r="Q843" s="521" t="s">
        <v>1556</v>
      </c>
      <c r="R843" s="518"/>
      <c r="S843" s="9" t="str">
        <f t="shared" si="87"/>
        <v/>
      </c>
    </row>
    <row r="844" spans="1:19" x14ac:dyDescent="0.3">
      <c r="A844" s="10">
        <v>840</v>
      </c>
      <c r="B844" s="524" t="s">
        <v>56</v>
      </c>
      <c r="C844" s="519" t="s">
        <v>2617</v>
      </c>
      <c r="D844" s="521" t="s">
        <v>2618</v>
      </c>
      <c r="E844" s="522">
        <v>23512</v>
      </c>
      <c r="F844" s="9">
        <f t="shared" ca="1" si="78"/>
        <v>62</v>
      </c>
      <c r="G844" s="521" t="s">
        <v>8</v>
      </c>
      <c r="H844" s="521" t="s">
        <v>271</v>
      </c>
      <c r="I844" s="523">
        <v>44851</v>
      </c>
      <c r="J844" s="753" t="s">
        <v>8</v>
      </c>
      <c r="K844" s="4" t="str">
        <f t="shared" si="80"/>
        <v>SI</v>
      </c>
      <c r="L844" s="7" t="str">
        <f t="shared" si="81"/>
        <v xml:space="preserve">N </v>
      </c>
      <c r="M844" s="7" t="str">
        <f t="shared" si="82"/>
        <v>RE</v>
      </c>
      <c r="N844" s="62" t="str">
        <f t="shared" si="83"/>
        <v>GI</v>
      </c>
      <c r="O844" s="8">
        <f t="shared" si="84"/>
        <v>45947</v>
      </c>
      <c r="P844" s="9" t="str">
        <f t="shared" ca="1" si="85"/>
        <v>ATRASADO</v>
      </c>
      <c r="Q844" s="521" t="s">
        <v>1556</v>
      </c>
      <c r="R844" s="518"/>
      <c r="S844" s="9" t="str">
        <f t="shared" si="87"/>
        <v/>
      </c>
    </row>
    <row r="845" spans="1:19" x14ac:dyDescent="0.3">
      <c r="A845" s="10">
        <v>841</v>
      </c>
      <c r="B845" s="524" t="s">
        <v>56</v>
      </c>
      <c r="C845" s="519" t="s">
        <v>2619</v>
      </c>
      <c r="D845" s="521" t="s">
        <v>2620</v>
      </c>
      <c r="E845" s="522">
        <v>31232</v>
      </c>
      <c r="F845" s="9">
        <f t="shared" ca="1" si="78"/>
        <v>41</v>
      </c>
      <c r="G845" s="523">
        <v>43197</v>
      </c>
      <c r="H845" s="521" t="s">
        <v>275</v>
      </c>
      <c r="I845" s="523">
        <v>44859</v>
      </c>
      <c r="J845" s="753" t="s">
        <v>271</v>
      </c>
      <c r="K845" s="4" t="str">
        <f t="shared" si="80"/>
        <v>I</v>
      </c>
      <c r="L845" s="7" t="str">
        <f t="shared" si="81"/>
        <v>G8</v>
      </c>
      <c r="M845" s="7" t="str">
        <f t="shared" si="82"/>
        <v>J1</v>
      </c>
      <c r="N845" s="62" t="str">
        <f t="shared" si="83"/>
        <v/>
      </c>
      <c r="O845" s="8">
        <f t="shared" si="84"/>
        <v>45955</v>
      </c>
      <c r="P845" s="9" t="str">
        <f t="shared" ca="1" si="85"/>
        <v>ATRASADO</v>
      </c>
      <c r="Q845" s="521" t="s">
        <v>1556</v>
      </c>
      <c r="R845" s="518"/>
      <c r="S845" s="9" t="str">
        <f t="shared" si="87"/>
        <v/>
      </c>
    </row>
    <row r="846" spans="1:19" x14ac:dyDescent="0.3">
      <c r="A846" s="10">
        <v>842</v>
      </c>
      <c r="B846" s="524" t="s">
        <v>56</v>
      </c>
      <c r="C846" s="519" t="s">
        <v>2621</v>
      </c>
      <c r="D846" s="521" t="s">
        <v>2622</v>
      </c>
      <c r="E846" s="522">
        <v>30002</v>
      </c>
      <c r="F846" s="9">
        <f t="shared" ca="1" si="78"/>
        <v>44</v>
      </c>
      <c r="G846" s="523">
        <v>43303</v>
      </c>
      <c r="H846" s="521" t="s">
        <v>271</v>
      </c>
      <c r="I846" s="523">
        <v>44835</v>
      </c>
      <c r="J846" s="753" t="s">
        <v>275</v>
      </c>
      <c r="K846" s="4" t="str">
        <f t="shared" si="80"/>
        <v>I</v>
      </c>
      <c r="L846" s="7" t="str">
        <f t="shared" si="81"/>
        <v>G8</v>
      </c>
      <c r="M846" s="7" t="str">
        <f t="shared" si="82"/>
        <v/>
      </c>
      <c r="N846" s="62" t="str">
        <f t="shared" si="83"/>
        <v/>
      </c>
      <c r="O846" s="8">
        <f t="shared" si="84"/>
        <v>45931</v>
      </c>
      <c r="P846" s="9" t="str">
        <f t="shared" ca="1" si="85"/>
        <v>ATRASADO</v>
      </c>
      <c r="Q846" s="521" t="s">
        <v>1556</v>
      </c>
      <c r="R846" s="518"/>
      <c r="S846" s="9" t="str">
        <f t="shared" si="87"/>
        <v/>
      </c>
    </row>
    <row r="847" spans="1:19" x14ac:dyDescent="0.3">
      <c r="A847" s="10">
        <v>843</v>
      </c>
      <c r="B847" s="524" t="s">
        <v>56</v>
      </c>
      <c r="C847" s="519" t="s">
        <v>2623</v>
      </c>
      <c r="D847" s="521" t="s">
        <v>2624</v>
      </c>
      <c r="E847" s="522">
        <v>24332</v>
      </c>
      <c r="F847" s="9">
        <f t="shared" ca="1" si="78"/>
        <v>60</v>
      </c>
      <c r="G847" s="523">
        <v>44148</v>
      </c>
      <c r="H847" s="521" t="s">
        <v>8</v>
      </c>
      <c r="I847" s="523">
        <v>44845</v>
      </c>
      <c r="J847" s="753" t="s">
        <v>271</v>
      </c>
      <c r="K847" s="4" t="str">
        <f t="shared" si="80"/>
        <v>I</v>
      </c>
      <c r="L847" s="7" t="str">
        <f t="shared" si="81"/>
        <v>G8</v>
      </c>
      <c r="M847" s="7" t="str">
        <f t="shared" si="82"/>
        <v>J1</v>
      </c>
      <c r="N847" s="62" t="str">
        <f t="shared" si="83"/>
        <v/>
      </c>
      <c r="O847" s="8">
        <f t="shared" si="84"/>
        <v>45941</v>
      </c>
      <c r="P847" s="9" t="str">
        <f t="shared" ca="1" si="85"/>
        <v>ATRASADO</v>
      </c>
      <c r="Q847" s="521" t="s">
        <v>1556</v>
      </c>
      <c r="R847" s="518"/>
      <c r="S847" s="9" t="str">
        <f t="shared" si="87"/>
        <v/>
      </c>
    </row>
    <row r="848" spans="1:19" x14ac:dyDescent="0.3">
      <c r="A848" s="10">
        <v>844</v>
      </c>
      <c r="B848" s="524" t="s">
        <v>56</v>
      </c>
      <c r="C848" s="519" t="s">
        <v>2625</v>
      </c>
      <c r="D848" s="521" t="s">
        <v>2626</v>
      </c>
      <c r="E848" s="522">
        <v>27374</v>
      </c>
      <c r="F848" s="9">
        <f t="shared" ca="1" si="78"/>
        <v>51</v>
      </c>
      <c r="G848" s="523">
        <v>43772</v>
      </c>
      <c r="H848" s="521" t="s">
        <v>271</v>
      </c>
      <c r="I848" s="523">
        <v>44841</v>
      </c>
      <c r="J848" s="753" t="s">
        <v>275</v>
      </c>
      <c r="K848" s="4" t="str">
        <f t="shared" si="80"/>
        <v>I</v>
      </c>
      <c r="L848" s="7" t="str">
        <f t="shared" si="81"/>
        <v>G8</v>
      </c>
      <c r="M848" s="7" t="str">
        <f t="shared" si="82"/>
        <v/>
      </c>
      <c r="N848" s="62" t="str">
        <f t="shared" si="83"/>
        <v/>
      </c>
      <c r="O848" s="8">
        <f t="shared" si="84"/>
        <v>45937</v>
      </c>
      <c r="P848" s="9" t="str">
        <f t="shared" ca="1" si="85"/>
        <v>ATRASADO</v>
      </c>
      <c r="Q848" s="521" t="s">
        <v>1556</v>
      </c>
      <c r="R848" s="518"/>
      <c r="S848" s="9" t="str">
        <f t="shared" si="87"/>
        <v/>
      </c>
    </row>
    <row r="849" spans="1:19" x14ac:dyDescent="0.3">
      <c r="A849" s="10">
        <v>845</v>
      </c>
      <c r="B849" s="524" t="s">
        <v>56</v>
      </c>
      <c r="C849" s="519" t="s">
        <v>2627</v>
      </c>
      <c r="D849" s="521" t="s">
        <v>2628</v>
      </c>
      <c r="E849" s="522">
        <v>21471</v>
      </c>
      <c r="F849" s="9">
        <f t="shared" ca="1" si="78"/>
        <v>67</v>
      </c>
      <c r="G849" s="523">
        <v>43204</v>
      </c>
      <c r="H849" s="521" t="s">
        <v>275</v>
      </c>
      <c r="I849" s="523">
        <v>44856</v>
      </c>
      <c r="J849" s="753" t="s">
        <v>340</v>
      </c>
      <c r="K849" s="4" t="str">
        <f t="shared" si="80"/>
        <v>I</v>
      </c>
      <c r="L849" s="7" t="str">
        <f t="shared" si="81"/>
        <v>G8</v>
      </c>
      <c r="M849" s="7" t="str">
        <f t="shared" si="82"/>
        <v>S</v>
      </c>
      <c r="N849" s="62" t="str">
        <f t="shared" si="83"/>
        <v/>
      </c>
      <c r="O849" s="8">
        <f t="shared" si="84"/>
        <v>45221</v>
      </c>
      <c r="P849" s="9" t="str">
        <f t="shared" ca="1" si="85"/>
        <v>ATRASADO</v>
      </c>
      <c r="Q849" s="521" t="s">
        <v>1556</v>
      </c>
      <c r="R849" s="518"/>
      <c r="S849" s="9" t="str">
        <f t="shared" si="87"/>
        <v/>
      </c>
    </row>
    <row r="850" spans="1:19" x14ac:dyDescent="0.3">
      <c r="A850" s="10">
        <v>846</v>
      </c>
      <c r="B850" s="524" t="s">
        <v>56</v>
      </c>
      <c r="C850" s="519" t="s">
        <v>2629</v>
      </c>
      <c r="D850" s="521" t="s">
        <v>2630</v>
      </c>
      <c r="E850" s="522">
        <v>29517</v>
      </c>
      <c r="F850" s="9">
        <f t="shared" ca="1" si="78"/>
        <v>45</v>
      </c>
      <c r="G850" s="523">
        <v>44367</v>
      </c>
      <c r="H850" s="521" t="s">
        <v>271</v>
      </c>
      <c r="I850" s="523">
        <v>44836</v>
      </c>
      <c r="J850" s="753" t="s">
        <v>275</v>
      </c>
      <c r="K850" s="4" t="str">
        <f t="shared" si="80"/>
        <v>I</v>
      </c>
      <c r="L850" s="7" t="str">
        <f t="shared" si="81"/>
        <v>G8</v>
      </c>
      <c r="M850" s="7" t="str">
        <f t="shared" si="82"/>
        <v/>
      </c>
      <c r="N850" s="62" t="str">
        <f t="shared" si="83"/>
        <v/>
      </c>
      <c r="O850" s="8">
        <f t="shared" si="84"/>
        <v>45932</v>
      </c>
      <c r="P850" s="9" t="str">
        <f t="shared" ca="1" si="85"/>
        <v>ATRASADO</v>
      </c>
      <c r="Q850" s="521" t="s">
        <v>1556</v>
      </c>
      <c r="R850" s="518"/>
      <c r="S850" s="9" t="str">
        <f t="shared" si="87"/>
        <v/>
      </c>
    </row>
    <row r="851" spans="1:19" x14ac:dyDescent="0.3">
      <c r="A851" s="10">
        <v>847</v>
      </c>
      <c r="B851" s="531" t="s">
        <v>56</v>
      </c>
      <c r="C851" s="526" t="s">
        <v>2631</v>
      </c>
      <c r="D851" s="528" t="s">
        <v>2632</v>
      </c>
      <c r="E851" s="529">
        <v>22820</v>
      </c>
      <c r="F851" s="9">
        <f t="shared" ca="1" si="78"/>
        <v>64</v>
      </c>
      <c r="G851" s="530">
        <v>43803</v>
      </c>
      <c r="H851" s="528" t="s">
        <v>271</v>
      </c>
      <c r="I851" s="530">
        <v>44838</v>
      </c>
      <c r="J851" s="753" t="s">
        <v>275</v>
      </c>
      <c r="K851" s="4" t="str">
        <f t="shared" si="80"/>
        <v>I</v>
      </c>
      <c r="L851" s="7" t="str">
        <f t="shared" si="81"/>
        <v>G8</v>
      </c>
      <c r="M851" s="7" t="str">
        <f t="shared" si="82"/>
        <v/>
      </c>
      <c r="N851" s="62" t="str">
        <f t="shared" si="83"/>
        <v/>
      </c>
      <c r="O851" s="8">
        <f t="shared" si="84"/>
        <v>45934</v>
      </c>
      <c r="P851" s="9" t="str">
        <f t="shared" ca="1" si="85"/>
        <v>ATRASADO</v>
      </c>
      <c r="Q851" s="528" t="s">
        <v>1556</v>
      </c>
      <c r="R851" s="525"/>
      <c r="S851" s="9" t="str">
        <f t="shared" si="87"/>
        <v/>
      </c>
    </row>
    <row r="852" spans="1:19" x14ac:dyDescent="0.3">
      <c r="A852" s="10">
        <v>848</v>
      </c>
      <c r="B852" s="531" t="s">
        <v>56</v>
      </c>
      <c r="C852" s="526" t="s">
        <v>2633</v>
      </c>
      <c r="D852" s="528" t="s">
        <v>2634</v>
      </c>
      <c r="E852" s="529">
        <v>26239</v>
      </c>
      <c r="F852" s="9">
        <f t="shared" ca="1" si="78"/>
        <v>54</v>
      </c>
      <c r="G852" s="530">
        <v>43293</v>
      </c>
      <c r="H852" s="528" t="s">
        <v>271</v>
      </c>
      <c r="I852" s="530">
        <v>44858</v>
      </c>
      <c r="J852" s="753" t="s">
        <v>271</v>
      </c>
      <c r="K852" s="4" t="str">
        <f t="shared" si="80"/>
        <v>I</v>
      </c>
      <c r="L852" s="7" t="str">
        <f t="shared" si="81"/>
        <v>G8</v>
      </c>
      <c r="M852" s="7" t="str">
        <f t="shared" si="82"/>
        <v>J1</v>
      </c>
      <c r="N852" s="62" t="str">
        <f t="shared" si="83"/>
        <v/>
      </c>
      <c r="O852" s="8">
        <f t="shared" si="84"/>
        <v>45954</v>
      </c>
      <c r="P852" s="9" t="str">
        <f t="shared" ca="1" si="85"/>
        <v>ATRASADO</v>
      </c>
      <c r="Q852" s="528" t="s">
        <v>1556</v>
      </c>
      <c r="R852" s="525"/>
      <c r="S852" s="9" t="str">
        <f t="shared" si="87"/>
        <v/>
      </c>
    </row>
    <row r="853" spans="1:19" x14ac:dyDescent="0.3">
      <c r="A853" s="10">
        <v>849</v>
      </c>
      <c r="B853" s="531" t="s">
        <v>45</v>
      </c>
      <c r="C853" s="526" t="s">
        <v>2635</v>
      </c>
      <c r="D853" s="528" t="s">
        <v>2636</v>
      </c>
      <c r="E853" s="529">
        <v>28542</v>
      </c>
      <c r="F853" s="9">
        <f t="shared" ca="1" si="78"/>
        <v>48</v>
      </c>
      <c r="G853" s="530">
        <v>44459</v>
      </c>
      <c r="H853" s="528" t="s">
        <v>271</v>
      </c>
      <c r="I853" s="530">
        <v>44846</v>
      </c>
      <c r="J853" s="753" t="s">
        <v>275</v>
      </c>
      <c r="K853" s="4" t="str">
        <f t="shared" si="80"/>
        <v>I</v>
      </c>
      <c r="L853" s="7" t="str">
        <f t="shared" si="81"/>
        <v>G8</v>
      </c>
      <c r="M853" s="7" t="str">
        <f t="shared" si="82"/>
        <v/>
      </c>
      <c r="N853" s="62" t="str">
        <f t="shared" si="83"/>
        <v/>
      </c>
      <c r="O853" s="8">
        <f t="shared" si="84"/>
        <v>45942</v>
      </c>
      <c r="P853" s="9" t="str">
        <f t="shared" ca="1" si="85"/>
        <v>ATRASADO</v>
      </c>
      <c r="Q853" s="528" t="s">
        <v>1556</v>
      </c>
      <c r="R853" s="525"/>
      <c r="S853" s="9" t="str">
        <f t="shared" si="87"/>
        <v/>
      </c>
    </row>
    <row r="854" spans="1:19" x14ac:dyDescent="0.3">
      <c r="A854" s="10">
        <v>850</v>
      </c>
      <c r="B854" s="531" t="s">
        <v>56</v>
      </c>
      <c r="C854" s="526" t="s">
        <v>2637</v>
      </c>
      <c r="D854" s="528" t="s">
        <v>2638</v>
      </c>
      <c r="E854" s="529">
        <v>23196</v>
      </c>
      <c r="F854" s="9">
        <f t="shared" ca="1" si="78"/>
        <v>63</v>
      </c>
      <c r="G854" s="530">
        <v>43311</v>
      </c>
      <c r="H854" s="528" t="s">
        <v>275</v>
      </c>
      <c r="I854" s="530">
        <v>44848</v>
      </c>
      <c r="J854" s="753" t="s">
        <v>271</v>
      </c>
      <c r="K854" s="4" t="str">
        <f t="shared" si="80"/>
        <v>I</v>
      </c>
      <c r="L854" s="7" t="str">
        <f t="shared" si="81"/>
        <v>G8</v>
      </c>
      <c r="M854" s="7" t="str">
        <f t="shared" si="82"/>
        <v>J1</v>
      </c>
      <c r="N854" s="62" t="str">
        <f t="shared" si="83"/>
        <v/>
      </c>
      <c r="O854" s="8">
        <f t="shared" si="84"/>
        <v>45944</v>
      </c>
      <c r="P854" s="9" t="str">
        <f t="shared" ca="1" si="85"/>
        <v>ATRASADO</v>
      </c>
      <c r="Q854" s="528" t="s">
        <v>1556</v>
      </c>
      <c r="R854" s="527"/>
      <c r="S854" s="9" t="str">
        <f t="shared" si="87"/>
        <v/>
      </c>
    </row>
    <row r="855" spans="1:19" x14ac:dyDescent="0.3">
      <c r="A855" s="10">
        <v>851</v>
      </c>
      <c r="B855" s="531" t="s">
        <v>111</v>
      </c>
      <c r="C855" s="526" t="s">
        <v>2639</v>
      </c>
      <c r="D855" s="528" t="s">
        <v>2640</v>
      </c>
      <c r="E855" s="529">
        <v>34090</v>
      </c>
      <c r="F855" s="9">
        <f t="shared" ca="1" si="78"/>
        <v>33</v>
      </c>
      <c r="G855" s="530">
        <v>43531</v>
      </c>
      <c r="H855" s="528" t="s">
        <v>271</v>
      </c>
      <c r="I855" s="530">
        <v>44863</v>
      </c>
      <c r="J855" s="753" t="s">
        <v>271</v>
      </c>
      <c r="K855" s="4" t="str">
        <f t="shared" si="80"/>
        <v>I</v>
      </c>
      <c r="L855" s="7" t="str">
        <f t="shared" si="81"/>
        <v>G8</v>
      </c>
      <c r="M855" s="7" t="str">
        <f t="shared" si="82"/>
        <v>J1</v>
      </c>
      <c r="N855" s="62" t="str">
        <f t="shared" si="83"/>
        <v/>
      </c>
      <c r="O855" s="8">
        <f t="shared" si="84"/>
        <v>45959</v>
      </c>
      <c r="P855" s="9" t="str">
        <f t="shared" ca="1" si="85"/>
        <v>ATRASADO</v>
      </c>
      <c r="Q855" s="528" t="s">
        <v>1556</v>
      </c>
      <c r="R855" s="525"/>
      <c r="S855" s="9" t="str">
        <f t="shared" si="87"/>
        <v/>
      </c>
    </row>
    <row r="856" spans="1:19" x14ac:dyDescent="0.3">
      <c r="A856" s="10">
        <v>852</v>
      </c>
      <c r="B856" s="2" t="s">
        <v>75</v>
      </c>
      <c r="C856" s="10" t="s">
        <v>2641</v>
      </c>
      <c r="D856" s="9" t="s">
        <v>2642</v>
      </c>
      <c r="E856" s="529">
        <v>28679</v>
      </c>
      <c r="F856" s="9">
        <f t="shared" ca="1" si="78"/>
        <v>48</v>
      </c>
      <c r="G856" s="2" t="s">
        <v>8</v>
      </c>
      <c r="H856" s="6" t="s">
        <v>275</v>
      </c>
      <c r="I856" s="59">
        <v>44859</v>
      </c>
      <c r="J856" s="754" t="s">
        <v>271</v>
      </c>
      <c r="K856" s="4" t="str">
        <f t="shared" si="80"/>
        <v>I</v>
      </c>
      <c r="L856" s="7" t="str">
        <f t="shared" si="81"/>
        <v>G8</v>
      </c>
      <c r="M856" s="7" t="str">
        <f t="shared" si="82"/>
        <v>J1</v>
      </c>
      <c r="N856" s="62" t="str">
        <f t="shared" si="83"/>
        <v/>
      </c>
      <c r="O856" s="8">
        <f t="shared" si="84"/>
        <v>45955</v>
      </c>
      <c r="P856" s="9" t="str">
        <f t="shared" ca="1" si="85"/>
        <v>ATRASADO</v>
      </c>
      <c r="Q856" s="532" t="s">
        <v>341</v>
      </c>
      <c r="R856" s="10"/>
      <c r="S856" s="9" t="str">
        <f t="shared" si="87"/>
        <v/>
      </c>
    </row>
    <row r="857" spans="1:19" x14ac:dyDescent="0.3">
      <c r="A857" s="10">
        <v>853</v>
      </c>
      <c r="B857" s="539" t="s">
        <v>312</v>
      </c>
      <c r="C857" s="534" t="s">
        <v>2643</v>
      </c>
      <c r="D857" s="536" t="s">
        <v>2644</v>
      </c>
      <c r="E857" s="537">
        <v>32533</v>
      </c>
      <c r="F857" s="9">
        <f t="shared" ca="1" si="78"/>
        <v>37</v>
      </c>
      <c r="G857" s="538">
        <v>43300</v>
      </c>
      <c r="H857" s="536" t="s">
        <v>735</v>
      </c>
      <c r="I857" s="538">
        <v>44835</v>
      </c>
      <c r="J857" s="754" t="s">
        <v>275</v>
      </c>
      <c r="K857" s="4" t="str">
        <f t="shared" si="80"/>
        <v>I</v>
      </c>
      <c r="L857" s="7" t="str">
        <f t="shared" si="81"/>
        <v>G8</v>
      </c>
      <c r="M857" s="7" t="str">
        <f t="shared" si="82"/>
        <v/>
      </c>
      <c r="N857" s="62" t="str">
        <f t="shared" si="83"/>
        <v/>
      </c>
      <c r="O857" s="8">
        <f t="shared" si="84"/>
        <v>45931</v>
      </c>
      <c r="P857" s="9" t="str">
        <f t="shared" ca="1" si="85"/>
        <v>ATRASADO</v>
      </c>
      <c r="Q857" s="536" t="s">
        <v>1556</v>
      </c>
      <c r="R857" s="533"/>
      <c r="S857" s="9" t="str">
        <f t="shared" si="87"/>
        <v/>
      </c>
    </row>
    <row r="858" spans="1:19" x14ac:dyDescent="0.3">
      <c r="A858" s="10">
        <v>854</v>
      </c>
      <c r="B858" s="539" t="s">
        <v>312</v>
      </c>
      <c r="C858" s="534" t="s">
        <v>2645</v>
      </c>
      <c r="D858" s="536" t="s">
        <v>2646</v>
      </c>
      <c r="E858" s="537">
        <v>26225</v>
      </c>
      <c r="F858" s="9">
        <f t="shared" ca="1" si="78"/>
        <v>54</v>
      </c>
      <c r="G858" s="538">
        <v>43883</v>
      </c>
      <c r="H858" s="536" t="s">
        <v>993</v>
      </c>
      <c r="I858" s="538">
        <v>44861</v>
      </c>
      <c r="J858" s="753" t="s">
        <v>327</v>
      </c>
      <c r="K858" s="4" t="str">
        <f t="shared" si="80"/>
        <v>I</v>
      </c>
      <c r="L858" s="7" t="str">
        <f t="shared" si="81"/>
        <v>G7</v>
      </c>
      <c r="M858" s="7" t="str">
        <f t="shared" si="82"/>
        <v>S</v>
      </c>
      <c r="N858" s="62" t="str">
        <f t="shared" si="83"/>
        <v/>
      </c>
      <c r="O858" s="8">
        <f t="shared" si="84"/>
        <v>45226</v>
      </c>
      <c r="P858" s="9" t="str">
        <f t="shared" ca="1" si="85"/>
        <v>ATRASADO</v>
      </c>
      <c r="Q858" s="536" t="s">
        <v>1556</v>
      </c>
      <c r="R858" s="535"/>
      <c r="S858" s="9" t="str">
        <f t="shared" si="87"/>
        <v/>
      </c>
    </row>
    <row r="859" spans="1:19" x14ac:dyDescent="0.3">
      <c r="A859" s="10">
        <v>855</v>
      </c>
      <c r="B859" s="539" t="s">
        <v>312</v>
      </c>
      <c r="C859" s="534" t="s">
        <v>2647</v>
      </c>
      <c r="D859" s="536" t="s">
        <v>2648</v>
      </c>
      <c r="E859" s="537">
        <v>29271</v>
      </c>
      <c r="F859" s="9">
        <f t="shared" ca="1" si="78"/>
        <v>46</v>
      </c>
      <c r="G859" s="538">
        <v>44230</v>
      </c>
      <c r="H859" s="536" t="s">
        <v>8</v>
      </c>
      <c r="I859" s="538">
        <v>44852</v>
      </c>
      <c r="J859" s="753" t="s">
        <v>735</v>
      </c>
      <c r="K859" s="4" t="str">
        <f t="shared" si="80"/>
        <v>G3</v>
      </c>
      <c r="L859" s="7" t="str">
        <f t="shared" si="81"/>
        <v>O5</v>
      </c>
      <c r="M859" s="7" t="str">
        <f t="shared" si="82"/>
        <v/>
      </c>
      <c r="N859" s="62" t="str">
        <f t="shared" si="83"/>
        <v/>
      </c>
      <c r="O859" s="8">
        <f t="shared" si="84"/>
        <v>44944</v>
      </c>
      <c r="P859" s="9" t="str">
        <f t="shared" ca="1" si="85"/>
        <v>ATRASADO</v>
      </c>
      <c r="Q859" s="536" t="s">
        <v>1556</v>
      </c>
      <c r="R859" s="533"/>
      <c r="S859" s="9" t="str">
        <f t="shared" si="87"/>
        <v/>
      </c>
    </row>
    <row r="860" spans="1:19" x14ac:dyDescent="0.3">
      <c r="A860" s="10">
        <v>856</v>
      </c>
      <c r="B860" s="539" t="s">
        <v>312</v>
      </c>
      <c r="C860" s="534" t="s">
        <v>2649</v>
      </c>
      <c r="D860" s="536" t="s">
        <v>2650</v>
      </c>
      <c r="E860" s="537">
        <v>27822</v>
      </c>
      <c r="F860" s="9">
        <f t="shared" ca="1" si="78"/>
        <v>50</v>
      </c>
      <c r="G860" s="538">
        <v>44130</v>
      </c>
      <c r="H860" s="536" t="s">
        <v>8</v>
      </c>
      <c r="I860" s="538">
        <v>44856</v>
      </c>
      <c r="J860" s="753" t="s">
        <v>275</v>
      </c>
      <c r="K860" s="4" t="str">
        <f t="shared" si="80"/>
        <v>I</v>
      </c>
      <c r="L860" s="7" t="str">
        <f t="shared" si="81"/>
        <v>G8</v>
      </c>
      <c r="M860" s="7" t="str">
        <f t="shared" si="82"/>
        <v/>
      </c>
      <c r="N860" s="62" t="str">
        <f t="shared" si="83"/>
        <v/>
      </c>
      <c r="O860" s="8">
        <f t="shared" si="84"/>
        <v>45952</v>
      </c>
      <c r="P860" s="9" t="str">
        <f t="shared" ca="1" si="85"/>
        <v>ATRASADO</v>
      </c>
      <c r="Q860" s="536" t="s">
        <v>1556</v>
      </c>
      <c r="R860" s="533"/>
      <c r="S860" s="9" t="str">
        <f t="shared" si="87"/>
        <v/>
      </c>
    </row>
    <row r="861" spans="1:19" x14ac:dyDescent="0.3">
      <c r="A861" s="10">
        <v>857</v>
      </c>
      <c r="B861" s="539" t="s">
        <v>312</v>
      </c>
      <c r="C861" s="534" t="s">
        <v>2651</v>
      </c>
      <c r="D861" s="536" t="s">
        <v>2652</v>
      </c>
      <c r="E861" s="537">
        <v>26918</v>
      </c>
      <c r="F861" s="9">
        <f t="shared" ca="1" si="78"/>
        <v>53</v>
      </c>
      <c r="G861" s="538">
        <v>43872</v>
      </c>
      <c r="H861" s="536" t="s">
        <v>275</v>
      </c>
      <c r="I861" s="538">
        <v>44861</v>
      </c>
      <c r="J861" s="753" t="s">
        <v>271</v>
      </c>
      <c r="K861" s="4" t="str">
        <f t="shared" si="80"/>
        <v>I</v>
      </c>
      <c r="L861" s="7" t="str">
        <f t="shared" si="81"/>
        <v>G8</v>
      </c>
      <c r="M861" s="7" t="str">
        <f t="shared" si="82"/>
        <v>J1</v>
      </c>
      <c r="N861" s="62" t="str">
        <f t="shared" si="83"/>
        <v/>
      </c>
      <c r="O861" s="8">
        <f t="shared" si="84"/>
        <v>45957</v>
      </c>
      <c r="P861" s="9" t="str">
        <f t="shared" ca="1" si="85"/>
        <v>ATRASADO</v>
      </c>
      <c r="Q861" s="536" t="s">
        <v>1556</v>
      </c>
      <c r="R861" s="533"/>
      <c r="S861" s="9" t="str">
        <f t="shared" si="87"/>
        <v/>
      </c>
    </row>
    <row r="862" spans="1:19" x14ac:dyDescent="0.3">
      <c r="A862" s="10">
        <v>858</v>
      </c>
      <c r="B862" s="539" t="s">
        <v>312</v>
      </c>
      <c r="C862" s="534" t="s">
        <v>2653</v>
      </c>
      <c r="D862" s="536" t="s">
        <v>2654</v>
      </c>
      <c r="E862" s="537">
        <v>28654</v>
      </c>
      <c r="F862" s="9">
        <f t="shared" ca="1" si="78"/>
        <v>48</v>
      </c>
      <c r="G862" s="538">
        <v>44035</v>
      </c>
      <c r="H862" s="536" t="s">
        <v>8</v>
      </c>
      <c r="I862" s="538">
        <v>44860</v>
      </c>
      <c r="J862" s="753" t="s">
        <v>271</v>
      </c>
      <c r="K862" s="4" t="str">
        <f t="shared" si="80"/>
        <v>I</v>
      </c>
      <c r="L862" s="7" t="str">
        <f t="shared" si="81"/>
        <v>G8</v>
      </c>
      <c r="M862" s="7" t="str">
        <f t="shared" si="82"/>
        <v>J1</v>
      </c>
      <c r="N862" s="62" t="str">
        <f t="shared" si="83"/>
        <v/>
      </c>
      <c r="O862" s="8">
        <f t="shared" si="84"/>
        <v>45956</v>
      </c>
      <c r="P862" s="9" t="str">
        <f t="shared" ca="1" si="85"/>
        <v>ATRASADO</v>
      </c>
      <c r="Q862" s="536" t="s">
        <v>1556</v>
      </c>
      <c r="R862" s="533"/>
      <c r="S862" s="9" t="str">
        <f t="shared" si="87"/>
        <v/>
      </c>
    </row>
    <row r="863" spans="1:19" x14ac:dyDescent="0.3">
      <c r="A863" s="10">
        <v>859</v>
      </c>
      <c r="B863" s="539" t="s">
        <v>312</v>
      </c>
      <c r="C863" s="534" t="s">
        <v>2655</v>
      </c>
      <c r="D863" s="536" t="s">
        <v>2656</v>
      </c>
      <c r="E863" s="537">
        <v>31260</v>
      </c>
      <c r="F863" s="9">
        <f t="shared" ca="1" si="78"/>
        <v>41</v>
      </c>
      <c r="G863" s="538">
        <v>44402</v>
      </c>
      <c r="H863" s="536" t="s">
        <v>275</v>
      </c>
      <c r="I863" s="538">
        <v>44863</v>
      </c>
      <c r="J863" s="753" t="s">
        <v>271</v>
      </c>
      <c r="K863" s="4" t="str">
        <f t="shared" si="80"/>
        <v>I</v>
      </c>
      <c r="L863" s="7" t="str">
        <f t="shared" si="81"/>
        <v>G8</v>
      </c>
      <c r="M863" s="7" t="str">
        <f t="shared" si="82"/>
        <v>J1</v>
      </c>
      <c r="N863" s="62" t="str">
        <f t="shared" si="83"/>
        <v/>
      </c>
      <c r="O863" s="8">
        <f t="shared" si="84"/>
        <v>45959</v>
      </c>
      <c r="P863" s="9" t="str">
        <f t="shared" ca="1" si="85"/>
        <v>ATRASADO</v>
      </c>
      <c r="Q863" s="536" t="s">
        <v>1556</v>
      </c>
      <c r="R863" s="533"/>
      <c r="S863" s="9" t="str">
        <f t="shared" si="87"/>
        <v/>
      </c>
    </row>
    <row r="864" spans="1:19" x14ac:dyDescent="0.3">
      <c r="A864" s="10">
        <v>860</v>
      </c>
      <c r="B864" s="539" t="s">
        <v>312</v>
      </c>
      <c r="C864" s="534" t="s">
        <v>2657</v>
      </c>
      <c r="D864" s="536" t="s">
        <v>2658</v>
      </c>
      <c r="E864" s="537">
        <v>25069</v>
      </c>
      <c r="F864" s="9">
        <f t="shared" ca="1" si="78"/>
        <v>58</v>
      </c>
      <c r="G864" s="538">
        <v>43786</v>
      </c>
      <c r="H864" s="536" t="s">
        <v>8</v>
      </c>
      <c r="I864" s="538">
        <v>44848</v>
      </c>
      <c r="J864" s="753" t="s">
        <v>275</v>
      </c>
      <c r="K864" s="4" t="str">
        <f t="shared" si="80"/>
        <v>I</v>
      </c>
      <c r="L864" s="7" t="str">
        <f t="shared" si="81"/>
        <v>G8</v>
      </c>
      <c r="M864" s="7" t="str">
        <f t="shared" si="82"/>
        <v/>
      </c>
      <c r="N864" s="62" t="str">
        <f t="shared" si="83"/>
        <v/>
      </c>
      <c r="O864" s="8">
        <f t="shared" si="84"/>
        <v>45944</v>
      </c>
      <c r="P864" s="9" t="str">
        <f t="shared" ca="1" si="85"/>
        <v>ATRASADO</v>
      </c>
      <c r="Q864" s="536" t="s">
        <v>1556</v>
      </c>
      <c r="R864" s="533"/>
      <c r="S864" s="9" t="str">
        <f t="shared" si="87"/>
        <v/>
      </c>
    </row>
    <row r="865" spans="1:19" x14ac:dyDescent="0.3">
      <c r="A865" s="10">
        <v>861</v>
      </c>
      <c r="B865" s="539" t="s">
        <v>312</v>
      </c>
      <c r="C865" s="534" t="s">
        <v>2659</v>
      </c>
      <c r="D865" s="536" t="s">
        <v>2660</v>
      </c>
      <c r="E865" s="537">
        <v>31093</v>
      </c>
      <c r="F865" s="9">
        <f t="shared" ca="1" si="78"/>
        <v>41</v>
      </c>
      <c r="G865" s="538">
        <v>44146</v>
      </c>
      <c r="H865" s="536" t="s">
        <v>8</v>
      </c>
      <c r="I865" s="538">
        <v>44835</v>
      </c>
      <c r="J865" s="753" t="s">
        <v>271</v>
      </c>
      <c r="K865" s="4" t="str">
        <f t="shared" si="80"/>
        <v>I</v>
      </c>
      <c r="L865" s="7" t="str">
        <f t="shared" si="81"/>
        <v>G8</v>
      </c>
      <c r="M865" s="7" t="str">
        <f t="shared" si="82"/>
        <v>J1</v>
      </c>
      <c r="N865" s="62" t="str">
        <f t="shared" si="83"/>
        <v/>
      </c>
      <c r="O865" s="8">
        <f t="shared" si="84"/>
        <v>45931</v>
      </c>
      <c r="P865" s="9" t="str">
        <f t="shared" ca="1" si="85"/>
        <v>ATRASADO</v>
      </c>
      <c r="Q865" s="536" t="s">
        <v>1556</v>
      </c>
      <c r="R865" s="533"/>
      <c r="S865" s="9" t="str">
        <f t="shared" si="87"/>
        <v/>
      </c>
    </row>
    <row r="866" spans="1:19" x14ac:dyDescent="0.3">
      <c r="A866" s="10">
        <v>862</v>
      </c>
      <c r="B866" s="539" t="s">
        <v>312</v>
      </c>
      <c r="C866" s="534" t="s">
        <v>2661</v>
      </c>
      <c r="D866" s="536" t="s">
        <v>2662</v>
      </c>
      <c r="E866" s="537">
        <v>27091</v>
      </c>
      <c r="F866" s="9">
        <f t="shared" ca="1" si="78"/>
        <v>52</v>
      </c>
      <c r="G866" s="538">
        <v>44386</v>
      </c>
      <c r="H866" s="536" t="s">
        <v>275</v>
      </c>
      <c r="I866" s="538">
        <v>44852</v>
      </c>
      <c r="J866" s="753" t="s">
        <v>327</v>
      </c>
      <c r="K866" s="4" t="str">
        <f t="shared" si="80"/>
        <v>I</v>
      </c>
      <c r="L866" s="7" t="str">
        <f t="shared" si="81"/>
        <v>G7</v>
      </c>
      <c r="M866" s="7" t="str">
        <f t="shared" si="82"/>
        <v>S</v>
      </c>
      <c r="N866" s="62" t="str">
        <f t="shared" si="83"/>
        <v/>
      </c>
      <c r="O866" s="8">
        <f t="shared" si="84"/>
        <v>45217</v>
      </c>
      <c r="P866" s="9" t="str">
        <f t="shared" ca="1" si="85"/>
        <v>ATRASADO</v>
      </c>
      <c r="Q866" s="536" t="s">
        <v>1556</v>
      </c>
      <c r="R866" s="535" t="s">
        <v>2663</v>
      </c>
      <c r="S866" s="9" t="str">
        <f t="shared" si="87"/>
        <v/>
      </c>
    </row>
    <row r="867" spans="1:19" x14ac:dyDescent="0.3">
      <c r="A867" s="10">
        <v>863</v>
      </c>
      <c r="B867" s="539" t="s">
        <v>312</v>
      </c>
      <c r="C867" s="534" t="s">
        <v>2664</v>
      </c>
      <c r="D867" s="536" t="s">
        <v>2665</v>
      </c>
      <c r="E867" s="537">
        <v>33367</v>
      </c>
      <c r="F867" s="9">
        <f t="shared" ca="1" si="78"/>
        <v>35</v>
      </c>
      <c r="G867" s="538">
        <v>43766</v>
      </c>
      <c r="H867" s="536" t="s">
        <v>275</v>
      </c>
      <c r="I867" s="538">
        <v>44842</v>
      </c>
      <c r="J867" s="753" t="s">
        <v>271</v>
      </c>
      <c r="K867" s="4" t="str">
        <f t="shared" si="80"/>
        <v>I</v>
      </c>
      <c r="L867" s="7" t="str">
        <f t="shared" si="81"/>
        <v>G8</v>
      </c>
      <c r="M867" s="7" t="str">
        <f t="shared" si="82"/>
        <v>J1</v>
      </c>
      <c r="N867" s="62" t="str">
        <f t="shared" si="83"/>
        <v/>
      </c>
      <c r="O867" s="8">
        <f t="shared" si="84"/>
        <v>45938</v>
      </c>
      <c r="P867" s="9" t="str">
        <f t="shared" ca="1" si="85"/>
        <v>ATRASADO</v>
      </c>
      <c r="Q867" s="536" t="s">
        <v>1556</v>
      </c>
      <c r="R867" s="533"/>
      <c r="S867" s="9" t="str">
        <f t="shared" si="87"/>
        <v/>
      </c>
    </row>
    <row r="868" spans="1:19" x14ac:dyDescent="0.3">
      <c r="A868" s="10">
        <v>864</v>
      </c>
      <c r="B868" s="539" t="s">
        <v>312</v>
      </c>
      <c r="C868" s="534" t="s">
        <v>2666</v>
      </c>
      <c r="D868" s="536" t="s">
        <v>2667</v>
      </c>
      <c r="E868" s="537">
        <v>21933</v>
      </c>
      <c r="F868" s="9">
        <f t="shared" ca="1" si="78"/>
        <v>66</v>
      </c>
      <c r="G868" s="538">
        <v>43974</v>
      </c>
      <c r="H868" s="536" t="s">
        <v>271</v>
      </c>
      <c r="I868" s="538">
        <v>44863</v>
      </c>
      <c r="J868" s="753" t="s">
        <v>275</v>
      </c>
      <c r="K868" s="4" t="str">
        <f t="shared" si="80"/>
        <v>I</v>
      </c>
      <c r="L868" s="7" t="str">
        <f t="shared" si="81"/>
        <v>G8</v>
      </c>
      <c r="M868" s="7" t="str">
        <f t="shared" si="82"/>
        <v/>
      </c>
      <c r="N868" s="62" t="str">
        <f t="shared" si="83"/>
        <v/>
      </c>
      <c r="O868" s="8">
        <f t="shared" si="84"/>
        <v>45959</v>
      </c>
      <c r="P868" s="9" t="str">
        <f t="shared" ca="1" si="85"/>
        <v>ATRASADO</v>
      </c>
      <c r="Q868" s="536" t="s">
        <v>1556</v>
      </c>
      <c r="R868" s="533"/>
      <c r="S868" s="9" t="str">
        <f t="shared" si="87"/>
        <v/>
      </c>
    </row>
    <row r="869" spans="1:19" x14ac:dyDescent="0.3">
      <c r="A869" s="10">
        <v>865</v>
      </c>
      <c r="B869" s="539" t="s">
        <v>312</v>
      </c>
      <c r="C869" s="534" t="s">
        <v>2668</v>
      </c>
      <c r="D869" s="536" t="s">
        <v>2669</v>
      </c>
      <c r="E869" s="537">
        <v>22023</v>
      </c>
      <c r="F869" s="9">
        <f t="shared" ca="1" si="78"/>
        <v>66</v>
      </c>
      <c r="G869" s="538">
        <v>43536</v>
      </c>
      <c r="H869" s="536" t="s">
        <v>291</v>
      </c>
      <c r="I869" s="538">
        <v>44864</v>
      </c>
      <c r="J869" s="753" t="s">
        <v>275</v>
      </c>
      <c r="K869" s="4" t="str">
        <f t="shared" si="80"/>
        <v>I</v>
      </c>
      <c r="L869" s="7" t="str">
        <f t="shared" si="81"/>
        <v>G8</v>
      </c>
      <c r="M869" s="7" t="str">
        <f t="shared" si="82"/>
        <v/>
      </c>
      <c r="N869" s="62" t="str">
        <f t="shared" si="83"/>
        <v/>
      </c>
      <c r="O869" s="8">
        <f t="shared" si="84"/>
        <v>45960</v>
      </c>
      <c r="P869" s="9" t="str">
        <f t="shared" ca="1" si="85"/>
        <v>ATRASADO</v>
      </c>
      <c r="Q869" s="536" t="s">
        <v>1556</v>
      </c>
      <c r="R869" s="535"/>
      <c r="S869" s="9" t="str">
        <f t="shared" si="87"/>
        <v/>
      </c>
    </row>
    <row r="870" spans="1:19" x14ac:dyDescent="0.3">
      <c r="A870" s="10">
        <v>866</v>
      </c>
      <c r="B870" s="546" t="s">
        <v>312</v>
      </c>
      <c r="C870" s="541" t="s">
        <v>2670</v>
      </c>
      <c r="D870" s="543" t="s">
        <v>2671</v>
      </c>
      <c r="E870" s="544">
        <v>22604</v>
      </c>
      <c r="F870" s="9">
        <f t="shared" ca="1" si="78"/>
        <v>64</v>
      </c>
      <c r="G870" s="543" t="s">
        <v>8</v>
      </c>
      <c r="H870" s="543" t="s">
        <v>594</v>
      </c>
      <c r="I870" s="545">
        <v>44855</v>
      </c>
      <c r="J870" s="753" t="s">
        <v>271</v>
      </c>
      <c r="K870" s="4" t="str">
        <f t="shared" si="80"/>
        <v>I</v>
      </c>
      <c r="L870" s="7" t="str">
        <f t="shared" si="81"/>
        <v>G8</v>
      </c>
      <c r="M870" s="7" t="str">
        <f t="shared" si="82"/>
        <v>J1</v>
      </c>
      <c r="N870" s="62" t="str">
        <f t="shared" si="83"/>
        <v/>
      </c>
      <c r="O870" s="8">
        <f t="shared" si="84"/>
        <v>45951</v>
      </c>
      <c r="P870" s="9" t="str">
        <f t="shared" ca="1" si="85"/>
        <v>ATRASADO</v>
      </c>
      <c r="Q870" s="543" t="s">
        <v>1556</v>
      </c>
      <c r="R870" s="542"/>
      <c r="S870" s="9" t="str">
        <f t="shared" si="87"/>
        <v/>
      </c>
    </row>
    <row r="871" spans="1:19" x14ac:dyDescent="0.3">
      <c r="A871" s="10">
        <v>867</v>
      </c>
      <c r="B871" s="546" t="s">
        <v>312</v>
      </c>
      <c r="C871" s="541" t="s">
        <v>2672</v>
      </c>
      <c r="D871" s="543" t="s">
        <v>2673</v>
      </c>
      <c r="E871" s="544">
        <v>21778</v>
      </c>
      <c r="F871" s="9">
        <f t="shared" ca="1" si="78"/>
        <v>67</v>
      </c>
      <c r="G871" s="545">
        <v>43648</v>
      </c>
      <c r="H871" s="543" t="s">
        <v>271</v>
      </c>
      <c r="I871" s="545">
        <v>44849</v>
      </c>
      <c r="J871" s="753" t="s">
        <v>8</v>
      </c>
      <c r="K871" s="4" t="str">
        <f t="shared" si="80"/>
        <v>SI</v>
      </c>
      <c r="L871" s="7" t="str">
        <f t="shared" si="81"/>
        <v xml:space="preserve">N </v>
      </c>
      <c r="M871" s="7" t="str">
        <f t="shared" si="82"/>
        <v>RE</v>
      </c>
      <c r="N871" s="62" t="str">
        <f t="shared" si="83"/>
        <v>GI</v>
      </c>
      <c r="O871" s="8">
        <f t="shared" si="84"/>
        <v>45945</v>
      </c>
      <c r="P871" s="9" t="str">
        <f t="shared" ca="1" si="85"/>
        <v>ATRASADO</v>
      </c>
      <c r="Q871" s="543" t="s">
        <v>1556</v>
      </c>
      <c r="R871" s="540"/>
      <c r="S871" s="9" t="str">
        <f t="shared" si="87"/>
        <v/>
      </c>
    </row>
    <row r="872" spans="1:19" x14ac:dyDescent="0.3">
      <c r="A872" s="10">
        <v>868</v>
      </c>
      <c r="B872" s="546" t="s">
        <v>312</v>
      </c>
      <c r="C872" s="541" t="s">
        <v>2674</v>
      </c>
      <c r="D872" s="543" t="s">
        <v>2675</v>
      </c>
      <c r="E872" s="544">
        <v>30048</v>
      </c>
      <c r="F872" s="9">
        <f t="shared" ca="1" si="78"/>
        <v>44</v>
      </c>
      <c r="G872" s="545">
        <v>44400</v>
      </c>
      <c r="H872" s="543" t="s">
        <v>275</v>
      </c>
      <c r="I872" s="545">
        <v>44840</v>
      </c>
      <c r="J872" s="753" t="s">
        <v>275</v>
      </c>
      <c r="K872" s="4" t="str">
        <f t="shared" si="80"/>
        <v>I</v>
      </c>
      <c r="L872" s="7" t="str">
        <f t="shared" si="81"/>
        <v>G8</v>
      </c>
      <c r="M872" s="7" t="str">
        <f t="shared" si="82"/>
        <v/>
      </c>
      <c r="N872" s="62" t="str">
        <f t="shared" si="83"/>
        <v/>
      </c>
      <c r="O872" s="8">
        <f t="shared" si="84"/>
        <v>45936</v>
      </c>
      <c r="P872" s="9" t="str">
        <f t="shared" ca="1" si="85"/>
        <v>ATRASADO</v>
      </c>
      <c r="Q872" s="543" t="s">
        <v>1556</v>
      </c>
      <c r="R872" s="542"/>
      <c r="S872" s="9" t="str">
        <f t="shared" si="87"/>
        <v/>
      </c>
    </row>
    <row r="873" spans="1:19" x14ac:dyDescent="0.3">
      <c r="A873" s="10">
        <v>869</v>
      </c>
      <c r="B873" s="546" t="s">
        <v>312</v>
      </c>
      <c r="C873" s="541" t="s">
        <v>2676</v>
      </c>
      <c r="D873" s="543" t="s">
        <v>2677</v>
      </c>
      <c r="E873" s="544">
        <v>24781</v>
      </c>
      <c r="F873" s="9">
        <f t="shared" ca="1" si="78"/>
        <v>58</v>
      </c>
      <c r="G873" s="545">
        <v>43211</v>
      </c>
      <c r="H873" s="543" t="s">
        <v>271</v>
      </c>
      <c r="I873" s="545">
        <v>44848</v>
      </c>
      <c r="J873" s="753" t="s">
        <v>275</v>
      </c>
      <c r="K873" s="4" t="str">
        <f t="shared" si="80"/>
        <v>I</v>
      </c>
      <c r="L873" s="7" t="str">
        <f t="shared" si="81"/>
        <v>G8</v>
      </c>
      <c r="M873" s="7" t="str">
        <f t="shared" si="82"/>
        <v/>
      </c>
      <c r="N873" s="62" t="str">
        <f t="shared" si="83"/>
        <v/>
      </c>
      <c r="O873" s="8">
        <f t="shared" si="84"/>
        <v>45944</v>
      </c>
      <c r="P873" s="9" t="str">
        <f t="shared" ca="1" si="85"/>
        <v>ATRASADO</v>
      </c>
      <c r="Q873" s="543" t="s">
        <v>1556</v>
      </c>
      <c r="R873" s="542"/>
      <c r="S873" s="9" t="str">
        <f t="shared" si="87"/>
        <v/>
      </c>
    </row>
    <row r="874" spans="1:19" x14ac:dyDescent="0.3">
      <c r="A874" s="10">
        <v>870</v>
      </c>
      <c r="B874" s="546" t="s">
        <v>312</v>
      </c>
      <c r="C874" s="541" t="s">
        <v>2678</v>
      </c>
      <c r="D874" s="543" t="s">
        <v>2679</v>
      </c>
      <c r="E874" s="544">
        <v>28754</v>
      </c>
      <c r="F874" s="9">
        <f t="shared" ca="1" si="78"/>
        <v>48</v>
      </c>
      <c r="G874" s="543" t="s">
        <v>8</v>
      </c>
      <c r="H874" s="543" t="s">
        <v>275</v>
      </c>
      <c r="I874" s="545">
        <v>44857</v>
      </c>
      <c r="J874" s="753" t="s">
        <v>275</v>
      </c>
      <c r="K874" s="4" t="str">
        <f t="shared" si="80"/>
        <v>I</v>
      </c>
      <c r="L874" s="7" t="str">
        <f t="shared" si="81"/>
        <v>G8</v>
      </c>
      <c r="M874" s="7" t="str">
        <f t="shared" si="82"/>
        <v/>
      </c>
      <c r="N874" s="62" t="str">
        <f t="shared" si="83"/>
        <v/>
      </c>
      <c r="O874" s="8">
        <f t="shared" si="84"/>
        <v>45953</v>
      </c>
      <c r="P874" s="9" t="str">
        <f t="shared" ca="1" si="85"/>
        <v>ATRASADO</v>
      </c>
      <c r="Q874" s="543" t="s">
        <v>1556</v>
      </c>
      <c r="R874" s="540"/>
      <c r="S874" s="9" t="str">
        <f t="shared" si="87"/>
        <v/>
      </c>
    </row>
    <row r="875" spans="1:19" x14ac:dyDescent="0.3">
      <c r="A875" s="10">
        <v>871</v>
      </c>
      <c r="B875" s="546" t="s">
        <v>312</v>
      </c>
      <c r="C875" s="541" t="s">
        <v>2680</v>
      </c>
      <c r="D875" s="543" t="s">
        <v>2681</v>
      </c>
      <c r="E875" s="544">
        <v>22872</v>
      </c>
      <c r="F875" s="9">
        <f t="shared" ca="1" si="78"/>
        <v>64</v>
      </c>
      <c r="G875" s="545">
        <v>44374</v>
      </c>
      <c r="H875" s="543" t="s">
        <v>8</v>
      </c>
      <c r="I875" s="545">
        <v>44860</v>
      </c>
      <c r="J875" s="753" t="s">
        <v>275</v>
      </c>
      <c r="K875" s="4" t="str">
        <f t="shared" si="80"/>
        <v>I</v>
      </c>
      <c r="L875" s="7" t="str">
        <f t="shared" si="81"/>
        <v>G8</v>
      </c>
      <c r="M875" s="7" t="str">
        <f t="shared" si="82"/>
        <v/>
      </c>
      <c r="N875" s="62" t="str">
        <f t="shared" si="83"/>
        <v/>
      </c>
      <c r="O875" s="8">
        <f t="shared" si="84"/>
        <v>45956</v>
      </c>
      <c r="P875" s="9" t="str">
        <f t="shared" ca="1" si="85"/>
        <v>ATRASADO</v>
      </c>
      <c r="Q875" s="543" t="s">
        <v>1556</v>
      </c>
      <c r="R875" s="542" t="s">
        <v>2257</v>
      </c>
      <c r="S875" s="9" t="str">
        <f t="shared" ref="S875:S938" si="88">IF(OR(K875="T1",L875="T1",M875="T1",N875="T1",),"LESION SOSPECHOSA A UPC",IF(OR(K875="T2",L875="T2",M875="T2",N875="T2",),"DERIVAR A UPC POR SEGUNDO ATIPICO",IF(OR(K875="J2",L875="J2",M875="J2",N875="J2",),"TRICOMONAS",IF(OR(K875="J3",L875="J3",M875="J3",N875="J3",),"HERPES SIMPLEX",IF(OR(K875="J5",L875="J5",M875="J5",N875="J5",),"CANDIDA",IF(OR(K875="J6",L875="J6",M875="J6",N875="J6",),"ACTINOMYCES",IF(OR(K875="A1",L875="A1",M875="A1",N875="A1",),"VPH",IF(OR(K875="ASC-H",L875="ASC-H",M875="ASC-H",K875="H2",K875="H3",K875="H4",N875="ASC-H",K875="AGUS",L875="AGUS",L875="H2",L875="H3",L875="H4",M875="AGUS",M875="H2",M875="H3",M875="H4",N875="AGUS",N875="H2",N875="H3",N875="H4"),"MANDAR A UPC / COLPOSCOPIA",IF(OR(K875="A",K875="B",K875="C",K875="D",K875="D0",K875="D1",K875="D2",K875="D3",K875="E",K875="E1",K875="E2",K875="K",K875="T",L875="A",L875="B",L875="C",L875="D",L875="D0",L875="D1",L875="D2",L875="D3",L875="E",L875="E1",L875="E2",L875="K",L875="T",M875="A",M875="B",M875="C",M875="D",M875="D0",M875="D1",M875="D2",M875="D3",M875="E",M875="E1",M875="E2",M875="K",M875="T",N875="A",N875="B",N875="C",N875="D",N875="D0",N875="D1",K875="D2",N875="D2",N875="D3",N875="E",N875="E1",N875="E2",N875="K",N875="T",),"CITAR A UPC","")))))))))</f>
        <v/>
      </c>
    </row>
    <row r="876" spans="1:19" x14ac:dyDescent="0.3">
      <c r="A876" s="10">
        <v>872</v>
      </c>
      <c r="B876" s="546" t="s">
        <v>312</v>
      </c>
      <c r="C876" s="541" t="s">
        <v>2682</v>
      </c>
      <c r="D876" s="543" t="s">
        <v>2683</v>
      </c>
      <c r="E876" s="544">
        <v>27742</v>
      </c>
      <c r="F876" s="9">
        <f t="shared" ca="1" si="78"/>
        <v>50</v>
      </c>
      <c r="G876" s="545">
        <v>43774</v>
      </c>
      <c r="H876" s="543" t="s">
        <v>8</v>
      </c>
      <c r="I876" s="545">
        <v>44842</v>
      </c>
      <c r="J876" s="753" t="s">
        <v>8</v>
      </c>
      <c r="K876" s="4" t="str">
        <f t="shared" si="80"/>
        <v>SI</v>
      </c>
      <c r="L876" s="7" t="str">
        <f t="shared" si="81"/>
        <v xml:space="preserve">N </v>
      </c>
      <c r="M876" s="7" t="str">
        <f t="shared" si="82"/>
        <v>RE</v>
      </c>
      <c r="N876" s="62" t="str">
        <f t="shared" si="83"/>
        <v>GI</v>
      </c>
      <c r="O876" s="8">
        <f t="shared" si="84"/>
        <v>45938</v>
      </c>
      <c r="P876" s="9" t="str">
        <f t="shared" ca="1" si="85"/>
        <v>ATRASADO</v>
      </c>
      <c r="Q876" s="543" t="s">
        <v>1556</v>
      </c>
      <c r="R876" s="540"/>
      <c r="S876" s="9" t="str">
        <f t="shared" si="88"/>
        <v/>
      </c>
    </row>
    <row r="877" spans="1:19" x14ac:dyDescent="0.3">
      <c r="A877" s="10">
        <v>873</v>
      </c>
      <c r="B877" s="554" t="s">
        <v>579</v>
      </c>
      <c r="C877" s="551" t="s">
        <v>2684</v>
      </c>
      <c r="D877" s="548" t="s">
        <v>2685</v>
      </c>
      <c r="E877" s="552">
        <v>22898</v>
      </c>
      <c r="F877" s="9">
        <f t="shared" ca="1" si="78"/>
        <v>64</v>
      </c>
      <c r="G877" s="548" t="s">
        <v>8</v>
      </c>
      <c r="H877" s="548" t="s">
        <v>8</v>
      </c>
      <c r="I877" s="553">
        <v>44836</v>
      </c>
      <c r="J877" s="753" t="s">
        <v>993</v>
      </c>
      <c r="K877" s="4" t="str">
        <f t="shared" si="80"/>
        <v>A1</v>
      </c>
      <c r="L877" s="7" t="str">
        <f t="shared" si="81"/>
        <v>O3</v>
      </c>
      <c r="M877" s="7" t="str">
        <f t="shared" si="82"/>
        <v/>
      </c>
      <c r="N877" s="62" t="str">
        <f t="shared" si="83"/>
        <v/>
      </c>
      <c r="O877" s="8">
        <f t="shared" si="84"/>
        <v>45018</v>
      </c>
      <c r="P877" s="9" t="str">
        <f t="shared" ca="1" si="85"/>
        <v>ATRASADO</v>
      </c>
      <c r="Q877" s="548" t="s">
        <v>1556</v>
      </c>
      <c r="R877" s="550"/>
      <c r="S877" s="9" t="str">
        <f t="shared" si="88"/>
        <v>VPH</v>
      </c>
    </row>
    <row r="878" spans="1:19" x14ac:dyDescent="0.3">
      <c r="A878" s="10">
        <v>874</v>
      </c>
      <c r="B878" s="554" t="s">
        <v>346</v>
      </c>
      <c r="C878" s="551" t="s">
        <v>2686</v>
      </c>
      <c r="D878" s="548" t="s">
        <v>2687</v>
      </c>
      <c r="E878" s="552">
        <v>30460</v>
      </c>
      <c r="F878" s="9">
        <f t="shared" ca="1" si="78"/>
        <v>43</v>
      </c>
      <c r="G878" s="553">
        <v>43785</v>
      </c>
      <c r="H878" s="548" t="s">
        <v>271</v>
      </c>
      <c r="I878" s="553">
        <v>44849</v>
      </c>
      <c r="J878" s="753" t="s">
        <v>275</v>
      </c>
      <c r="K878" s="4" t="str">
        <f t="shared" si="80"/>
        <v>I</v>
      </c>
      <c r="L878" s="7" t="str">
        <f t="shared" si="81"/>
        <v>G8</v>
      </c>
      <c r="M878" s="7" t="str">
        <f t="shared" si="82"/>
        <v/>
      </c>
      <c r="N878" s="62" t="str">
        <f t="shared" si="83"/>
        <v/>
      </c>
      <c r="O878" s="8">
        <f t="shared" si="84"/>
        <v>45945</v>
      </c>
      <c r="P878" s="9" t="str">
        <f t="shared" ca="1" si="85"/>
        <v>ATRASADO</v>
      </c>
      <c r="Q878" s="548" t="s">
        <v>1556</v>
      </c>
      <c r="R878" s="547"/>
      <c r="S878" s="9" t="str">
        <f t="shared" si="88"/>
        <v/>
      </c>
    </row>
    <row r="879" spans="1:19" x14ac:dyDescent="0.3">
      <c r="A879" s="10">
        <v>875</v>
      </c>
      <c r="B879" s="561" t="s">
        <v>579</v>
      </c>
      <c r="C879" s="556" t="s">
        <v>2688</v>
      </c>
      <c r="D879" s="558" t="s">
        <v>2689</v>
      </c>
      <c r="E879" s="559">
        <v>31922</v>
      </c>
      <c r="F879" s="9">
        <f t="shared" ca="1" si="78"/>
        <v>39</v>
      </c>
      <c r="G879" s="560">
        <v>43803</v>
      </c>
      <c r="H879" s="558" t="s">
        <v>271</v>
      </c>
      <c r="I879" s="560">
        <v>44860</v>
      </c>
      <c r="J879" s="753" t="s">
        <v>275</v>
      </c>
      <c r="K879" s="4" t="str">
        <f t="shared" si="80"/>
        <v>I</v>
      </c>
      <c r="L879" s="7" t="str">
        <f t="shared" si="81"/>
        <v>G8</v>
      </c>
      <c r="M879" s="7" t="str">
        <f t="shared" si="82"/>
        <v/>
      </c>
      <c r="N879" s="62" t="str">
        <f t="shared" si="83"/>
        <v/>
      </c>
      <c r="O879" s="8">
        <f t="shared" si="84"/>
        <v>45956</v>
      </c>
      <c r="P879" s="9" t="str">
        <f t="shared" ca="1" si="85"/>
        <v>ATRASADO</v>
      </c>
      <c r="Q879" s="558" t="s">
        <v>1556</v>
      </c>
      <c r="R879" s="555"/>
      <c r="S879" s="9" t="str">
        <f t="shared" si="88"/>
        <v/>
      </c>
    </row>
    <row r="880" spans="1:19" x14ac:dyDescent="0.3">
      <c r="A880" s="10">
        <v>876</v>
      </c>
      <c r="B880" s="561" t="s">
        <v>579</v>
      </c>
      <c r="C880" s="556" t="s">
        <v>2690</v>
      </c>
      <c r="D880" s="558" t="s">
        <v>2691</v>
      </c>
      <c r="E880" s="559">
        <v>32467</v>
      </c>
      <c r="F880" s="9">
        <f t="shared" ca="1" si="78"/>
        <v>37</v>
      </c>
      <c r="G880" s="560">
        <v>44336</v>
      </c>
      <c r="H880" s="558" t="s">
        <v>320</v>
      </c>
      <c r="I880" s="560">
        <v>44847</v>
      </c>
      <c r="J880" s="753" t="s">
        <v>271</v>
      </c>
      <c r="K880" s="4" t="str">
        <f t="shared" si="80"/>
        <v>I</v>
      </c>
      <c r="L880" s="7" t="str">
        <f t="shared" si="81"/>
        <v>G8</v>
      </c>
      <c r="M880" s="7" t="str">
        <f t="shared" si="82"/>
        <v>J1</v>
      </c>
      <c r="N880" s="62" t="str">
        <f t="shared" si="83"/>
        <v/>
      </c>
      <c r="O880" s="8">
        <f t="shared" si="84"/>
        <v>45943</v>
      </c>
      <c r="P880" s="9" t="str">
        <f t="shared" ca="1" si="85"/>
        <v>ATRASADO</v>
      </c>
      <c r="Q880" s="558" t="s">
        <v>1556</v>
      </c>
      <c r="R880" s="557"/>
      <c r="S880" s="9" t="str">
        <f t="shared" si="88"/>
        <v/>
      </c>
    </row>
    <row r="881" spans="1:19" x14ac:dyDescent="0.3">
      <c r="A881" s="10">
        <v>877</v>
      </c>
      <c r="B881" s="561" t="s">
        <v>579</v>
      </c>
      <c r="C881" s="556" t="s">
        <v>2692</v>
      </c>
      <c r="D881" s="558" t="s">
        <v>2693</v>
      </c>
      <c r="E881" s="559">
        <v>24625</v>
      </c>
      <c r="F881" s="9">
        <f t="shared" ca="1" si="78"/>
        <v>59</v>
      </c>
      <c r="G881" s="560">
        <v>43112</v>
      </c>
      <c r="H881" s="558" t="s">
        <v>275</v>
      </c>
      <c r="I881" s="560">
        <v>44843</v>
      </c>
      <c r="J881" s="753" t="s">
        <v>8</v>
      </c>
      <c r="K881" s="4" t="str">
        <f t="shared" si="80"/>
        <v>SI</v>
      </c>
      <c r="L881" s="7" t="str">
        <f t="shared" si="81"/>
        <v xml:space="preserve">N </v>
      </c>
      <c r="M881" s="7" t="str">
        <f t="shared" si="82"/>
        <v>RE</v>
      </c>
      <c r="N881" s="62" t="str">
        <f t="shared" si="83"/>
        <v>GI</v>
      </c>
      <c r="O881" s="8">
        <f t="shared" si="84"/>
        <v>45939</v>
      </c>
      <c r="P881" s="9" t="str">
        <f t="shared" ca="1" si="85"/>
        <v>ATRASADO</v>
      </c>
      <c r="Q881" s="558" t="s">
        <v>1556</v>
      </c>
      <c r="R881" s="555"/>
      <c r="S881" s="9" t="str">
        <f t="shared" si="88"/>
        <v/>
      </c>
    </row>
    <row r="882" spans="1:19" ht="15" customHeight="1" x14ac:dyDescent="0.3">
      <c r="A882" s="10">
        <v>878</v>
      </c>
      <c r="B882" s="561" t="s">
        <v>312</v>
      </c>
      <c r="C882" s="556" t="s">
        <v>2694</v>
      </c>
      <c r="D882" s="558" t="s">
        <v>2695</v>
      </c>
      <c r="E882" s="559">
        <v>23480</v>
      </c>
      <c r="F882" s="9">
        <f t="shared" ca="1" si="78"/>
        <v>62</v>
      </c>
      <c r="G882" s="558" t="s">
        <v>8</v>
      </c>
      <c r="H882" s="558" t="s">
        <v>340</v>
      </c>
      <c r="I882" s="560">
        <v>44852</v>
      </c>
      <c r="J882" s="753" t="s">
        <v>8</v>
      </c>
      <c r="K882" s="4" t="str">
        <f t="shared" si="80"/>
        <v>SI</v>
      </c>
      <c r="L882" s="7" t="str">
        <f t="shared" si="81"/>
        <v xml:space="preserve">N </v>
      </c>
      <c r="M882" s="7" t="str">
        <f t="shared" si="82"/>
        <v>RE</v>
      </c>
      <c r="N882" s="62" t="str">
        <f t="shared" si="83"/>
        <v>GI</v>
      </c>
      <c r="O882" s="8">
        <f t="shared" si="84"/>
        <v>45948</v>
      </c>
      <c r="P882" s="9" t="str">
        <f t="shared" ca="1" si="85"/>
        <v>ATRASADO</v>
      </c>
      <c r="Q882" s="558" t="s">
        <v>1556</v>
      </c>
      <c r="R882" s="557"/>
      <c r="S882" s="9" t="str">
        <f t="shared" si="88"/>
        <v/>
      </c>
    </row>
    <row r="883" spans="1:19" x14ac:dyDescent="0.3">
      <c r="A883" s="10">
        <v>879</v>
      </c>
      <c r="B883" s="561" t="s">
        <v>579</v>
      </c>
      <c r="C883" s="556" t="s">
        <v>2696</v>
      </c>
      <c r="D883" s="558" t="s">
        <v>2697</v>
      </c>
      <c r="E883" s="559">
        <v>29152</v>
      </c>
      <c r="F883" s="9">
        <f t="shared" ca="1" si="78"/>
        <v>46</v>
      </c>
      <c r="G883" s="560">
        <v>44151</v>
      </c>
      <c r="H883" s="558" t="s">
        <v>340</v>
      </c>
      <c r="I883" s="560">
        <v>44854</v>
      </c>
      <c r="J883" s="753" t="s">
        <v>8</v>
      </c>
      <c r="K883" s="4" t="str">
        <f t="shared" si="80"/>
        <v>SI</v>
      </c>
      <c r="L883" s="7" t="str">
        <f t="shared" si="81"/>
        <v xml:space="preserve">N </v>
      </c>
      <c r="M883" s="7" t="str">
        <f t="shared" si="82"/>
        <v>RE</v>
      </c>
      <c r="N883" s="62" t="str">
        <f t="shared" si="83"/>
        <v>GI</v>
      </c>
      <c r="O883" s="8">
        <f t="shared" si="84"/>
        <v>45950</v>
      </c>
      <c r="P883" s="9" t="str">
        <f t="shared" ca="1" si="85"/>
        <v>ATRASADO</v>
      </c>
      <c r="Q883" s="558" t="s">
        <v>1556</v>
      </c>
      <c r="R883" s="555"/>
      <c r="S883" s="9" t="str">
        <f t="shared" si="88"/>
        <v/>
      </c>
    </row>
    <row r="884" spans="1:19" x14ac:dyDescent="0.3">
      <c r="A884" s="10">
        <v>880</v>
      </c>
      <c r="B884" s="561" t="s">
        <v>579</v>
      </c>
      <c r="C884" s="556" t="s">
        <v>2698</v>
      </c>
      <c r="D884" s="558" t="s">
        <v>2699</v>
      </c>
      <c r="E884" s="559">
        <v>34251</v>
      </c>
      <c r="F884" s="9">
        <f t="shared" ca="1" si="78"/>
        <v>32</v>
      </c>
      <c r="G884" s="560">
        <v>43922</v>
      </c>
      <c r="H884" s="558" t="s">
        <v>271</v>
      </c>
      <c r="I884" s="560">
        <v>44835</v>
      </c>
      <c r="J884" s="753" t="s">
        <v>340</v>
      </c>
      <c r="K884" s="4" t="str">
        <f t="shared" si="80"/>
        <v>I</v>
      </c>
      <c r="L884" s="7" t="str">
        <f t="shared" si="81"/>
        <v>G8</v>
      </c>
      <c r="M884" s="7" t="str">
        <f t="shared" si="82"/>
        <v>S</v>
      </c>
      <c r="N884" s="62" t="str">
        <f t="shared" si="83"/>
        <v/>
      </c>
      <c r="O884" s="8">
        <f t="shared" si="84"/>
        <v>45200</v>
      </c>
      <c r="P884" s="9" t="str">
        <f t="shared" ca="1" si="85"/>
        <v>ATRASADO</v>
      </c>
      <c r="Q884" s="558" t="s">
        <v>1556</v>
      </c>
      <c r="R884" s="555"/>
      <c r="S884" s="9" t="str">
        <f t="shared" si="88"/>
        <v/>
      </c>
    </row>
    <row r="885" spans="1:19" x14ac:dyDescent="0.3">
      <c r="A885" s="10">
        <v>881</v>
      </c>
      <c r="B885" s="561" t="s">
        <v>579</v>
      </c>
      <c r="C885" s="556" t="s">
        <v>2700</v>
      </c>
      <c r="D885" s="558" t="s">
        <v>2701</v>
      </c>
      <c r="E885" s="559">
        <v>34367</v>
      </c>
      <c r="F885" s="9">
        <f t="shared" ca="1" si="78"/>
        <v>32</v>
      </c>
      <c r="G885" s="558" t="s">
        <v>8</v>
      </c>
      <c r="H885" s="558" t="s">
        <v>735</v>
      </c>
      <c r="I885" s="560">
        <v>44837</v>
      </c>
      <c r="J885" s="753" t="s">
        <v>271</v>
      </c>
      <c r="K885" s="4" t="str">
        <f t="shared" si="80"/>
        <v>I</v>
      </c>
      <c r="L885" s="7" t="str">
        <f t="shared" si="81"/>
        <v>G8</v>
      </c>
      <c r="M885" s="7" t="str">
        <f t="shared" si="82"/>
        <v>J1</v>
      </c>
      <c r="N885" s="62" t="str">
        <f t="shared" si="83"/>
        <v/>
      </c>
      <c r="O885" s="8">
        <f t="shared" si="84"/>
        <v>45933</v>
      </c>
      <c r="P885" s="9" t="str">
        <f t="shared" ca="1" si="85"/>
        <v>ATRASADO</v>
      </c>
      <c r="Q885" s="558" t="s">
        <v>1556</v>
      </c>
      <c r="R885" s="557"/>
      <c r="S885" s="9" t="str">
        <f t="shared" si="88"/>
        <v/>
      </c>
    </row>
    <row r="886" spans="1:19" x14ac:dyDescent="0.3">
      <c r="A886" s="10">
        <v>882</v>
      </c>
      <c r="B886" s="561" t="s">
        <v>579</v>
      </c>
      <c r="C886" s="556" t="s">
        <v>2702</v>
      </c>
      <c r="D886" s="558" t="s">
        <v>2703</v>
      </c>
      <c r="E886" s="559">
        <v>24378</v>
      </c>
      <c r="F886" s="9">
        <f t="shared" ca="1" si="78"/>
        <v>60</v>
      </c>
      <c r="G886" s="560">
        <v>44224</v>
      </c>
      <c r="H886" s="558" t="s">
        <v>275</v>
      </c>
      <c r="I886" s="560">
        <v>44857</v>
      </c>
      <c r="J886" s="753" t="s">
        <v>275</v>
      </c>
      <c r="K886" s="4" t="str">
        <f t="shared" si="80"/>
        <v>I</v>
      </c>
      <c r="L886" s="7" t="str">
        <f t="shared" si="81"/>
        <v>G8</v>
      </c>
      <c r="M886" s="7" t="str">
        <f t="shared" si="82"/>
        <v/>
      </c>
      <c r="N886" s="62" t="str">
        <f t="shared" si="83"/>
        <v/>
      </c>
      <c r="O886" s="8">
        <f t="shared" si="84"/>
        <v>45953</v>
      </c>
      <c r="P886" s="9" t="str">
        <f t="shared" ca="1" si="85"/>
        <v>ATRASADO</v>
      </c>
      <c r="Q886" s="558" t="s">
        <v>1556</v>
      </c>
      <c r="R886" s="555"/>
      <c r="S886" s="9" t="str">
        <f t="shared" si="88"/>
        <v/>
      </c>
    </row>
    <row r="887" spans="1:19" x14ac:dyDescent="0.3">
      <c r="A887" s="10">
        <v>883</v>
      </c>
      <c r="B887" s="561" t="s">
        <v>75</v>
      </c>
      <c r="C887" s="556" t="s">
        <v>2704</v>
      </c>
      <c r="D887" s="558" t="s">
        <v>2705</v>
      </c>
      <c r="E887" s="559">
        <v>33918</v>
      </c>
      <c r="F887" s="9">
        <f t="shared" ca="1" si="78"/>
        <v>33</v>
      </c>
      <c r="G887" s="560">
        <v>43639</v>
      </c>
      <c r="H887" s="558" t="s">
        <v>275</v>
      </c>
      <c r="I887" s="560">
        <v>44856</v>
      </c>
      <c r="J887" s="753" t="s">
        <v>8</v>
      </c>
      <c r="K887" s="4" t="str">
        <f t="shared" si="80"/>
        <v>SI</v>
      </c>
      <c r="L887" s="7" t="str">
        <f t="shared" si="81"/>
        <v xml:space="preserve">N </v>
      </c>
      <c r="M887" s="7" t="str">
        <f t="shared" si="82"/>
        <v>RE</v>
      </c>
      <c r="N887" s="62" t="str">
        <f t="shared" si="83"/>
        <v>GI</v>
      </c>
      <c r="O887" s="8">
        <f t="shared" si="84"/>
        <v>45952</v>
      </c>
      <c r="P887" s="9" t="str">
        <f t="shared" ca="1" si="85"/>
        <v>ATRASADO</v>
      </c>
      <c r="Q887" s="558" t="s">
        <v>1556</v>
      </c>
      <c r="R887" s="555"/>
      <c r="S887" s="9" t="str">
        <f t="shared" si="88"/>
        <v/>
      </c>
    </row>
    <row r="888" spans="1:19" x14ac:dyDescent="0.3">
      <c r="A888" s="10">
        <v>884</v>
      </c>
      <c r="B888" s="568" t="s">
        <v>111</v>
      </c>
      <c r="C888" s="563" t="s">
        <v>2706</v>
      </c>
      <c r="D888" s="565" t="s">
        <v>2707</v>
      </c>
      <c r="E888" s="566">
        <v>29958</v>
      </c>
      <c r="F888" s="9">
        <f t="shared" ca="1" si="78"/>
        <v>44</v>
      </c>
      <c r="G888" s="567">
        <v>44084</v>
      </c>
      <c r="H888" s="565" t="s">
        <v>275</v>
      </c>
      <c r="I888" s="567">
        <v>44840</v>
      </c>
      <c r="J888" s="753" t="s">
        <v>291</v>
      </c>
      <c r="K888" s="4" t="str">
        <f t="shared" si="80"/>
        <v>I</v>
      </c>
      <c r="L888" s="7" t="str">
        <f t="shared" si="81"/>
        <v>G8</v>
      </c>
      <c r="M888" s="7" t="str">
        <f t="shared" si="82"/>
        <v>J5</v>
      </c>
      <c r="N888" s="62" t="str">
        <f t="shared" si="83"/>
        <v/>
      </c>
      <c r="O888" s="8">
        <f t="shared" si="84"/>
        <v>45936</v>
      </c>
      <c r="P888" s="9" t="str">
        <f t="shared" ca="1" si="85"/>
        <v>ATRASADO</v>
      </c>
      <c r="Q888" s="565" t="s">
        <v>1556</v>
      </c>
      <c r="R888" s="562"/>
      <c r="S888" s="9" t="str">
        <f t="shared" si="88"/>
        <v>CANDIDA</v>
      </c>
    </row>
    <row r="889" spans="1:19" x14ac:dyDescent="0.3">
      <c r="A889" s="10">
        <v>885</v>
      </c>
      <c r="B889" s="568" t="s">
        <v>45</v>
      </c>
      <c r="C889" s="563" t="s">
        <v>2708</v>
      </c>
      <c r="D889" s="565" t="s">
        <v>2709</v>
      </c>
      <c r="E889" s="566">
        <v>26256</v>
      </c>
      <c r="F889" s="9">
        <f t="shared" ca="1" si="78"/>
        <v>54</v>
      </c>
      <c r="G889" s="567">
        <v>44177</v>
      </c>
      <c r="H889" s="565" t="s">
        <v>275</v>
      </c>
      <c r="I889" s="567">
        <v>44859</v>
      </c>
      <c r="J889" s="753" t="s">
        <v>271</v>
      </c>
      <c r="K889" s="4" t="str">
        <f t="shared" si="80"/>
        <v>I</v>
      </c>
      <c r="L889" s="7" t="str">
        <f t="shared" si="81"/>
        <v>G8</v>
      </c>
      <c r="M889" s="7" t="str">
        <f t="shared" si="82"/>
        <v>J1</v>
      </c>
      <c r="N889" s="62" t="str">
        <f t="shared" si="83"/>
        <v/>
      </c>
      <c r="O889" s="8">
        <f t="shared" si="84"/>
        <v>45955</v>
      </c>
      <c r="P889" s="9" t="str">
        <f t="shared" ca="1" si="85"/>
        <v>ATRASADO</v>
      </c>
      <c r="Q889" s="565" t="s">
        <v>1556</v>
      </c>
      <c r="R889" s="562"/>
      <c r="S889" s="9" t="str">
        <f t="shared" si="88"/>
        <v/>
      </c>
    </row>
    <row r="890" spans="1:19" x14ac:dyDescent="0.3">
      <c r="A890" s="10">
        <v>886</v>
      </c>
      <c r="B890" s="568" t="s">
        <v>111</v>
      </c>
      <c r="C890" s="563" t="s">
        <v>2710</v>
      </c>
      <c r="D890" s="565" t="s">
        <v>2711</v>
      </c>
      <c r="E890" s="566">
        <v>35377</v>
      </c>
      <c r="F890" s="9">
        <f t="shared" ca="1" si="78"/>
        <v>29</v>
      </c>
      <c r="G890" s="567">
        <v>43886</v>
      </c>
      <c r="H890" s="565" t="s">
        <v>8</v>
      </c>
      <c r="I890" s="567">
        <v>44836</v>
      </c>
      <c r="J890" s="753" t="s">
        <v>271</v>
      </c>
      <c r="K890" s="4" t="str">
        <f t="shared" si="80"/>
        <v>I</v>
      </c>
      <c r="L890" s="7" t="str">
        <f t="shared" si="81"/>
        <v>G8</v>
      </c>
      <c r="M890" s="7" t="str">
        <f t="shared" si="82"/>
        <v>J1</v>
      </c>
      <c r="N890" s="62" t="str">
        <f t="shared" si="83"/>
        <v/>
      </c>
      <c r="O890" s="8">
        <f t="shared" si="84"/>
        <v>45932</v>
      </c>
      <c r="P890" s="9" t="str">
        <f t="shared" ca="1" si="85"/>
        <v>ATRASADO</v>
      </c>
      <c r="Q890" s="565" t="s">
        <v>1556</v>
      </c>
      <c r="R890" s="562"/>
      <c r="S890" s="9" t="str">
        <f t="shared" si="88"/>
        <v/>
      </c>
    </row>
    <row r="891" spans="1:19" x14ac:dyDescent="0.3">
      <c r="A891" s="10">
        <v>887</v>
      </c>
      <c r="B891" s="568" t="s">
        <v>111</v>
      </c>
      <c r="C891" s="563" t="s">
        <v>2712</v>
      </c>
      <c r="D891" s="565" t="s">
        <v>2713</v>
      </c>
      <c r="E891" s="566">
        <v>22936</v>
      </c>
      <c r="F891" s="9">
        <f t="shared" ca="1" si="78"/>
        <v>63</v>
      </c>
      <c r="G891" s="567">
        <v>44038</v>
      </c>
      <c r="H891" s="565" t="s">
        <v>340</v>
      </c>
      <c r="I891" s="567">
        <v>44850</v>
      </c>
      <c r="J891" s="753" t="s">
        <v>320</v>
      </c>
      <c r="K891" s="4" t="str">
        <f t="shared" si="80"/>
        <v>I</v>
      </c>
      <c r="L891" s="7" t="str">
        <f t="shared" si="81"/>
        <v>G8</v>
      </c>
      <c r="M891" s="7" t="str">
        <f t="shared" si="82"/>
        <v>J1</v>
      </c>
      <c r="N891" s="62" t="str">
        <f t="shared" si="83"/>
        <v>S</v>
      </c>
      <c r="O891" s="8">
        <f t="shared" si="84"/>
        <v>45215</v>
      </c>
      <c r="P891" s="9" t="str">
        <f t="shared" ca="1" si="85"/>
        <v>ATRASADO</v>
      </c>
      <c r="Q891" s="565" t="s">
        <v>1556</v>
      </c>
      <c r="R891" s="564"/>
      <c r="S891" s="9" t="str">
        <f t="shared" si="88"/>
        <v/>
      </c>
    </row>
    <row r="892" spans="1:19" x14ac:dyDescent="0.3">
      <c r="A892" s="10">
        <v>888</v>
      </c>
      <c r="B892" s="568" t="s">
        <v>111</v>
      </c>
      <c r="C892" s="563" t="s">
        <v>2714</v>
      </c>
      <c r="D892" s="565" t="s">
        <v>2715</v>
      </c>
      <c r="E892" s="566">
        <v>36016</v>
      </c>
      <c r="F892" s="9">
        <f t="shared" ca="1" si="78"/>
        <v>28</v>
      </c>
      <c r="G892" s="567">
        <v>43201</v>
      </c>
      <c r="H892" s="565" t="s">
        <v>275</v>
      </c>
      <c r="I892" s="567">
        <v>44856</v>
      </c>
      <c r="J892" s="753" t="s">
        <v>275</v>
      </c>
      <c r="K892" s="4" t="str">
        <f t="shared" si="80"/>
        <v>I</v>
      </c>
      <c r="L892" s="7" t="str">
        <f t="shared" si="81"/>
        <v>G8</v>
      </c>
      <c r="M892" s="7" t="str">
        <f t="shared" si="82"/>
        <v/>
      </c>
      <c r="N892" s="62" t="str">
        <f t="shared" si="83"/>
        <v/>
      </c>
      <c r="O892" s="8">
        <f t="shared" si="84"/>
        <v>45952</v>
      </c>
      <c r="P892" s="9" t="str">
        <f t="shared" ca="1" si="85"/>
        <v>ATRASADO</v>
      </c>
      <c r="Q892" s="565" t="s">
        <v>1556</v>
      </c>
      <c r="R892" s="562"/>
      <c r="S892" s="9" t="str">
        <f t="shared" si="88"/>
        <v/>
      </c>
    </row>
    <row r="893" spans="1:19" x14ac:dyDescent="0.3">
      <c r="A893" s="10">
        <v>889</v>
      </c>
      <c r="B893" s="568" t="s">
        <v>111</v>
      </c>
      <c r="C893" s="563" t="s">
        <v>2716</v>
      </c>
      <c r="D893" s="565" t="s">
        <v>2717</v>
      </c>
      <c r="E893" s="566">
        <v>33519</v>
      </c>
      <c r="F893" s="9">
        <f t="shared" ca="1" si="78"/>
        <v>34</v>
      </c>
      <c r="G893" s="567">
        <v>44492</v>
      </c>
      <c r="H893" s="565" t="s">
        <v>324</v>
      </c>
      <c r="I893" s="567">
        <v>44842</v>
      </c>
      <c r="J893" s="753" t="s">
        <v>271</v>
      </c>
      <c r="K893" s="4" t="str">
        <f t="shared" si="80"/>
        <v>I</v>
      </c>
      <c r="L893" s="7" t="str">
        <f t="shared" si="81"/>
        <v>G8</v>
      </c>
      <c r="M893" s="7" t="str">
        <f t="shared" si="82"/>
        <v>J1</v>
      </c>
      <c r="N893" s="62" t="str">
        <f t="shared" si="83"/>
        <v/>
      </c>
      <c r="O893" s="8">
        <f t="shared" si="84"/>
        <v>45938</v>
      </c>
      <c r="P893" s="9" t="str">
        <f t="shared" ca="1" si="85"/>
        <v>ATRASADO</v>
      </c>
      <c r="Q893" s="565" t="s">
        <v>1556</v>
      </c>
      <c r="R893" s="562"/>
      <c r="S893" s="9" t="str">
        <f t="shared" si="88"/>
        <v/>
      </c>
    </row>
    <row r="894" spans="1:19" x14ac:dyDescent="0.3">
      <c r="A894" s="10">
        <v>890</v>
      </c>
      <c r="B894" s="568" t="s">
        <v>111</v>
      </c>
      <c r="C894" s="563" t="s">
        <v>2718</v>
      </c>
      <c r="D894" s="565" t="s">
        <v>2719</v>
      </c>
      <c r="E894" s="566">
        <v>26808</v>
      </c>
      <c r="F894" s="9">
        <f t="shared" ca="1" si="78"/>
        <v>53</v>
      </c>
      <c r="G894" s="567">
        <v>44233</v>
      </c>
      <c r="H894" s="565" t="s">
        <v>275</v>
      </c>
      <c r="I894" s="567">
        <v>44846</v>
      </c>
      <c r="J894" s="753" t="s">
        <v>275</v>
      </c>
      <c r="K894" s="4" t="str">
        <f t="shared" si="80"/>
        <v>I</v>
      </c>
      <c r="L894" s="7" t="str">
        <f t="shared" si="81"/>
        <v>G8</v>
      </c>
      <c r="M894" s="7" t="str">
        <f t="shared" si="82"/>
        <v/>
      </c>
      <c r="N894" s="62" t="str">
        <f t="shared" si="83"/>
        <v/>
      </c>
      <c r="O894" s="8">
        <f t="shared" si="84"/>
        <v>45942</v>
      </c>
      <c r="P894" s="9" t="str">
        <f t="shared" ca="1" si="85"/>
        <v>ATRASADO</v>
      </c>
      <c r="Q894" s="565" t="s">
        <v>1556</v>
      </c>
      <c r="R894" s="562"/>
      <c r="S894" s="9" t="str">
        <f t="shared" si="88"/>
        <v/>
      </c>
    </row>
    <row r="895" spans="1:19" ht="15" customHeight="1" x14ac:dyDescent="0.3">
      <c r="A895" s="10">
        <v>891</v>
      </c>
      <c r="B895" s="577" t="s">
        <v>111</v>
      </c>
      <c r="C895" s="572" t="s">
        <v>2720</v>
      </c>
      <c r="D895" s="574" t="s">
        <v>2721</v>
      </c>
      <c r="E895" s="575">
        <v>27761</v>
      </c>
      <c r="F895" s="9">
        <f t="shared" ca="1" si="78"/>
        <v>50</v>
      </c>
      <c r="G895" s="576">
        <v>44096</v>
      </c>
      <c r="H895" s="574" t="s">
        <v>271</v>
      </c>
      <c r="I895" s="576">
        <v>44837</v>
      </c>
      <c r="J895" s="753" t="s">
        <v>8</v>
      </c>
      <c r="K895" s="4" t="str">
        <f t="shared" si="80"/>
        <v>SI</v>
      </c>
      <c r="L895" s="7" t="str">
        <f t="shared" si="81"/>
        <v xml:space="preserve">N </v>
      </c>
      <c r="M895" s="7" t="str">
        <f t="shared" si="82"/>
        <v>RE</v>
      </c>
      <c r="N895" s="62" t="str">
        <f t="shared" si="83"/>
        <v>GI</v>
      </c>
      <c r="O895" s="8">
        <f t="shared" si="84"/>
        <v>45933</v>
      </c>
      <c r="P895" s="9" t="str">
        <f t="shared" ca="1" si="85"/>
        <v>ATRASADO</v>
      </c>
      <c r="Q895" s="574" t="s">
        <v>1556</v>
      </c>
      <c r="R895" s="573"/>
      <c r="S895" s="9" t="str">
        <f t="shared" si="88"/>
        <v/>
      </c>
    </row>
    <row r="896" spans="1:19" x14ac:dyDescent="0.3">
      <c r="A896" s="10">
        <v>892</v>
      </c>
      <c r="B896" s="577" t="s">
        <v>312</v>
      </c>
      <c r="C896" s="572" t="s">
        <v>2722</v>
      </c>
      <c r="D896" s="574" t="s">
        <v>2723</v>
      </c>
      <c r="E896" s="575">
        <v>33622</v>
      </c>
      <c r="F896" s="9">
        <f t="shared" ca="1" si="78"/>
        <v>34</v>
      </c>
      <c r="G896" s="576">
        <v>43209</v>
      </c>
      <c r="H896" s="574" t="s">
        <v>8</v>
      </c>
      <c r="I896" s="576">
        <v>44857</v>
      </c>
      <c r="J896" s="753" t="s">
        <v>8</v>
      </c>
      <c r="K896" s="4" t="str">
        <f t="shared" si="80"/>
        <v>SI</v>
      </c>
      <c r="L896" s="7" t="str">
        <f t="shared" si="81"/>
        <v xml:space="preserve">N </v>
      </c>
      <c r="M896" s="7" t="str">
        <f t="shared" si="82"/>
        <v>RE</v>
      </c>
      <c r="N896" s="62" t="str">
        <f t="shared" si="83"/>
        <v>GI</v>
      </c>
      <c r="O896" s="8">
        <f t="shared" si="84"/>
        <v>45953</v>
      </c>
      <c r="P896" s="9" t="str">
        <f t="shared" ca="1" si="85"/>
        <v>ATRASADO</v>
      </c>
      <c r="Q896" s="574" t="s">
        <v>1556</v>
      </c>
      <c r="R896" s="571"/>
      <c r="S896" s="9" t="str">
        <f t="shared" si="88"/>
        <v/>
      </c>
    </row>
    <row r="897" spans="1:19" ht="28.8" x14ac:dyDescent="0.3">
      <c r="A897" s="10">
        <v>893</v>
      </c>
      <c r="B897" s="577" t="s">
        <v>111</v>
      </c>
      <c r="C897" s="572" t="s">
        <v>2724</v>
      </c>
      <c r="D897" s="574" t="s">
        <v>2725</v>
      </c>
      <c r="E897" s="575">
        <v>21697</v>
      </c>
      <c r="F897" s="9">
        <f t="shared" ca="1" si="78"/>
        <v>67</v>
      </c>
      <c r="G897" s="576">
        <v>44301</v>
      </c>
      <c r="H897" s="574" t="s">
        <v>271</v>
      </c>
      <c r="I897" s="576">
        <v>44865</v>
      </c>
      <c r="J897" s="753" t="s">
        <v>20</v>
      </c>
      <c r="K897" s="4" t="str">
        <f t="shared" si="80"/>
        <v>RX</v>
      </c>
      <c r="L897" s="7" t="str">
        <f t="shared" si="81"/>
        <v xml:space="preserve"> C</v>
      </c>
      <c r="M897" s="7" t="str">
        <f t="shared" si="82"/>
        <v>OM</v>
      </c>
      <c r="N897" s="62" t="str">
        <f t="shared" si="83"/>
        <v xml:space="preserve">P </v>
      </c>
      <c r="O897" s="8">
        <f t="shared" si="84"/>
        <v>45961</v>
      </c>
      <c r="P897" s="9" t="str">
        <f t="shared" ca="1" si="85"/>
        <v>ATRASADO</v>
      </c>
      <c r="Q897" s="574" t="s">
        <v>1556</v>
      </c>
      <c r="R897" s="571"/>
      <c r="S897" s="9" t="str">
        <f t="shared" si="88"/>
        <v/>
      </c>
    </row>
    <row r="898" spans="1:19" x14ac:dyDescent="0.3">
      <c r="A898" s="10">
        <v>894</v>
      </c>
      <c r="B898" s="577" t="s">
        <v>111</v>
      </c>
      <c r="C898" s="572" t="s">
        <v>2726</v>
      </c>
      <c r="D898" s="574" t="s">
        <v>2727</v>
      </c>
      <c r="E898" s="575">
        <v>28039</v>
      </c>
      <c r="F898" s="9">
        <f t="shared" ca="1" si="78"/>
        <v>49</v>
      </c>
      <c r="G898" s="576">
        <v>43792</v>
      </c>
      <c r="H898" s="574" t="s">
        <v>271</v>
      </c>
      <c r="I898" s="576">
        <v>44852</v>
      </c>
      <c r="J898" s="753" t="s">
        <v>271</v>
      </c>
      <c r="K898" s="4" t="str">
        <f t="shared" si="80"/>
        <v>I</v>
      </c>
      <c r="L898" s="7" t="str">
        <f t="shared" si="81"/>
        <v>G8</v>
      </c>
      <c r="M898" s="7" t="str">
        <f t="shared" si="82"/>
        <v>J1</v>
      </c>
      <c r="N898" s="62" t="str">
        <f t="shared" si="83"/>
        <v/>
      </c>
      <c r="O898" s="8">
        <f t="shared" si="84"/>
        <v>45948</v>
      </c>
      <c r="P898" s="9" t="str">
        <f t="shared" ca="1" si="85"/>
        <v>ATRASADO</v>
      </c>
      <c r="Q898" s="574" t="s">
        <v>1556</v>
      </c>
      <c r="R898" s="571"/>
      <c r="S898" s="9" t="str">
        <f t="shared" si="88"/>
        <v/>
      </c>
    </row>
    <row r="899" spans="1:19" x14ac:dyDescent="0.3">
      <c r="A899" s="10">
        <v>895</v>
      </c>
      <c r="B899" s="577" t="s">
        <v>111</v>
      </c>
      <c r="C899" s="572" t="s">
        <v>2728</v>
      </c>
      <c r="D899" s="574" t="s">
        <v>2729</v>
      </c>
      <c r="E899" s="575">
        <v>22800</v>
      </c>
      <c r="F899" s="9">
        <f t="shared" ca="1" si="78"/>
        <v>64</v>
      </c>
      <c r="G899" s="576">
        <v>43740</v>
      </c>
      <c r="H899" s="574" t="s">
        <v>271</v>
      </c>
      <c r="I899" s="576">
        <v>44844</v>
      </c>
      <c r="J899" s="753" t="s">
        <v>275</v>
      </c>
      <c r="K899" s="4" t="str">
        <f t="shared" si="80"/>
        <v>I</v>
      </c>
      <c r="L899" s="7" t="str">
        <f t="shared" si="81"/>
        <v>G8</v>
      </c>
      <c r="M899" s="7" t="str">
        <f t="shared" si="82"/>
        <v/>
      </c>
      <c r="N899" s="62" t="str">
        <f t="shared" si="83"/>
        <v/>
      </c>
      <c r="O899" s="8">
        <f t="shared" si="84"/>
        <v>45940</v>
      </c>
      <c r="P899" s="9" t="str">
        <f t="shared" ca="1" si="85"/>
        <v>ATRASADO</v>
      </c>
      <c r="Q899" s="574" t="s">
        <v>1556</v>
      </c>
      <c r="R899" s="571"/>
      <c r="S899" s="9" t="str">
        <f t="shared" si="88"/>
        <v/>
      </c>
    </row>
    <row r="900" spans="1:19" x14ac:dyDescent="0.3">
      <c r="A900" s="10">
        <v>896</v>
      </c>
      <c r="B900" s="577" t="s">
        <v>111</v>
      </c>
      <c r="C900" s="572" t="s">
        <v>2730</v>
      </c>
      <c r="D900" s="574" t="s">
        <v>2731</v>
      </c>
      <c r="E900" s="575">
        <v>26130</v>
      </c>
      <c r="F900" s="9">
        <f t="shared" ca="1" si="78"/>
        <v>55</v>
      </c>
      <c r="G900" s="576">
        <v>43356</v>
      </c>
      <c r="H900" s="574" t="s">
        <v>271</v>
      </c>
      <c r="I900" s="576">
        <v>44851</v>
      </c>
      <c r="J900" s="753" t="s">
        <v>271</v>
      </c>
      <c r="K900" s="4" t="str">
        <f t="shared" si="80"/>
        <v>I</v>
      </c>
      <c r="L900" s="7" t="str">
        <f t="shared" si="81"/>
        <v>G8</v>
      </c>
      <c r="M900" s="7" t="str">
        <f t="shared" si="82"/>
        <v>J1</v>
      </c>
      <c r="N900" s="62" t="str">
        <f t="shared" si="83"/>
        <v/>
      </c>
      <c r="O900" s="8">
        <f t="shared" si="84"/>
        <v>45947</v>
      </c>
      <c r="P900" s="9" t="str">
        <f t="shared" ca="1" si="85"/>
        <v>ATRASADO</v>
      </c>
      <c r="Q900" s="574" t="s">
        <v>1556</v>
      </c>
      <c r="R900" s="571"/>
      <c r="S900" s="9" t="str">
        <f t="shared" si="88"/>
        <v/>
      </c>
    </row>
    <row r="901" spans="1:19" x14ac:dyDescent="0.3">
      <c r="A901" s="10">
        <v>897</v>
      </c>
      <c r="B901" s="577" t="s">
        <v>111</v>
      </c>
      <c r="C901" s="572" t="s">
        <v>2732</v>
      </c>
      <c r="D901" s="574" t="s">
        <v>2733</v>
      </c>
      <c r="E901" s="575">
        <v>27106</v>
      </c>
      <c r="F901" s="9">
        <f t="shared" ca="1" si="78"/>
        <v>52</v>
      </c>
      <c r="G901" s="576">
        <v>43305</v>
      </c>
      <c r="H901" s="574" t="s">
        <v>275</v>
      </c>
      <c r="I901" s="576">
        <v>44844</v>
      </c>
      <c r="J901" s="753" t="s">
        <v>271</v>
      </c>
      <c r="K901" s="4" t="str">
        <f t="shared" si="80"/>
        <v>I</v>
      </c>
      <c r="L901" s="7" t="str">
        <f t="shared" si="81"/>
        <v>G8</v>
      </c>
      <c r="M901" s="7" t="str">
        <f t="shared" si="82"/>
        <v>J1</v>
      </c>
      <c r="N901" s="62" t="str">
        <f t="shared" si="83"/>
        <v/>
      </c>
      <c r="O901" s="8">
        <f t="shared" si="84"/>
        <v>45940</v>
      </c>
      <c r="P901" s="9" t="str">
        <f t="shared" ca="1" si="85"/>
        <v>ATRASADO</v>
      </c>
      <c r="Q901" s="574" t="s">
        <v>1556</v>
      </c>
      <c r="R901" s="571"/>
      <c r="S901" s="9" t="str">
        <f t="shared" si="88"/>
        <v/>
      </c>
    </row>
    <row r="902" spans="1:19" x14ac:dyDescent="0.3">
      <c r="A902" s="10">
        <v>898</v>
      </c>
      <c r="B902" s="577" t="s">
        <v>111</v>
      </c>
      <c r="C902" s="572" t="s">
        <v>2734</v>
      </c>
      <c r="D902" s="574" t="s">
        <v>2735</v>
      </c>
      <c r="E902" s="575">
        <v>32017</v>
      </c>
      <c r="F902" s="9">
        <f t="shared" ca="1" si="78"/>
        <v>39</v>
      </c>
      <c r="G902" s="576">
        <v>43935</v>
      </c>
      <c r="H902" s="574" t="s">
        <v>3543</v>
      </c>
      <c r="I902" s="576">
        <v>44860</v>
      </c>
      <c r="J902" s="753" t="s">
        <v>275</v>
      </c>
      <c r="K902" s="4" t="str">
        <f t="shared" si="80"/>
        <v>I</v>
      </c>
      <c r="L902" s="7" t="str">
        <f t="shared" si="81"/>
        <v>G8</v>
      </c>
      <c r="M902" s="7" t="str">
        <f t="shared" si="82"/>
        <v/>
      </c>
      <c r="N902" s="62" t="str">
        <f t="shared" si="83"/>
        <v/>
      </c>
      <c r="O902" s="8">
        <f t="shared" si="84"/>
        <v>45956</v>
      </c>
      <c r="P902" s="9" t="str">
        <f t="shared" ca="1" si="85"/>
        <v>ATRASADO</v>
      </c>
      <c r="Q902" s="574" t="s">
        <v>1556</v>
      </c>
      <c r="R902" s="573"/>
      <c r="S902" s="9" t="str">
        <f t="shared" si="88"/>
        <v/>
      </c>
    </row>
    <row r="903" spans="1:19" x14ac:dyDescent="0.3">
      <c r="A903" s="10">
        <v>899</v>
      </c>
      <c r="B903" s="577" t="s">
        <v>111</v>
      </c>
      <c r="C903" s="572" t="s">
        <v>2736</v>
      </c>
      <c r="D903" s="574" t="s">
        <v>2737</v>
      </c>
      <c r="E903" s="575">
        <v>25032</v>
      </c>
      <c r="F903" s="9">
        <f t="shared" ca="1" si="78"/>
        <v>58</v>
      </c>
      <c r="G903" s="576">
        <v>44292</v>
      </c>
      <c r="H903" s="574" t="s">
        <v>8</v>
      </c>
      <c r="I903" s="576">
        <v>44842</v>
      </c>
      <c r="J903" s="753" t="s">
        <v>275</v>
      </c>
      <c r="K903" s="4" t="str">
        <f t="shared" si="80"/>
        <v>I</v>
      </c>
      <c r="L903" s="7" t="str">
        <f t="shared" si="81"/>
        <v>G8</v>
      </c>
      <c r="M903" s="7" t="str">
        <f t="shared" si="82"/>
        <v/>
      </c>
      <c r="N903" s="62" t="str">
        <f t="shared" si="83"/>
        <v/>
      </c>
      <c r="O903" s="8">
        <f t="shared" si="84"/>
        <v>45938</v>
      </c>
      <c r="P903" s="9" t="str">
        <f t="shared" ca="1" si="85"/>
        <v>ATRASADO</v>
      </c>
      <c r="Q903" s="574" t="s">
        <v>1556</v>
      </c>
      <c r="R903" s="571"/>
      <c r="S903" s="9" t="str">
        <f t="shared" si="88"/>
        <v/>
      </c>
    </row>
    <row r="904" spans="1:19" x14ac:dyDescent="0.3">
      <c r="A904" s="10">
        <v>900</v>
      </c>
      <c r="B904" s="577" t="s">
        <v>579</v>
      </c>
      <c r="C904" s="572" t="s">
        <v>2738</v>
      </c>
      <c r="D904" s="574" t="s">
        <v>2739</v>
      </c>
      <c r="E904" s="575">
        <v>30105</v>
      </c>
      <c r="F904" s="9">
        <f t="shared" ca="1" si="78"/>
        <v>44</v>
      </c>
      <c r="G904" s="576">
        <v>44318</v>
      </c>
      <c r="H904" s="574" t="s">
        <v>271</v>
      </c>
      <c r="I904" s="576">
        <v>44836</v>
      </c>
      <c r="J904" s="753" t="s">
        <v>8</v>
      </c>
      <c r="K904" s="4" t="str">
        <f t="shared" si="80"/>
        <v>SI</v>
      </c>
      <c r="L904" s="7" t="str">
        <f t="shared" si="81"/>
        <v xml:space="preserve">N </v>
      </c>
      <c r="M904" s="7" t="str">
        <f t="shared" si="82"/>
        <v>RE</v>
      </c>
      <c r="N904" s="62" t="str">
        <f t="shared" si="83"/>
        <v>GI</v>
      </c>
      <c r="O904" s="8">
        <f t="shared" si="84"/>
        <v>45932</v>
      </c>
      <c r="P904" s="9" t="str">
        <f t="shared" ca="1" si="85"/>
        <v>ATRASADO</v>
      </c>
      <c r="Q904" s="574" t="s">
        <v>1556</v>
      </c>
      <c r="R904" s="571"/>
      <c r="S904" s="9" t="str">
        <f t="shared" si="88"/>
        <v/>
      </c>
    </row>
    <row r="905" spans="1:19" x14ac:dyDescent="0.3">
      <c r="A905" s="10">
        <v>901</v>
      </c>
      <c r="B905" s="577" t="s">
        <v>111</v>
      </c>
      <c r="C905" s="572" t="s">
        <v>2740</v>
      </c>
      <c r="D905" s="574" t="s">
        <v>2741</v>
      </c>
      <c r="E905" s="575">
        <v>30948</v>
      </c>
      <c r="F905" s="9">
        <f t="shared" ca="1" si="78"/>
        <v>42</v>
      </c>
      <c r="G905" s="576">
        <v>43477</v>
      </c>
      <c r="H905" s="574" t="s">
        <v>275</v>
      </c>
      <c r="I905" s="576">
        <v>44861</v>
      </c>
      <c r="J905" s="753" t="s">
        <v>8</v>
      </c>
      <c r="K905" s="4" t="str">
        <f t="shared" si="80"/>
        <v>SI</v>
      </c>
      <c r="L905" s="7" t="str">
        <f t="shared" si="81"/>
        <v xml:space="preserve">N </v>
      </c>
      <c r="M905" s="7" t="str">
        <f t="shared" si="82"/>
        <v>RE</v>
      </c>
      <c r="N905" s="62" t="str">
        <f t="shared" si="83"/>
        <v>GI</v>
      </c>
      <c r="O905" s="8">
        <f t="shared" si="84"/>
        <v>45957</v>
      </c>
      <c r="P905" s="9" t="str">
        <f t="shared" ca="1" si="85"/>
        <v>ATRASADO</v>
      </c>
      <c r="Q905" s="574" t="s">
        <v>1556</v>
      </c>
      <c r="R905" s="571"/>
      <c r="S905" s="9" t="str">
        <f t="shared" si="88"/>
        <v/>
      </c>
    </row>
    <row r="906" spans="1:19" x14ac:dyDescent="0.3">
      <c r="A906" s="10">
        <v>902</v>
      </c>
      <c r="B906" s="592" t="s">
        <v>78</v>
      </c>
      <c r="C906" s="588" t="s">
        <v>2742</v>
      </c>
      <c r="D906" s="589" t="s">
        <v>2743</v>
      </c>
      <c r="E906" s="590">
        <v>21421</v>
      </c>
      <c r="F906" s="9">
        <f t="shared" ca="1" si="78"/>
        <v>68</v>
      </c>
      <c r="G906" s="591">
        <v>44108</v>
      </c>
      <c r="H906" s="589" t="s">
        <v>8</v>
      </c>
      <c r="I906" s="591">
        <v>44860</v>
      </c>
      <c r="J906" s="753" t="s">
        <v>275</v>
      </c>
      <c r="K906" s="4" t="str">
        <f t="shared" si="80"/>
        <v>I</v>
      </c>
      <c r="L906" s="7" t="str">
        <f t="shared" si="81"/>
        <v>G8</v>
      </c>
      <c r="M906" s="7" t="str">
        <f t="shared" si="82"/>
        <v/>
      </c>
      <c r="N906" s="62" t="str">
        <f t="shared" si="83"/>
        <v/>
      </c>
      <c r="O906" s="8">
        <f t="shared" si="84"/>
        <v>45956</v>
      </c>
      <c r="P906" s="9" t="str">
        <f t="shared" ca="1" si="85"/>
        <v>ATRASADO</v>
      </c>
      <c r="Q906" s="589" t="s">
        <v>1556</v>
      </c>
      <c r="R906" s="578"/>
      <c r="S906" s="9" t="str">
        <f t="shared" si="88"/>
        <v/>
      </c>
    </row>
    <row r="907" spans="1:19" x14ac:dyDescent="0.3">
      <c r="A907" s="10">
        <v>903</v>
      </c>
      <c r="B907" s="592" t="s">
        <v>78</v>
      </c>
      <c r="C907" s="588" t="s">
        <v>2744</v>
      </c>
      <c r="D907" s="589" t="s">
        <v>2745</v>
      </c>
      <c r="E907" s="590">
        <v>28605</v>
      </c>
      <c r="F907" s="9">
        <f t="shared" ca="1" si="78"/>
        <v>48</v>
      </c>
      <c r="G907" s="591">
        <v>43938</v>
      </c>
      <c r="H907" s="589" t="s">
        <v>275</v>
      </c>
      <c r="I907" s="591">
        <v>44860</v>
      </c>
      <c r="J907" s="578" t="s">
        <v>275</v>
      </c>
      <c r="K907" s="4" t="str">
        <f t="shared" si="80"/>
        <v>I</v>
      </c>
      <c r="L907" s="7" t="str">
        <f t="shared" si="81"/>
        <v>G8</v>
      </c>
      <c r="M907" s="7" t="str">
        <f t="shared" si="82"/>
        <v/>
      </c>
      <c r="N907" s="62" t="str">
        <f t="shared" si="83"/>
        <v/>
      </c>
      <c r="O907" s="8">
        <f t="shared" si="84"/>
        <v>45956</v>
      </c>
      <c r="P907" s="9" t="str">
        <f t="shared" ca="1" si="85"/>
        <v>ATRASADO</v>
      </c>
      <c r="Q907" s="589" t="s">
        <v>1556</v>
      </c>
      <c r="R907" s="587"/>
      <c r="S907" s="9" t="str">
        <f t="shared" si="88"/>
        <v/>
      </c>
    </row>
    <row r="908" spans="1:19" x14ac:dyDescent="0.3">
      <c r="A908" s="10">
        <v>904</v>
      </c>
      <c r="B908" s="592" t="s">
        <v>78</v>
      </c>
      <c r="C908" s="588" t="s">
        <v>2746</v>
      </c>
      <c r="D908" s="589" t="s">
        <v>2747</v>
      </c>
      <c r="E908" s="590">
        <v>31597</v>
      </c>
      <c r="F908" s="9">
        <f t="shared" ca="1" si="78"/>
        <v>40</v>
      </c>
      <c r="G908" s="591">
        <v>43372</v>
      </c>
      <c r="H908" s="589" t="s">
        <v>271</v>
      </c>
      <c r="I908" s="591">
        <v>44860</v>
      </c>
      <c r="J908" s="578" t="s">
        <v>8</v>
      </c>
      <c r="K908" s="4" t="str">
        <f t="shared" si="80"/>
        <v>SI</v>
      </c>
      <c r="L908" s="7" t="str">
        <f t="shared" si="81"/>
        <v xml:space="preserve">N </v>
      </c>
      <c r="M908" s="7" t="str">
        <f t="shared" si="82"/>
        <v>RE</v>
      </c>
      <c r="N908" s="62" t="str">
        <f t="shared" si="83"/>
        <v>GI</v>
      </c>
      <c r="O908" s="8">
        <f t="shared" si="84"/>
        <v>45956</v>
      </c>
      <c r="P908" s="9" t="str">
        <f t="shared" ca="1" si="85"/>
        <v>ATRASADO</v>
      </c>
      <c r="Q908" s="589" t="s">
        <v>1556</v>
      </c>
      <c r="R908" s="587"/>
      <c r="S908" s="9" t="str">
        <f t="shared" si="88"/>
        <v/>
      </c>
    </row>
    <row r="909" spans="1:19" x14ac:dyDescent="0.3">
      <c r="A909" s="10">
        <v>905</v>
      </c>
      <c r="B909" s="592" t="s">
        <v>78</v>
      </c>
      <c r="C909" s="588" t="s">
        <v>2748</v>
      </c>
      <c r="D909" s="589" t="s">
        <v>2749</v>
      </c>
      <c r="E909" s="590">
        <v>27966</v>
      </c>
      <c r="F909" s="9">
        <f t="shared" ca="1" si="78"/>
        <v>50</v>
      </c>
      <c r="G909" s="591">
        <v>43299</v>
      </c>
      <c r="H909" s="589" t="s">
        <v>271</v>
      </c>
      <c r="I909" s="591">
        <v>44854</v>
      </c>
      <c r="J909" s="578" t="s">
        <v>271</v>
      </c>
      <c r="K909" s="4" t="str">
        <f t="shared" si="80"/>
        <v>I</v>
      </c>
      <c r="L909" s="7" t="str">
        <f t="shared" si="81"/>
        <v>G8</v>
      </c>
      <c r="M909" s="7" t="str">
        <f t="shared" si="82"/>
        <v>J1</v>
      </c>
      <c r="N909" s="62" t="str">
        <f t="shared" si="83"/>
        <v/>
      </c>
      <c r="O909" s="8">
        <f t="shared" si="84"/>
        <v>45950</v>
      </c>
      <c r="P909" s="9" t="str">
        <f t="shared" ca="1" si="85"/>
        <v>ATRASADO</v>
      </c>
      <c r="Q909" s="589" t="s">
        <v>1556</v>
      </c>
      <c r="R909" s="587"/>
      <c r="S909" s="9" t="str">
        <f t="shared" si="88"/>
        <v/>
      </c>
    </row>
    <row r="910" spans="1:19" x14ac:dyDescent="0.3">
      <c r="A910" s="10">
        <v>906</v>
      </c>
      <c r="B910" s="599" t="s">
        <v>78</v>
      </c>
      <c r="C910" s="594" t="s">
        <v>2750</v>
      </c>
      <c r="D910" s="596" t="s">
        <v>2751</v>
      </c>
      <c r="E910" s="597">
        <v>31707</v>
      </c>
      <c r="F910" s="9">
        <f t="shared" ca="1" si="78"/>
        <v>39</v>
      </c>
      <c r="G910" s="598">
        <v>44052</v>
      </c>
      <c r="H910" s="596" t="s">
        <v>1060</v>
      </c>
      <c r="I910" s="598">
        <v>44855</v>
      </c>
      <c r="J910" s="595" t="s">
        <v>271</v>
      </c>
      <c r="K910" s="4" t="str">
        <f t="shared" si="80"/>
        <v>I</v>
      </c>
      <c r="L910" s="7" t="str">
        <f t="shared" si="81"/>
        <v>G8</v>
      </c>
      <c r="M910" s="7" t="str">
        <f t="shared" si="82"/>
        <v>J1</v>
      </c>
      <c r="N910" s="62" t="str">
        <f t="shared" si="83"/>
        <v/>
      </c>
      <c r="O910" s="8">
        <f t="shared" si="84"/>
        <v>45951</v>
      </c>
      <c r="P910" s="9" t="str">
        <f t="shared" ca="1" si="85"/>
        <v>ATRASADO</v>
      </c>
      <c r="Q910" s="596" t="s">
        <v>1556</v>
      </c>
      <c r="R910" s="593"/>
      <c r="S910" s="9" t="str">
        <f t="shared" si="88"/>
        <v/>
      </c>
    </row>
    <row r="911" spans="1:19" x14ac:dyDescent="0.3">
      <c r="A911" s="10">
        <v>907</v>
      </c>
      <c r="B911" s="599" t="s">
        <v>78</v>
      </c>
      <c r="C911" s="594" t="s">
        <v>2752</v>
      </c>
      <c r="D911" s="596" t="s">
        <v>2753</v>
      </c>
      <c r="E911" s="597">
        <v>29486</v>
      </c>
      <c r="F911" s="9">
        <f t="shared" ca="1" si="78"/>
        <v>46</v>
      </c>
      <c r="G911" s="598">
        <v>43955</v>
      </c>
      <c r="H911" s="596" t="s">
        <v>271</v>
      </c>
      <c r="I911" s="598">
        <v>44843</v>
      </c>
      <c r="J911" s="595" t="s">
        <v>271</v>
      </c>
      <c r="K911" s="4" t="str">
        <f t="shared" si="80"/>
        <v>I</v>
      </c>
      <c r="L911" s="7" t="str">
        <f t="shared" si="81"/>
        <v>G8</v>
      </c>
      <c r="M911" s="7" t="str">
        <f t="shared" si="82"/>
        <v>J1</v>
      </c>
      <c r="N911" s="62" t="str">
        <f t="shared" si="83"/>
        <v/>
      </c>
      <c r="O911" s="8">
        <f t="shared" si="84"/>
        <v>45939</v>
      </c>
      <c r="P911" s="9" t="str">
        <f t="shared" ca="1" si="85"/>
        <v>ATRASADO</v>
      </c>
      <c r="Q911" s="596" t="s">
        <v>1556</v>
      </c>
      <c r="R911" s="593"/>
      <c r="S911" s="9" t="str">
        <f t="shared" si="88"/>
        <v/>
      </c>
    </row>
    <row r="912" spans="1:19" x14ac:dyDescent="0.3">
      <c r="A912" s="10">
        <v>908</v>
      </c>
      <c r="B912" s="599" t="s">
        <v>78</v>
      </c>
      <c r="C912" s="594" t="s">
        <v>2754</v>
      </c>
      <c r="D912" s="596" t="s">
        <v>2755</v>
      </c>
      <c r="E912" s="597">
        <v>33458</v>
      </c>
      <c r="F912" s="9">
        <f t="shared" ca="1" si="78"/>
        <v>35</v>
      </c>
      <c r="G912" s="598">
        <v>43728</v>
      </c>
      <c r="H912" s="596" t="s">
        <v>275</v>
      </c>
      <c r="I912" s="598">
        <v>44836</v>
      </c>
      <c r="J912" s="595" t="s">
        <v>8</v>
      </c>
      <c r="K912" s="4" t="str">
        <f t="shared" si="80"/>
        <v>SI</v>
      </c>
      <c r="L912" s="7" t="str">
        <f t="shared" si="81"/>
        <v xml:space="preserve">N </v>
      </c>
      <c r="M912" s="7" t="str">
        <f t="shared" si="82"/>
        <v>RE</v>
      </c>
      <c r="N912" s="62" t="str">
        <f t="shared" si="83"/>
        <v>GI</v>
      </c>
      <c r="O912" s="8">
        <f t="shared" si="84"/>
        <v>45932</v>
      </c>
      <c r="P912" s="9" t="str">
        <f t="shared" ca="1" si="85"/>
        <v>ATRASADO</v>
      </c>
      <c r="Q912" s="596" t="s">
        <v>1556</v>
      </c>
      <c r="R912" s="595"/>
      <c r="S912" s="9" t="str">
        <f t="shared" si="88"/>
        <v/>
      </c>
    </row>
    <row r="913" spans="1:19" x14ac:dyDescent="0.3">
      <c r="A913" s="10">
        <v>909</v>
      </c>
      <c r="B913" s="599" t="s">
        <v>78</v>
      </c>
      <c r="C913" s="594" t="s">
        <v>2756</v>
      </c>
      <c r="D913" s="596" t="s">
        <v>2757</v>
      </c>
      <c r="E913" s="597">
        <v>33923</v>
      </c>
      <c r="F913" s="9">
        <f t="shared" ca="1" si="78"/>
        <v>33</v>
      </c>
      <c r="G913" s="598">
        <v>44285</v>
      </c>
      <c r="H913" s="596" t="s">
        <v>8</v>
      </c>
      <c r="I913" s="598">
        <v>44847</v>
      </c>
      <c r="J913" s="595" t="s">
        <v>8</v>
      </c>
      <c r="K913" s="4" t="str">
        <f t="shared" si="80"/>
        <v>SI</v>
      </c>
      <c r="L913" s="7" t="str">
        <f t="shared" si="81"/>
        <v xml:space="preserve">N </v>
      </c>
      <c r="M913" s="7" t="str">
        <f t="shared" si="82"/>
        <v>RE</v>
      </c>
      <c r="N913" s="62" t="str">
        <f t="shared" si="83"/>
        <v>GI</v>
      </c>
      <c r="O913" s="8">
        <f t="shared" si="84"/>
        <v>45943</v>
      </c>
      <c r="P913" s="9" t="str">
        <f t="shared" ca="1" si="85"/>
        <v>ATRASADO</v>
      </c>
      <c r="Q913" s="596" t="s">
        <v>1556</v>
      </c>
      <c r="R913" s="593"/>
      <c r="S913" s="9" t="str">
        <f t="shared" si="88"/>
        <v/>
      </c>
    </row>
    <row r="914" spans="1:19" x14ac:dyDescent="0.3">
      <c r="A914" s="10">
        <v>910</v>
      </c>
      <c r="B914" s="606" t="s">
        <v>75</v>
      </c>
      <c r="C914" s="601" t="s">
        <v>2758</v>
      </c>
      <c r="D914" s="603" t="s">
        <v>2759</v>
      </c>
      <c r="E914" s="604">
        <v>28900</v>
      </c>
      <c r="F914" s="9">
        <f t="shared" ca="1" si="78"/>
        <v>47</v>
      </c>
      <c r="G914" s="605">
        <v>43332</v>
      </c>
      <c r="H914" s="603" t="s">
        <v>271</v>
      </c>
      <c r="I914" s="605">
        <v>44858</v>
      </c>
      <c r="J914" s="602" t="s">
        <v>271</v>
      </c>
      <c r="K914" s="4" t="str">
        <f t="shared" si="80"/>
        <v>I</v>
      </c>
      <c r="L914" s="7" t="str">
        <f t="shared" si="81"/>
        <v>G8</v>
      </c>
      <c r="M914" s="7" t="str">
        <f t="shared" si="82"/>
        <v>J1</v>
      </c>
      <c r="N914" s="62" t="str">
        <f t="shared" si="83"/>
        <v/>
      </c>
      <c r="O914" s="8">
        <f t="shared" si="84"/>
        <v>45954</v>
      </c>
      <c r="P914" s="9" t="str">
        <f t="shared" ca="1" si="85"/>
        <v>ATRASADO</v>
      </c>
      <c r="Q914" s="603" t="s">
        <v>1556</v>
      </c>
      <c r="R914" s="600"/>
      <c r="S914" s="9" t="str">
        <f t="shared" si="88"/>
        <v/>
      </c>
    </row>
    <row r="915" spans="1:19" x14ac:dyDescent="0.3">
      <c r="A915" s="10">
        <v>911</v>
      </c>
      <c r="B915" s="606" t="s">
        <v>75</v>
      </c>
      <c r="C915" s="601" t="s">
        <v>2760</v>
      </c>
      <c r="D915" s="603" t="s">
        <v>2761</v>
      </c>
      <c r="E915" s="604">
        <v>28915</v>
      </c>
      <c r="F915" s="9">
        <f t="shared" ca="1" si="78"/>
        <v>47</v>
      </c>
      <c r="G915" s="605">
        <v>43257</v>
      </c>
      <c r="H915" s="603" t="s">
        <v>594</v>
      </c>
      <c r="I915" s="605">
        <v>44855</v>
      </c>
      <c r="J915" s="602" t="s">
        <v>8</v>
      </c>
      <c r="K915" s="4" t="str">
        <f t="shared" si="80"/>
        <v>SI</v>
      </c>
      <c r="L915" s="7" t="str">
        <f t="shared" si="81"/>
        <v xml:space="preserve">N </v>
      </c>
      <c r="M915" s="7" t="str">
        <f t="shared" si="82"/>
        <v>RE</v>
      </c>
      <c r="N915" s="62" t="str">
        <f t="shared" si="83"/>
        <v>GI</v>
      </c>
      <c r="O915" s="8">
        <f t="shared" si="84"/>
        <v>45951</v>
      </c>
      <c r="P915" s="9" t="str">
        <f t="shared" ca="1" si="85"/>
        <v>ATRASADO</v>
      </c>
      <c r="Q915" s="603" t="s">
        <v>1556</v>
      </c>
      <c r="R915" s="602"/>
      <c r="S915" s="9" t="str">
        <f t="shared" si="88"/>
        <v/>
      </c>
    </row>
    <row r="916" spans="1:19" x14ac:dyDescent="0.3">
      <c r="A916" s="10">
        <v>912</v>
      </c>
      <c r="B916" s="606" t="s">
        <v>75</v>
      </c>
      <c r="C916" s="601" t="s">
        <v>2762</v>
      </c>
      <c r="D916" s="603" t="s">
        <v>2763</v>
      </c>
      <c r="E916" s="604">
        <v>26408</v>
      </c>
      <c r="F916" s="9">
        <f t="shared" ca="1" si="78"/>
        <v>54</v>
      </c>
      <c r="G916" s="605">
        <v>43677</v>
      </c>
      <c r="H916" s="603" t="s">
        <v>275</v>
      </c>
      <c r="I916" s="605">
        <v>44859</v>
      </c>
      <c r="J916" s="602" t="s">
        <v>275</v>
      </c>
      <c r="K916" s="4" t="str">
        <f t="shared" si="80"/>
        <v>I</v>
      </c>
      <c r="L916" s="7" t="str">
        <f t="shared" si="81"/>
        <v>G8</v>
      </c>
      <c r="M916" s="7" t="str">
        <f t="shared" si="82"/>
        <v/>
      </c>
      <c r="N916" s="62" t="str">
        <f t="shared" si="83"/>
        <v/>
      </c>
      <c r="O916" s="8">
        <f t="shared" si="84"/>
        <v>45955</v>
      </c>
      <c r="P916" s="9" t="str">
        <f t="shared" ca="1" si="85"/>
        <v>ATRASADO</v>
      </c>
      <c r="Q916" s="603" t="s">
        <v>1556</v>
      </c>
      <c r="R916" s="600"/>
      <c r="S916" s="9" t="str">
        <f t="shared" si="88"/>
        <v/>
      </c>
    </row>
    <row r="917" spans="1:19" x14ac:dyDescent="0.3">
      <c r="A917" s="10">
        <v>913</v>
      </c>
      <c r="B917" s="606" t="s">
        <v>75</v>
      </c>
      <c r="C917" s="601" t="s">
        <v>2764</v>
      </c>
      <c r="D917" s="603" t="s">
        <v>2765</v>
      </c>
      <c r="E917" s="604">
        <v>31089</v>
      </c>
      <c r="F917" s="9">
        <f t="shared" ca="1" si="78"/>
        <v>41</v>
      </c>
      <c r="G917" s="605">
        <v>43230</v>
      </c>
      <c r="H917" s="603" t="s">
        <v>275</v>
      </c>
      <c r="I917" s="605">
        <v>44854</v>
      </c>
      <c r="J917" s="602" t="s">
        <v>271</v>
      </c>
      <c r="K917" s="4" t="str">
        <f t="shared" si="80"/>
        <v>I</v>
      </c>
      <c r="L917" s="7" t="str">
        <f t="shared" si="81"/>
        <v>G8</v>
      </c>
      <c r="M917" s="7" t="str">
        <f t="shared" si="82"/>
        <v>J1</v>
      </c>
      <c r="N917" s="62" t="str">
        <f t="shared" si="83"/>
        <v/>
      </c>
      <c r="O917" s="8">
        <f t="shared" si="84"/>
        <v>45950</v>
      </c>
      <c r="P917" s="9" t="str">
        <f t="shared" ca="1" si="85"/>
        <v>ATRASADO</v>
      </c>
      <c r="Q917" s="603" t="s">
        <v>1556</v>
      </c>
      <c r="R917" s="600"/>
      <c r="S917" s="9" t="str">
        <f t="shared" si="88"/>
        <v/>
      </c>
    </row>
    <row r="918" spans="1:19" x14ac:dyDescent="0.3">
      <c r="A918" s="10">
        <v>914</v>
      </c>
      <c r="B918" s="606" t="s">
        <v>75</v>
      </c>
      <c r="C918" s="601" t="s">
        <v>2766</v>
      </c>
      <c r="D918" s="603" t="s">
        <v>2767</v>
      </c>
      <c r="E918" s="604">
        <v>22996</v>
      </c>
      <c r="F918" s="9">
        <f t="shared" ca="1" si="78"/>
        <v>63</v>
      </c>
      <c r="G918" s="605">
        <v>43940</v>
      </c>
      <c r="H918" s="603" t="s">
        <v>275</v>
      </c>
      <c r="I918" s="605">
        <v>44835</v>
      </c>
      <c r="J918" s="602" t="s">
        <v>275</v>
      </c>
      <c r="K918" s="4" t="str">
        <f t="shared" si="80"/>
        <v>I</v>
      </c>
      <c r="L918" s="7" t="str">
        <f t="shared" si="81"/>
        <v>G8</v>
      </c>
      <c r="M918" s="7" t="str">
        <f t="shared" si="82"/>
        <v/>
      </c>
      <c r="N918" s="62" t="str">
        <f t="shared" si="83"/>
        <v/>
      </c>
      <c r="O918" s="8">
        <f t="shared" si="84"/>
        <v>45931</v>
      </c>
      <c r="P918" s="9" t="str">
        <f t="shared" ca="1" si="85"/>
        <v>ATRASADO</v>
      </c>
      <c r="Q918" s="603" t="s">
        <v>1556</v>
      </c>
      <c r="R918" s="600"/>
      <c r="S918" s="9" t="str">
        <f t="shared" si="88"/>
        <v/>
      </c>
    </row>
    <row r="919" spans="1:19" x14ac:dyDescent="0.3">
      <c r="A919" s="10">
        <v>915</v>
      </c>
      <c r="B919" s="606" t="s">
        <v>312</v>
      </c>
      <c r="C919" s="601" t="s">
        <v>2768</v>
      </c>
      <c r="D919" s="603" t="s">
        <v>2769</v>
      </c>
      <c r="E919" s="604">
        <v>26427</v>
      </c>
      <c r="F919" s="9">
        <f t="shared" ca="1" si="78"/>
        <v>54</v>
      </c>
      <c r="G919" s="605">
        <v>44051</v>
      </c>
      <c r="H919" s="603" t="s">
        <v>275</v>
      </c>
      <c r="I919" s="605">
        <v>44865</v>
      </c>
      <c r="J919" s="602" t="s">
        <v>275</v>
      </c>
      <c r="K919" s="4" t="str">
        <f t="shared" si="80"/>
        <v>I</v>
      </c>
      <c r="L919" s="7" t="str">
        <f t="shared" si="81"/>
        <v>G8</v>
      </c>
      <c r="M919" s="7" t="str">
        <f t="shared" si="82"/>
        <v/>
      </c>
      <c r="N919" s="62" t="str">
        <f t="shared" si="83"/>
        <v/>
      </c>
      <c r="O919" s="8">
        <f t="shared" si="84"/>
        <v>45961</v>
      </c>
      <c r="P919" s="9" t="str">
        <f t="shared" ca="1" si="85"/>
        <v>ATRASADO</v>
      </c>
      <c r="Q919" s="603" t="s">
        <v>1556</v>
      </c>
      <c r="R919" s="600"/>
      <c r="S919" s="9" t="str">
        <f t="shared" si="88"/>
        <v/>
      </c>
    </row>
    <row r="920" spans="1:19" x14ac:dyDescent="0.3">
      <c r="A920" s="10">
        <v>916</v>
      </c>
      <c r="B920" s="614" t="s">
        <v>75</v>
      </c>
      <c r="C920" s="609" t="s">
        <v>2770</v>
      </c>
      <c r="D920" s="611" t="s">
        <v>2771</v>
      </c>
      <c r="E920" s="612">
        <v>30627</v>
      </c>
      <c r="F920" s="9">
        <f t="shared" ca="1" si="78"/>
        <v>42</v>
      </c>
      <c r="G920" s="613">
        <v>44142</v>
      </c>
      <c r="H920" s="611" t="s">
        <v>271</v>
      </c>
      <c r="I920" s="613">
        <v>44855</v>
      </c>
      <c r="J920" s="610" t="s">
        <v>275</v>
      </c>
      <c r="K920" s="4" t="str">
        <f t="shared" si="80"/>
        <v>I</v>
      </c>
      <c r="L920" s="7" t="str">
        <f t="shared" si="81"/>
        <v>G8</v>
      </c>
      <c r="M920" s="7" t="str">
        <f t="shared" si="82"/>
        <v/>
      </c>
      <c r="N920" s="62" t="str">
        <f t="shared" si="83"/>
        <v/>
      </c>
      <c r="O920" s="8">
        <f t="shared" si="84"/>
        <v>45951</v>
      </c>
      <c r="P920" s="9" t="str">
        <f t="shared" ca="1" si="85"/>
        <v>ATRASADO</v>
      </c>
      <c r="Q920" s="611" t="s">
        <v>1556</v>
      </c>
      <c r="R920" s="608"/>
      <c r="S920" s="9" t="str">
        <f t="shared" si="88"/>
        <v/>
      </c>
    </row>
    <row r="921" spans="1:19" x14ac:dyDescent="0.3">
      <c r="A921" s="10">
        <v>917</v>
      </c>
      <c r="B921" s="614" t="s">
        <v>75</v>
      </c>
      <c r="C921" s="609" t="s">
        <v>2772</v>
      </c>
      <c r="D921" s="611" t="s">
        <v>2773</v>
      </c>
      <c r="E921" s="612">
        <v>30777</v>
      </c>
      <c r="F921" s="9">
        <f t="shared" ca="1" si="78"/>
        <v>42</v>
      </c>
      <c r="G921" s="613">
        <v>44070</v>
      </c>
      <c r="H921" s="611" t="s">
        <v>275</v>
      </c>
      <c r="I921" s="613">
        <v>44840</v>
      </c>
      <c r="J921" s="610" t="s">
        <v>271</v>
      </c>
      <c r="K921" s="4" t="str">
        <f t="shared" si="80"/>
        <v>I</v>
      </c>
      <c r="L921" s="7" t="str">
        <f t="shared" si="81"/>
        <v>G8</v>
      </c>
      <c r="M921" s="7" t="str">
        <f t="shared" si="82"/>
        <v>J1</v>
      </c>
      <c r="N921" s="62" t="str">
        <f t="shared" si="83"/>
        <v/>
      </c>
      <c r="O921" s="8">
        <f t="shared" si="84"/>
        <v>45936</v>
      </c>
      <c r="P921" s="9" t="str">
        <f t="shared" ca="1" si="85"/>
        <v>ATRASADO</v>
      </c>
      <c r="Q921" s="611" t="s">
        <v>1556</v>
      </c>
      <c r="R921" s="610"/>
      <c r="S921" s="9" t="str">
        <f t="shared" si="88"/>
        <v/>
      </c>
    </row>
    <row r="922" spans="1:19" x14ac:dyDescent="0.3">
      <c r="A922" s="10">
        <v>918</v>
      </c>
      <c r="B922" s="614" t="s">
        <v>75</v>
      </c>
      <c r="C922" s="609" t="s">
        <v>2774</v>
      </c>
      <c r="D922" s="611" t="s">
        <v>2775</v>
      </c>
      <c r="E922" s="612">
        <v>24489</v>
      </c>
      <c r="F922" s="9">
        <f t="shared" ca="1" si="78"/>
        <v>59</v>
      </c>
      <c r="G922" s="611" t="s">
        <v>8</v>
      </c>
      <c r="H922" s="611" t="s">
        <v>271</v>
      </c>
      <c r="I922" s="613">
        <v>44851</v>
      </c>
      <c r="J922" s="610" t="s">
        <v>8</v>
      </c>
      <c r="K922" s="4" t="str">
        <f t="shared" si="80"/>
        <v>SI</v>
      </c>
      <c r="L922" s="7" t="str">
        <f t="shared" si="81"/>
        <v xml:space="preserve">N </v>
      </c>
      <c r="M922" s="7" t="str">
        <f t="shared" si="82"/>
        <v>RE</v>
      </c>
      <c r="N922" s="62" t="str">
        <f t="shared" si="83"/>
        <v>GI</v>
      </c>
      <c r="O922" s="8">
        <f t="shared" si="84"/>
        <v>45947</v>
      </c>
      <c r="P922" s="9" t="str">
        <f t="shared" ca="1" si="85"/>
        <v>ATRASADO</v>
      </c>
      <c r="Q922" s="611" t="s">
        <v>1556</v>
      </c>
      <c r="R922" s="608"/>
      <c r="S922" s="9" t="str">
        <f t="shared" si="88"/>
        <v/>
      </c>
    </row>
    <row r="923" spans="1:19" x14ac:dyDescent="0.3">
      <c r="A923" s="10">
        <v>919</v>
      </c>
      <c r="B923" s="614" t="s">
        <v>270</v>
      </c>
      <c r="C923" s="609" t="s">
        <v>2776</v>
      </c>
      <c r="D923" s="611" t="s">
        <v>2777</v>
      </c>
      <c r="E923" s="612">
        <v>31477</v>
      </c>
      <c r="F923" s="9">
        <f t="shared" ca="1" si="78"/>
        <v>40</v>
      </c>
      <c r="G923" s="613">
        <v>44221</v>
      </c>
      <c r="H923" s="611" t="s">
        <v>271</v>
      </c>
      <c r="I923" s="613">
        <v>44835</v>
      </c>
      <c r="J923" s="610" t="s">
        <v>275</v>
      </c>
      <c r="K923" s="4" t="str">
        <f t="shared" si="80"/>
        <v>I</v>
      </c>
      <c r="L923" s="7" t="str">
        <f t="shared" si="81"/>
        <v>G8</v>
      </c>
      <c r="M923" s="7" t="str">
        <f t="shared" si="82"/>
        <v/>
      </c>
      <c r="N923" s="62" t="str">
        <f t="shared" si="83"/>
        <v/>
      </c>
      <c r="O923" s="8">
        <f t="shared" si="84"/>
        <v>45931</v>
      </c>
      <c r="P923" s="9" t="str">
        <f t="shared" ca="1" si="85"/>
        <v>ATRASADO</v>
      </c>
      <c r="Q923" s="611" t="s">
        <v>1556</v>
      </c>
      <c r="R923" s="608"/>
      <c r="S923" s="9" t="str">
        <f t="shared" si="88"/>
        <v/>
      </c>
    </row>
    <row r="924" spans="1:19" x14ac:dyDescent="0.3">
      <c r="A924" s="10">
        <v>920</v>
      </c>
      <c r="B924" s="614" t="s">
        <v>75</v>
      </c>
      <c r="C924" s="609" t="s">
        <v>2778</v>
      </c>
      <c r="D924" s="611" t="s">
        <v>2779</v>
      </c>
      <c r="E924" s="612">
        <v>29785</v>
      </c>
      <c r="F924" s="9">
        <f t="shared" ca="1" si="78"/>
        <v>45</v>
      </c>
      <c r="G924" s="613">
        <v>44001</v>
      </c>
      <c r="H924" s="611" t="s">
        <v>275</v>
      </c>
      <c r="I924" s="613">
        <v>44854</v>
      </c>
      <c r="J924" s="610" t="s">
        <v>320</v>
      </c>
      <c r="K924" s="4" t="str">
        <f t="shared" si="80"/>
        <v>I</v>
      </c>
      <c r="L924" s="7" t="str">
        <f t="shared" si="81"/>
        <v>G8</v>
      </c>
      <c r="M924" s="7" t="str">
        <f t="shared" si="82"/>
        <v>J1</v>
      </c>
      <c r="N924" s="62" t="str">
        <f t="shared" si="83"/>
        <v>S</v>
      </c>
      <c r="O924" s="8">
        <f t="shared" si="84"/>
        <v>45219</v>
      </c>
      <c r="P924" s="9" t="str">
        <f t="shared" ca="1" si="85"/>
        <v>ATRASADO</v>
      </c>
      <c r="Q924" s="611" t="s">
        <v>1556</v>
      </c>
      <c r="R924" s="610" t="s">
        <v>2024</v>
      </c>
      <c r="S924" s="9" t="str">
        <f t="shared" si="88"/>
        <v/>
      </c>
    </row>
    <row r="925" spans="1:19" x14ac:dyDescent="0.3">
      <c r="A925" s="10">
        <v>921</v>
      </c>
      <c r="B925" s="614" t="s">
        <v>75</v>
      </c>
      <c r="C925" s="609" t="s">
        <v>2780</v>
      </c>
      <c r="D925" s="611" t="s">
        <v>2781</v>
      </c>
      <c r="E925" s="612">
        <v>25943</v>
      </c>
      <c r="F925" s="9">
        <f t="shared" ca="1" si="78"/>
        <v>55</v>
      </c>
      <c r="G925" s="613">
        <v>43106</v>
      </c>
      <c r="H925" s="611" t="s">
        <v>320</v>
      </c>
      <c r="I925" s="613">
        <v>44840</v>
      </c>
      <c r="J925" s="610" t="s">
        <v>275</v>
      </c>
      <c r="K925" s="4" t="str">
        <f t="shared" si="80"/>
        <v>I</v>
      </c>
      <c r="L925" s="7" t="str">
        <f t="shared" si="81"/>
        <v>G8</v>
      </c>
      <c r="M925" s="7" t="str">
        <f t="shared" si="82"/>
        <v/>
      </c>
      <c r="N925" s="62" t="str">
        <f t="shared" si="83"/>
        <v/>
      </c>
      <c r="O925" s="8">
        <f t="shared" si="84"/>
        <v>45936</v>
      </c>
      <c r="P925" s="9" t="str">
        <f t="shared" ca="1" si="85"/>
        <v>ATRASADO</v>
      </c>
      <c r="Q925" s="611" t="s">
        <v>1556</v>
      </c>
      <c r="R925" s="608"/>
      <c r="S925" s="9" t="str">
        <f t="shared" si="88"/>
        <v/>
      </c>
    </row>
    <row r="926" spans="1:19" x14ac:dyDescent="0.3">
      <c r="A926" s="10">
        <v>922</v>
      </c>
      <c r="B926" s="621" t="s">
        <v>111</v>
      </c>
      <c r="C926" s="616" t="s">
        <v>2782</v>
      </c>
      <c r="D926" s="618" t="s">
        <v>2783</v>
      </c>
      <c r="E926" s="619">
        <v>25219</v>
      </c>
      <c r="F926" s="9">
        <f t="shared" ca="1" si="78"/>
        <v>57</v>
      </c>
      <c r="G926" s="620">
        <v>43953</v>
      </c>
      <c r="H926" s="618" t="s">
        <v>363</v>
      </c>
      <c r="I926" s="620">
        <v>44895</v>
      </c>
      <c r="J926" s="617" t="s">
        <v>271</v>
      </c>
      <c r="K926" s="4" t="str">
        <f t="shared" si="80"/>
        <v>I</v>
      </c>
      <c r="L926" s="7" t="str">
        <f t="shared" si="81"/>
        <v>G8</v>
      </c>
      <c r="M926" s="7" t="str">
        <f t="shared" si="82"/>
        <v>J1</v>
      </c>
      <c r="N926" s="62" t="str">
        <f t="shared" si="83"/>
        <v/>
      </c>
      <c r="O926" s="8">
        <f t="shared" si="84"/>
        <v>45991</v>
      </c>
      <c r="P926" s="9" t="str">
        <f t="shared" ca="1" si="85"/>
        <v>ATRASADO</v>
      </c>
      <c r="Q926" s="618" t="s">
        <v>1556</v>
      </c>
      <c r="R926" s="617"/>
      <c r="S926" s="9" t="str">
        <f t="shared" si="88"/>
        <v/>
      </c>
    </row>
    <row r="927" spans="1:19" x14ac:dyDescent="0.3">
      <c r="A927" s="10">
        <v>923</v>
      </c>
      <c r="B927" s="621" t="s">
        <v>45</v>
      </c>
      <c r="C927" s="616" t="s">
        <v>2784</v>
      </c>
      <c r="D927" s="618" t="s">
        <v>2785</v>
      </c>
      <c r="E927" s="619">
        <v>28332</v>
      </c>
      <c r="F927" s="9">
        <f t="shared" ca="1" si="78"/>
        <v>49</v>
      </c>
      <c r="G927" s="620">
        <v>43789</v>
      </c>
      <c r="H927" s="618" t="s">
        <v>275</v>
      </c>
      <c r="I927" s="620">
        <v>44869</v>
      </c>
      <c r="J927" s="617" t="s">
        <v>8</v>
      </c>
      <c r="K927" s="4" t="str">
        <f t="shared" si="80"/>
        <v>SI</v>
      </c>
      <c r="L927" s="7" t="str">
        <f t="shared" si="81"/>
        <v xml:space="preserve">N </v>
      </c>
      <c r="M927" s="7" t="str">
        <f t="shared" si="82"/>
        <v>RE</v>
      </c>
      <c r="N927" s="62" t="str">
        <f t="shared" si="83"/>
        <v>GI</v>
      </c>
      <c r="O927" s="8">
        <f t="shared" si="84"/>
        <v>45965</v>
      </c>
      <c r="P927" s="9" t="str">
        <f t="shared" ca="1" si="85"/>
        <v>ATRASADO</v>
      </c>
      <c r="Q927" s="618" t="s">
        <v>1556</v>
      </c>
      <c r="R927" s="615"/>
      <c r="S927" s="9" t="str">
        <f t="shared" si="88"/>
        <v/>
      </c>
    </row>
    <row r="928" spans="1:19" x14ac:dyDescent="0.3">
      <c r="A928" s="10">
        <v>924</v>
      </c>
      <c r="B928" s="621" t="s">
        <v>45</v>
      </c>
      <c r="C928" s="616" t="s">
        <v>2786</v>
      </c>
      <c r="D928" s="618" t="s">
        <v>2787</v>
      </c>
      <c r="E928" s="619">
        <v>24161</v>
      </c>
      <c r="F928" s="9">
        <f t="shared" ca="1" si="78"/>
        <v>60</v>
      </c>
      <c r="G928" s="620">
        <v>43925</v>
      </c>
      <c r="H928" s="618" t="s">
        <v>271</v>
      </c>
      <c r="I928" s="620">
        <v>44889</v>
      </c>
      <c r="J928" s="617" t="s">
        <v>607</v>
      </c>
      <c r="K928" s="4" t="str">
        <f t="shared" si="80"/>
        <v>A1</v>
      </c>
      <c r="L928" s="7" t="str">
        <f t="shared" si="81"/>
        <v>J1</v>
      </c>
      <c r="M928" s="7" t="str">
        <f t="shared" si="82"/>
        <v>S</v>
      </c>
      <c r="N928" s="62" t="str">
        <f t="shared" si="83"/>
        <v/>
      </c>
      <c r="O928" s="8">
        <f t="shared" si="84"/>
        <v>45254</v>
      </c>
      <c r="P928" s="9" t="str">
        <f t="shared" ca="1" si="85"/>
        <v>ATRASADO</v>
      </c>
      <c r="Q928" s="618" t="s">
        <v>1556</v>
      </c>
      <c r="R928" s="615"/>
      <c r="S928" s="9" t="str">
        <f t="shared" si="88"/>
        <v>VPH</v>
      </c>
    </row>
    <row r="929" spans="1:19" x14ac:dyDescent="0.3">
      <c r="A929" s="10">
        <v>925</v>
      </c>
      <c r="B929" s="621" t="s">
        <v>45</v>
      </c>
      <c r="C929" s="616" t="s">
        <v>2788</v>
      </c>
      <c r="D929" s="618" t="s">
        <v>2789</v>
      </c>
      <c r="E929" s="619">
        <v>30874</v>
      </c>
      <c r="F929" s="9">
        <f t="shared" ca="1" si="78"/>
        <v>42</v>
      </c>
      <c r="G929" s="620">
        <v>43732</v>
      </c>
      <c r="H929" s="618" t="s">
        <v>275</v>
      </c>
      <c r="I929" s="620">
        <v>44886</v>
      </c>
      <c r="J929" s="617" t="s">
        <v>271</v>
      </c>
      <c r="K929" s="4" t="str">
        <f t="shared" si="80"/>
        <v>I</v>
      </c>
      <c r="L929" s="7" t="str">
        <f t="shared" si="81"/>
        <v>G8</v>
      </c>
      <c r="M929" s="7" t="str">
        <f t="shared" si="82"/>
        <v>J1</v>
      </c>
      <c r="N929" s="62" t="str">
        <f t="shared" si="83"/>
        <v/>
      </c>
      <c r="O929" s="8">
        <f t="shared" si="84"/>
        <v>45982</v>
      </c>
      <c r="P929" s="9" t="str">
        <f t="shared" ca="1" si="85"/>
        <v>ATRASADO</v>
      </c>
      <c r="Q929" s="618" t="s">
        <v>1556</v>
      </c>
      <c r="R929" s="615"/>
      <c r="S929" s="9" t="str">
        <f t="shared" si="88"/>
        <v/>
      </c>
    </row>
    <row r="930" spans="1:19" x14ac:dyDescent="0.3">
      <c r="A930" s="10">
        <v>926</v>
      </c>
      <c r="B930" s="621" t="s">
        <v>45</v>
      </c>
      <c r="C930" s="616" t="s">
        <v>2790</v>
      </c>
      <c r="D930" s="618" t="s">
        <v>2791</v>
      </c>
      <c r="E930" s="619">
        <v>24486</v>
      </c>
      <c r="F930" s="9">
        <f t="shared" ref="F930:F1020" ca="1" si="89">IF(E930="","",DATEDIF(E930,TODAY(),"Y"))</f>
        <v>59</v>
      </c>
      <c r="G930" s="620">
        <v>43919</v>
      </c>
      <c r="H930" s="618" t="s">
        <v>271</v>
      </c>
      <c r="I930" s="620">
        <v>44892</v>
      </c>
      <c r="J930" s="617" t="s">
        <v>271</v>
      </c>
      <c r="K930" s="4" t="str">
        <f t="shared" si="80"/>
        <v>I</v>
      </c>
      <c r="L930" s="7" t="str">
        <f t="shared" si="81"/>
        <v>G8</v>
      </c>
      <c r="M930" s="7" t="str">
        <f t="shared" si="82"/>
        <v>J1</v>
      </c>
      <c r="N930" s="62" t="str">
        <f t="shared" si="83"/>
        <v/>
      </c>
      <c r="O930" s="8">
        <f t="shared" si="84"/>
        <v>45988</v>
      </c>
      <c r="P930" s="9" t="str">
        <f t="shared" ca="1" si="85"/>
        <v>ATRASADO</v>
      </c>
      <c r="Q930" s="618" t="s">
        <v>1556</v>
      </c>
      <c r="R930" s="615"/>
      <c r="S930" s="9" t="str">
        <f t="shared" si="88"/>
        <v/>
      </c>
    </row>
    <row r="931" spans="1:19" x14ac:dyDescent="0.3">
      <c r="A931" s="10">
        <v>927</v>
      </c>
      <c r="B931" s="628" t="s">
        <v>45</v>
      </c>
      <c r="C931" s="623" t="s">
        <v>2792</v>
      </c>
      <c r="D931" s="625" t="s">
        <v>2793</v>
      </c>
      <c r="E931" s="626">
        <v>35487</v>
      </c>
      <c r="F931" s="9">
        <f t="shared" ca="1" si="89"/>
        <v>29</v>
      </c>
      <c r="G931" s="627">
        <v>43686</v>
      </c>
      <c r="H931" s="625" t="s">
        <v>275</v>
      </c>
      <c r="I931" s="627">
        <v>44881</v>
      </c>
      <c r="J931" s="624" t="s">
        <v>275</v>
      </c>
      <c r="K931" s="4" t="str">
        <f t="shared" si="80"/>
        <v>I</v>
      </c>
      <c r="L931" s="7" t="str">
        <f t="shared" si="81"/>
        <v>G8</v>
      </c>
      <c r="M931" s="7" t="str">
        <f t="shared" si="82"/>
        <v/>
      </c>
      <c r="N931" s="62" t="str">
        <f t="shared" si="83"/>
        <v/>
      </c>
      <c r="O931" s="8">
        <f t="shared" si="84"/>
        <v>45977</v>
      </c>
      <c r="P931" s="9" t="str">
        <f t="shared" ca="1" si="85"/>
        <v>ATRASADO</v>
      </c>
      <c r="Q931" s="625" t="s">
        <v>1556</v>
      </c>
      <c r="R931" s="624"/>
      <c r="S931" s="9" t="str">
        <f t="shared" si="88"/>
        <v/>
      </c>
    </row>
    <row r="932" spans="1:19" x14ac:dyDescent="0.3">
      <c r="A932" s="10">
        <v>928</v>
      </c>
      <c r="B932" s="628" t="s">
        <v>45</v>
      </c>
      <c r="C932" s="623" t="s">
        <v>2794</v>
      </c>
      <c r="D932" s="625" t="s">
        <v>2795</v>
      </c>
      <c r="E932" s="626">
        <v>24058</v>
      </c>
      <c r="F932" s="9">
        <f t="shared" ca="1" si="89"/>
        <v>60</v>
      </c>
      <c r="G932" s="627">
        <v>43345</v>
      </c>
      <c r="H932" s="625" t="s">
        <v>275</v>
      </c>
      <c r="I932" s="627">
        <v>44867</v>
      </c>
      <c r="J932" s="624" t="s">
        <v>271</v>
      </c>
      <c r="K932" s="4" t="str">
        <f t="shared" si="80"/>
        <v>I</v>
      </c>
      <c r="L932" s="7" t="str">
        <f t="shared" si="81"/>
        <v>G8</v>
      </c>
      <c r="M932" s="7" t="str">
        <f t="shared" si="82"/>
        <v>J1</v>
      </c>
      <c r="N932" s="62" t="str">
        <f t="shared" si="83"/>
        <v/>
      </c>
      <c r="O932" s="8">
        <f t="shared" si="84"/>
        <v>45963</v>
      </c>
      <c r="P932" s="9" t="str">
        <f t="shared" ca="1" si="85"/>
        <v>ATRASADO</v>
      </c>
      <c r="Q932" s="625" t="s">
        <v>1556</v>
      </c>
      <c r="R932" s="622"/>
      <c r="S932" s="9" t="str">
        <f t="shared" si="88"/>
        <v/>
      </c>
    </row>
    <row r="933" spans="1:19" x14ac:dyDescent="0.3">
      <c r="A933" s="10">
        <v>929</v>
      </c>
      <c r="B933" s="634" t="s">
        <v>111</v>
      </c>
      <c r="C933" s="630" t="s">
        <v>2797</v>
      </c>
      <c r="D933" s="631" t="s">
        <v>2798</v>
      </c>
      <c r="E933" s="632">
        <v>27155</v>
      </c>
      <c r="F933" s="9">
        <f t="shared" ca="1" si="89"/>
        <v>52</v>
      </c>
      <c r="G933" s="633">
        <v>44358</v>
      </c>
      <c r="H933" s="631" t="s">
        <v>275</v>
      </c>
      <c r="I933" s="633">
        <v>44884</v>
      </c>
      <c r="J933" s="763" t="s">
        <v>8</v>
      </c>
      <c r="K933" s="4" t="str">
        <f t="shared" si="80"/>
        <v>SI</v>
      </c>
      <c r="L933" s="7" t="str">
        <f t="shared" si="81"/>
        <v xml:space="preserve">N </v>
      </c>
      <c r="M933" s="7" t="str">
        <f t="shared" si="82"/>
        <v>RE</v>
      </c>
      <c r="N933" s="62" t="str">
        <f t="shared" si="83"/>
        <v>GI</v>
      </c>
      <c r="O933" s="8">
        <f t="shared" si="84"/>
        <v>45980</v>
      </c>
      <c r="P933" s="9" t="str">
        <f t="shared" ca="1" si="85"/>
        <v>ATRASADO</v>
      </c>
      <c r="Q933" s="631" t="s">
        <v>1556</v>
      </c>
      <c r="R933" s="629"/>
      <c r="S933" s="9" t="str">
        <f t="shared" si="88"/>
        <v/>
      </c>
    </row>
    <row r="934" spans="1:19" x14ac:dyDescent="0.3">
      <c r="A934" s="10">
        <v>930</v>
      </c>
      <c r="B934" s="634" t="s">
        <v>45</v>
      </c>
      <c r="C934" s="630" t="s">
        <v>2799</v>
      </c>
      <c r="D934" s="631" t="s">
        <v>2800</v>
      </c>
      <c r="E934" s="632">
        <v>34067</v>
      </c>
      <c r="F934" s="9">
        <f t="shared" ca="1" si="89"/>
        <v>33</v>
      </c>
      <c r="G934" s="633">
        <v>43816</v>
      </c>
      <c r="H934" s="631" t="s">
        <v>735</v>
      </c>
      <c r="I934" s="633">
        <v>44869</v>
      </c>
      <c r="J934" s="763" t="s">
        <v>594</v>
      </c>
      <c r="K934" s="4" t="str">
        <f t="shared" si="80"/>
        <v>I</v>
      </c>
      <c r="L934" s="7" t="str">
        <f t="shared" si="81"/>
        <v>G8</v>
      </c>
      <c r="M934" s="7" t="str">
        <f t="shared" si="82"/>
        <v>J6</v>
      </c>
      <c r="N934" s="62" t="str">
        <f t="shared" si="83"/>
        <v/>
      </c>
      <c r="O934" s="8">
        <f t="shared" si="84"/>
        <v>45965</v>
      </c>
      <c r="P934" s="9" t="str">
        <f t="shared" ca="1" si="85"/>
        <v>ATRASADO</v>
      </c>
      <c r="Q934" s="631" t="s">
        <v>1556</v>
      </c>
      <c r="R934" s="629"/>
      <c r="S934" s="9" t="str">
        <f t="shared" si="88"/>
        <v>ACTINOMYCES</v>
      </c>
    </row>
    <row r="935" spans="1:19" x14ac:dyDescent="0.3">
      <c r="A935" s="10">
        <v>931</v>
      </c>
      <c r="B935" s="641" t="s">
        <v>346</v>
      </c>
      <c r="C935" s="636" t="s">
        <v>2801</v>
      </c>
      <c r="D935" s="638" t="s">
        <v>2802</v>
      </c>
      <c r="E935" s="639">
        <v>27694</v>
      </c>
      <c r="F935" s="9">
        <f t="shared" ca="1" si="89"/>
        <v>50</v>
      </c>
      <c r="G935" s="640">
        <v>43716</v>
      </c>
      <c r="H935" s="638" t="s">
        <v>271</v>
      </c>
      <c r="I935" s="640">
        <v>44872</v>
      </c>
      <c r="J935" s="637" t="s">
        <v>275</v>
      </c>
      <c r="K935" s="4" t="str">
        <f t="shared" si="80"/>
        <v>I</v>
      </c>
      <c r="L935" s="7" t="str">
        <f t="shared" si="81"/>
        <v>G8</v>
      </c>
      <c r="M935" s="7" t="str">
        <f t="shared" si="82"/>
        <v/>
      </c>
      <c r="N935" s="62" t="str">
        <f t="shared" si="83"/>
        <v/>
      </c>
      <c r="O935" s="8">
        <f t="shared" si="84"/>
        <v>45968</v>
      </c>
      <c r="P935" s="9" t="str">
        <f t="shared" ca="1" si="85"/>
        <v>ATRASADO</v>
      </c>
      <c r="Q935" s="638" t="s">
        <v>1556</v>
      </c>
      <c r="R935" s="635"/>
      <c r="S935" s="9" t="str">
        <f t="shared" si="88"/>
        <v/>
      </c>
    </row>
    <row r="936" spans="1:19" x14ac:dyDescent="0.3">
      <c r="A936" s="10">
        <v>932</v>
      </c>
      <c r="B936" s="641" t="s">
        <v>346</v>
      </c>
      <c r="C936" s="636" t="s">
        <v>2803</v>
      </c>
      <c r="D936" s="638" t="s">
        <v>2804</v>
      </c>
      <c r="E936" s="639">
        <v>29942</v>
      </c>
      <c r="F936" s="9">
        <f t="shared" ca="1" si="89"/>
        <v>44</v>
      </c>
      <c r="G936" s="640">
        <v>43823</v>
      </c>
      <c r="H936" s="638" t="s">
        <v>275</v>
      </c>
      <c r="I936" s="640">
        <v>44888</v>
      </c>
      <c r="J936" s="637" t="s">
        <v>8</v>
      </c>
      <c r="K936" s="4" t="str">
        <f t="shared" si="80"/>
        <v>SI</v>
      </c>
      <c r="L936" s="7" t="str">
        <f t="shared" si="81"/>
        <v xml:space="preserve">N </v>
      </c>
      <c r="M936" s="7" t="str">
        <f t="shared" si="82"/>
        <v>RE</v>
      </c>
      <c r="N936" s="62" t="str">
        <f t="shared" si="83"/>
        <v>GI</v>
      </c>
      <c r="O936" s="8">
        <f t="shared" si="84"/>
        <v>45984</v>
      </c>
      <c r="P936" s="9" t="str">
        <f t="shared" ca="1" si="85"/>
        <v>ATRASADO</v>
      </c>
      <c r="Q936" s="638" t="s">
        <v>1556</v>
      </c>
      <c r="R936" s="637"/>
      <c r="S936" s="9" t="str">
        <f t="shared" si="88"/>
        <v/>
      </c>
    </row>
    <row r="937" spans="1:19" x14ac:dyDescent="0.3">
      <c r="A937" s="10">
        <v>933</v>
      </c>
      <c r="B937" s="641" t="s">
        <v>346</v>
      </c>
      <c r="C937" s="636" t="s">
        <v>2805</v>
      </c>
      <c r="D937" s="638" t="s">
        <v>2806</v>
      </c>
      <c r="E937" s="639">
        <v>25621</v>
      </c>
      <c r="F937" s="9">
        <f t="shared" ca="1" si="89"/>
        <v>56</v>
      </c>
      <c r="G937" s="640">
        <v>43251</v>
      </c>
      <c r="H937" s="638" t="s">
        <v>271</v>
      </c>
      <c r="I937" s="640">
        <v>44870</v>
      </c>
      <c r="J937" s="637" t="s">
        <v>271</v>
      </c>
      <c r="K937" s="4" t="str">
        <f t="shared" si="80"/>
        <v>I</v>
      </c>
      <c r="L937" s="7" t="str">
        <f t="shared" si="81"/>
        <v>G8</v>
      </c>
      <c r="M937" s="7" t="str">
        <f t="shared" si="82"/>
        <v>J1</v>
      </c>
      <c r="N937" s="62" t="str">
        <f t="shared" si="83"/>
        <v/>
      </c>
      <c r="O937" s="8">
        <f t="shared" si="84"/>
        <v>45966</v>
      </c>
      <c r="P937" s="9" t="str">
        <f t="shared" ca="1" si="85"/>
        <v>ATRASADO</v>
      </c>
      <c r="Q937" s="638" t="s">
        <v>1556</v>
      </c>
      <c r="R937" s="635"/>
      <c r="S937" s="9" t="str">
        <f t="shared" si="88"/>
        <v/>
      </c>
    </row>
    <row r="938" spans="1:19" x14ac:dyDescent="0.3">
      <c r="A938" s="10">
        <v>934</v>
      </c>
      <c r="B938" s="641" t="s">
        <v>111</v>
      </c>
      <c r="C938" s="636" t="s">
        <v>2807</v>
      </c>
      <c r="D938" s="638" t="s">
        <v>2808</v>
      </c>
      <c r="E938" s="639">
        <v>21976</v>
      </c>
      <c r="F938" s="9">
        <f t="shared" ca="1" si="89"/>
        <v>66</v>
      </c>
      <c r="G938" s="640">
        <v>43267</v>
      </c>
      <c r="H938" s="638" t="s">
        <v>320</v>
      </c>
      <c r="I938" s="640">
        <v>44893</v>
      </c>
      <c r="J938" s="637" t="s">
        <v>275</v>
      </c>
      <c r="K938" s="4" t="str">
        <f t="shared" si="80"/>
        <v>I</v>
      </c>
      <c r="L938" s="7" t="str">
        <f t="shared" si="81"/>
        <v>G8</v>
      </c>
      <c r="M938" s="7" t="str">
        <f t="shared" si="82"/>
        <v/>
      </c>
      <c r="N938" s="62" t="str">
        <f t="shared" si="83"/>
        <v/>
      </c>
      <c r="O938" s="8">
        <f t="shared" si="84"/>
        <v>45989</v>
      </c>
      <c r="P938" s="9" t="str">
        <f t="shared" ca="1" si="85"/>
        <v>ATRASADO</v>
      </c>
      <c r="Q938" s="638" t="s">
        <v>1556</v>
      </c>
      <c r="R938" s="635"/>
      <c r="S938" s="9" t="str">
        <f t="shared" si="88"/>
        <v/>
      </c>
    </row>
    <row r="939" spans="1:19" x14ac:dyDescent="0.3">
      <c r="A939" s="10">
        <v>935</v>
      </c>
      <c r="B939" s="648" t="s">
        <v>346</v>
      </c>
      <c r="C939" s="643" t="s">
        <v>2809</v>
      </c>
      <c r="D939" s="645" t="s">
        <v>2810</v>
      </c>
      <c r="E939" s="646">
        <v>29657</v>
      </c>
      <c r="F939" s="9">
        <f t="shared" ca="1" si="89"/>
        <v>45</v>
      </c>
      <c r="G939" s="647">
        <v>43699</v>
      </c>
      <c r="H939" s="645" t="s">
        <v>271</v>
      </c>
      <c r="I939" s="647">
        <v>44882</v>
      </c>
      <c r="J939" s="644" t="s">
        <v>275</v>
      </c>
      <c r="K939" s="4" t="str">
        <f t="shared" si="80"/>
        <v>I</v>
      </c>
      <c r="L939" s="7" t="str">
        <f t="shared" si="81"/>
        <v>G8</v>
      </c>
      <c r="M939" s="7" t="str">
        <f t="shared" si="82"/>
        <v/>
      </c>
      <c r="N939" s="62" t="str">
        <f t="shared" si="83"/>
        <v/>
      </c>
      <c r="O939" s="8">
        <f t="shared" si="84"/>
        <v>45978</v>
      </c>
      <c r="P939" s="9" t="str">
        <f t="shared" ca="1" si="85"/>
        <v>ATRASADO</v>
      </c>
      <c r="Q939" s="645" t="s">
        <v>1556</v>
      </c>
      <c r="R939" s="644"/>
      <c r="S939" s="9" t="str">
        <f t="shared" ref="S939:S1002" si="90">IF(OR(K939="T1",L939="T1",M939="T1",N939="T1",),"LESION SOSPECHOSA A UPC",IF(OR(K939="T2",L939="T2",M939="T2",N939="T2",),"DERIVAR A UPC POR SEGUNDO ATIPICO",IF(OR(K939="J2",L939="J2",M939="J2",N939="J2",),"TRICOMONAS",IF(OR(K939="J3",L939="J3",M939="J3",N939="J3",),"HERPES SIMPLEX",IF(OR(K939="J5",L939="J5",M939="J5",N939="J5",),"CANDIDA",IF(OR(K939="J6",L939="J6",M939="J6",N939="J6",),"ACTINOMYCES",IF(OR(K939="A1",L939="A1",M939="A1",N939="A1",),"VPH",IF(OR(K939="ASC-H",L939="ASC-H",M939="ASC-H",K939="H2",K939="H3",K939="H4",N939="ASC-H",K939="AGUS",L939="AGUS",L939="H2",L939="H3",L939="H4",M939="AGUS",M939="H2",M939="H3",M939="H4",N939="AGUS",N939="H2",N939="H3",N939="H4"),"MANDAR A UPC / COLPOSCOPIA",IF(OR(K939="A",K939="B",K939="C",K939="D",K939="D0",K939="D1",K939="D2",K939="D3",K939="E",K939="E1",K939="E2",K939="K",K939="T",L939="A",L939="B",L939="C",L939="D",L939="D0",L939="D1",L939="D2",L939="D3",L939="E",L939="E1",L939="E2",L939="K",L939="T",M939="A",M939="B",M939="C",M939="D",M939="D0",M939="D1",M939="D2",M939="D3",M939="E",M939="E1",M939="E2",M939="K",M939="T",N939="A",N939="B",N939="C",N939="D",N939="D0",N939="D1",K939="D2",N939="D2",N939="D3",N939="E",N939="E1",N939="E2",N939="K",N939="T",),"CITAR A UPC","")))))))))</f>
        <v/>
      </c>
    </row>
    <row r="940" spans="1:19" x14ac:dyDescent="0.3">
      <c r="A940" s="10">
        <v>936</v>
      </c>
      <c r="B940" s="648" t="s">
        <v>346</v>
      </c>
      <c r="C940" s="643" t="s">
        <v>2811</v>
      </c>
      <c r="D940" s="645" t="s">
        <v>2812</v>
      </c>
      <c r="E940" s="646">
        <v>31483</v>
      </c>
      <c r="F940" s="9">
        <f t="shared" ca="1" si="89"/>
        <v>40</v>
      </c>
      <c r="G940" s="647">
        <v>43640</v>
      </c>
      <c r="H940" s="645" t="s">
        <v>271</v>
      </c>
      <c r="I940" s="647">
        <v>44869</v>
      </c>
      <c r="J940" s="644" t="s">
        <v>8</v>
      </c>
      <c r="K940" s="4" t="str">
        <f t="shared" si="80"/>
        <v>SI</v>
      </c>
      <c r="L940" s="7" t="str">
        <f t="shared" si="81"/>
        <v xml:space="preserve">N </v>
      </c>
      <c r="M940" s="7" t="str">
        <f t="shared" si="82"/>
        <v>RE</v>
      </c>
      <c r="N940" s="62" t="str">
        <f t="shared" si="83"/>
        <v>GI</v>
      </c>
      <c r="O940" s="8">
        <f t="shared" si="84"/>
        <v>45965</v>
      </c>
      <c r="P940" s="9" t="str">
        <f t="shared" ca="1" si="85"/>
        <v>ATRASADO</v>
      </c>
      <c r="Q940" s="645" t="s">
        <v>1556</v>
      </c>
      <c r="R940" s="642"/>
      <c r="S940" s="9" t="str">
        <f t="shared" si="90"/>
        <v/>
      </c>
    </row>
    <row r="941" spans="1:19" x14ac:dyDescent="0.3">
      <c r="A941" s="10">
        <v>937</v>
      </c>
      <c r="B941" s="648" t="s">
        <v>346</v>
      </c>
      <c r="C941" s="643" t="s">
        <v>2813</v>
      </c>
      <c r="D941" s="645" t="s">
        <v>2814</v>
      </c>
      <c r="E941" s="646">
        <v>25908</v>
      </c>
      <c r="F941" s="9">
        <f t="shared" ca="1" si="89"/>
        <v>55</v>
      </c>
      <c r="G941" s="647">
        <v>43826</v>
      </c>
      <c r="H941" s="645" t="s">
        <v>271</v>
      </c>
      <c r="I941" s="647">
        <v>44883</v>
      </c>
      <c r="J941" s="644" t="s">
        <v>275</v>
      </c>
      <c r="K941" s="4" t="str">
        <f t="shared" si="80"/>
        <v>I</v>
      </c>
      <c r="L941" s="7" t="str">
        <f t="shared" si="81"/>
        <v>G8</v>
      </c>
      <c r="M941" s="7" t="str">
        <f t="shared" si="82"/>
        <v/>
      </c>
      <c r="N941" s="62" t="str">
        <f t="shared" si="83"/>
        <v/>
      </c>
      <c r="O941" s="8">
        <f t="shared" si="84"/>
        <v>45979</v>
      </c>
      <c r="P941" s="9" t="str">
        <f t="shared" ca="1" si="85"/>
        <v>ATRASADO</v>
      </c>
      <c r="Q941" s="645" t="s">
        <v>1556</v>
      </c>
      <c r="R941" s="642"/>
      <c r="S941" s="9" t="str">
        <f t="shared" si="90"/>
        <v/>
      </c>
    </row>
    <row r="942" spans="1:19" x14ac:dyDescent="0.3">
      <c r="A942" s="10">
        <v>938</v>
      </c>
      <c r="B942" s="648" t="s">
        <v>346</v>
      </c>
      <c r="C942" s="643" t="s">
        <v>2815</v>
      </c>
      <c r="D942" s="645" t="s">
        <v>2816</v>
      </c>
      <c r="E942" s="646">
        <v>30478</v>
      </c>
      <c r="F942" s="9">
        <f t="shared" ca="1" si="89"/>
        <v>43</v>
      </c>
      <c r="G942" s="647">
        <v>43102</v>
      </c>
      <c r="H942" s="645" t="s">
        <v>275</v>
      </c>
      <c r="I942" s="647">
        <v>44866</v>
      </c>
      <c r="J942" s="644" t="s">
        <v>275</v>
      </c>
      <c r="K942" s="4" t="str">
        <f t="shared" si="80"/>
        <v>I</v>
      </c>
      <c r="L942" s="7" t="str">
        <f t="shared" si="81"/>
        <v>G8</v>
      </c>
      <c r="M942" s="7" t="str">
        <f t="shared" si="82"/>
        <v/>
      </c>
      <c r="N942" s="62" t="str">
        <f t="shared" si="83"/>
        <v/>
      </c>
      <c r="O942" s="8">
        <f t="shared" si="84"/>
        <v>45962</v>
      </c>
      <c r="P942" s="9" t="str">
        <f t="shared" ca="1" si="85"/>
        <v>ATRASADO</v>
      </c>
      <c r="Q942" s="645" t="s">
        <v>1556</v>
      </c>
      <c r="R942" s="644"/>
      <c r="S942" s="9" t="str">
        <f t="shared" si="90"/>
        <v/>
      </c>
    </row>
    <row r="943" spans="1:19" x14ac:dyDescent="0.3">
      <c r="A943" s="10">
        <v>939</v>
      </c>
      <c r="B943" s="648" t="s">
        <v>346</v>
      </c>
      <c r="C943" s="643" t="s">
        <v>2817</v>
      </c>
      <c r="D943" s="645" t="s">
        <v>2818</v>
      </c>
      <c r="E943" s="646">
        <v>29668</v>
      </c>
      <c r="F943" s="9">
        <f t="shared" ca="1" si="89"/>
        <v>45</v>
      </c>
      <c r="G943" s="645" t="s">
        <v>8</v>
      </c>
      <c r="H943" s="645" t="s">
        <v>275</v>
      </c>
      <c r="I943" s="647">
        <v>44893</v>
      </c>
      <c r="J943" s="644" t="s">
        <v>8</v>
      </c>
      <c r="K943" s="4" t="str">
        <f t="shared" si="80"/>
        <v>SI</v>
      </c>
      <c r="L943" s="7" t="str">
        <f t="shared" si="81"/>
        <v xml:space="preserve">N </v>
      </c>
      <c r="M943" s="7" t="str">
        <f t="shared" si="82"/>
        <v>RE</v>
      </c>
      <c r="N943" s="62" t="str">
        <f t="shared" si="83"/>
        <v>GI</v>
      </c>
      <c r="O943" s="8">
        <f t="shared" si="84"/>
        <v>45989</v>
      </c>
      <c r="P943" s="9" t="str">
        <f t="shared" ca="1" si="85"/>
        <v>ATRASADO</v>
      </c>
      <c r="Q943" s="645" t="s">
        <v>1556</v>
      </c>
      <c r="R943" s="642"/>
      <c r="S943" s="9" t="str">
        <f t="shared" si="90"/>
        <v/>
      </c>
    </row>
    <row r="944" spans="1:19" x14ac:dyDescent="0.3">
      <c r="A944" s="10">
        <v>940</v>
      </c>
      <c r="B944" s="648" t="s">
        <v>346</v>
      </c>
      <c r="C944" s="643" t="s">
        <v>2819</v>
      </c>
      <c r="D944" s="645" t="s">
        <v>2820</v>
      </c>
      <c r="E944" s="646">
        <v>21463</v>
      </c>
      <c r="F944" s="9">
        <f t="shared" ca="1" si="89"/>
        <v>67</v>
      </c>
      <c r="G944" s="647">
        <v>44427</v>
      </c>
      <c r="H944" s="645" t="s">
        <v>735</v>
      </c>
      <c r="I944" s="647">
        <v>44869</v>
      </c>
      <c r="J944" s="644" t="s">
        <v>275</v>
      </c>
      <c r="K944" s="4" t="str">
        <f t="shared" si="80"/>
        <v>I</v>
      </c>
      <c r="L944" s="7" t="str">
        <f t="shared" si="81"/>
        <v>G8</v>
      </c>
      <c r="M944" s="7" t="str">
        <f t="shared" si="82"/>
        <v/>
      </c>
      <c r="N944" s="62" t="str">
        <f t="shared" si="83"/>
        <v/>
      </c>
      <c r="O944" s="8">
        <f t="shared" si="84"/>
        <v>45965</v>
      </c>
      <c r="P944" s="9" t="str">
        <f t="shared" ca="1" si="85"/>
        <v>ATRASADO</v>
      </c>
      <c r="Q944" s="645" t="s">
        <v>1556</v>
      </c>
      <c r="R944" s="642"/>
      <c r="S944" s="9" t="str">
        <f t="shared" si="90"/>
        <v/>
      </c>
    </row>
    <row r="945" spans="1:19" x14ac:dyDescent="0.3">
      <c r="A945" s="10">
        <v>941</v>
      </c>
      <c r="B945" s="648" t="s">
        <v>346</v>
      </c>
      <c r="C945" s="643" t="s">
        <v>2821</v>
      </c>
      <c r="D945" s="645" t="s">
        <v>2822</v>
      </c>
      <c r="E945" s="646">
        <v>34246</v>
      </c>
      <c r="F945" s="9">
        <f t="shared" ca="1" si="89"/>
        <v>32</v>
      </c>
      <c r="G945" s="647">
        <v>44462</v>
      </c>
      <c r="H945" s="645" t="s">
        <v>271</v>
      </c>
      <c r="I945" s="647">
        <v>44887</v>
      </c>
      <c r="J945" s="644" t="s">
        <v>735</v>
      </c>
      <c r="K945" s="4" t="str">
        <f t="shared" si="80"/>
        <v>G3</v>
      </c>
      <c r="L945" s="7" t="str">
        <f t="shared" si="81"/>
        <v>O5</v>
      </c>
      <c r="M945" s="7" t="str">
        <f t="shared" si="82"/>
        <v/>
      </c>
      <c r="N945" s="62" t="str">
        <f t="shared" si="83"/>
        <v/>
      </c>
      <c r="O945" s="8">
        <f t="shared" si="84"/>
        <v>44979</v>
      </c>
      <c r="P945" s="9" t="str">
        <f t="shared" ca="1" si="85"/>
        <v>ATRASADO</v>
      </c>
      <c r="Q945" s="645" t="s">
        <v>1556</v>
      </c>
      <c r="R945" s="644"/>
      <c r="S945" s="9" t="str">
        <f t="shared" si="90"/>
        <v/>
      </c>
    </row>
    <row r="946" spans="1:19" x14ac:dyDescent="0.3">
      <c r="A946" s="10">
        <v>942</v>
      </c>
      <c r="B946" s="648" t="s">
        <v>346</v>
      </c>
      <c r="C946" s="643" t="s">
        <v>2823</v>
      </c>
      <c r="D946" s="645" t="s">
        <v>2824</v>
      </c>
      <c r="E946" s="646">
        <v>27281</v>
      </c>
      <c r="F946" s="9">
        <f t="shared" ca="1" si="89"/>
        <v>52</v>
      </c>
      <c r="G946" s="647">
        <v>43800</v>
      </c>
      <c r="H946" s="645" t="s">
        <v>275</v>
      </c>
      <c r="I946" s="647">
        <v>44882</v>
      </c>
      <c r="J946" s="644" t="s">
        <v>271</v>
      </c>
      <c r="K946" s="4" t="str">
        <f t="shared" si="80"/>
        <v>I</v>
      </c>
      <c r="L946" s="7" t="str">
        <f t="shared" si="81"/>
        <v>G8</v>
      </c>
      <c r="M946" s="7" t="str">
        <f t="shared" si="82"/>
        <v>J1</v>
      </c>
      <c r="N946" s="62" t="str">
        <f t="shared" si="83"/>
        <v/>
      </c>
      <c r="O946" s="8">
        <f t="shared" si="84"/>
        <v>45978</v>
      </c>
      <c r="P946" s="9" t="str">
        <f t="shared" ca="1" si="85"/>
        <v>ATRASADO</v>
      </c>
      <c r="Q946" s="645" t="s">
        <v>1556</v>
      </c>
      <c r="R946" s="642"/>
      <c r="S946" s="9" t="str">
        <f t="shared" si="90"/>
        <v/>
      </c>
    </row>
    <row r="947" spans="1:19" x14ac:dyDescent="0.3">
      <c r="A947" s="10">
        <v>943</v>
      </c>
      <c r="B947" s="648" t="s">
        <v>346</v>
      </c>
      <c r="C947" s="643" t="s">
        <v>2825</v>
      </c>
      <c r="D947" s="645" t="s">
        <v>2826</v>
      </c>
      <c r="E947" s="646">
        <v>33803</v>
      </c>
      <c r="F947" s="9">
        <f t="shared" ca="1" si="89"/>
        <v>34</v>
      </c>
      <c r="G947" s="647">
        <v>43235</v>
      </c>
      <c r="H947" s="645" t="s">
        <v>271</v>
      </c>
      <c r="I947" s="647">
        <v>44878</v>
      </c>
      <c r="J947" s="644" t="s">
        <v>8</v>
      </c>
      <c r="K947" s="4" t="str">
        <f t="shared" si="80"/>
        <v>SI</v>
      </c>
      <c r="L947" s="7" t="str">
        <f t="shared" si="81"/>
        <v xml:space="preserve">N </v>
      </c>
      <c r="M947" s="7" t="str">
        <f t="shared" si="82"/>
        <v>RE</v>
      </c>
      <c r="N947" s="62" t="str">
        <f t="shared" si="83"/>
        <v>GI</v>
      </c>
      <c r="O947" s="8">
        <f t="shared" si="84"/>
        <v>45974</v>
      </c>
      <c r="P947" s="9" t="str">
        <f t="shared" ca="1" si="85"/>
        <v>ATRASADO</v>
      </c>
      <c r="Q947" s="645" t="s">
        <v>1556</v>
      </c>
      <c r="R947" s="642"/>
      <c r="S947" s="9" t="str">
        <f t="shared" si="90"/>
        <v/>
      </c>
    </row>
    <row r="948" spans="1:19" x14ac:dyDescent="0.3">
      <c r="A948" s="10">
        <v>944</v>
      </c>
      <c r="B948" s="648" t="s">
        <v>111</v>
      </c>
      <c r="C948" s="643" t="s">
        <v>2827</v>
      </c>
      <c r="D948" s="645" t="s">
        <v>2828</v>
      </c>
      <c r="E948" s="646">
        <v>36356</v>
      </c>
      <c r="F948" s="9">
        <f t="shared" ca="1" si="89"/>
        <v>27</v>
      </c>
      <c r="G948" s="647">
        <v>43668</v>
      </c>
      <c r="H948" s="645" t="s">
        <v>8</v>
      </c>
      <c r="I948" s="647">
        <v>44890</v>
      </c>
      <c r="J948" s="644" t="s">
        <v>275</v>
      </c>
      <c r="K948" s="4" t="str">
        <f t="shared" si="80"/>
        <v>I</v>
      </c>
      <c r="L948" s="7" t="str">
        <f t="shared" si="81"/>
        <v>G8</v>
      </c>
      <c r="M948" s="7" t="str">
        <f t="shared" si="82"/>
        <v/>
      </c>
      <c r="N948" s="62" t="str">
        <f t="shared" si="83"/>
        <v/>
      </c>
      <c r="O948" s="8">
        <f t="shared" si="84"/>
        <v>45986</v>
      </c>
      <c r="P948" s="9" t="str">
        <f t="shared" ca="1" si="85"/>
        <v>ATRASADO</v>
      </c>
      <c r="Q948" s="645" t="s">
        <v>1556</v>
      </c>
      <c r="R948" s="644"/>
      <c r="S948" s="9" t="str">
        <f t="shared" si="90"/>
        <v/>
      </c>
    </row>
    <row r="949" spans="1:19" x14ac:dyDescent="0.3">
      <c r="A949" s="10">
        <v>945</v>
      </c>
      <c r="B949" s="648" t="s">
        <v>346</v>
      </c>
      <c r="C949" s="643" t="s">
        <v>2829</v>
      </c>
      <c r="D949" s="645" t="s">
        <v>2830</v>
      </c>
      <c r="E949" s="646">
        <v>34267</v>
      </c>
      <c r="F949" s="9">
        <f t="shared" ca="1" si="89"/>
        <v>32</v>
      </c>
      <c r="G949" s="647">
        <v>44308</v>
      </c>
      <c r="H949" s="645" t="s">
        <v>275</v>
      </c>
      <c r="I949" s="647">
        <v>44890</v>
      </c>
      <c r="J949" s="644" t="s">
        <v>1060</v>
      </c>
      <c r="K949" s="4" t="str">
        <f t="shared" si="80"/>
        <v>H1</v>
      </c>
      <c r="L949" s="7" t="str">
        <f t="shared" si="81"/>
        <v>O3</v>
      </c>
      <c r="M949" s="7" t="str">
        <f t="shared" si="82"/>
        <v/>
      </c>
      <c r="N949" s="62" t="str">
        <f t="shared" si="83"/>
        <v/>
      </c>
      <c r="O949" s="8">
        <f t="shared" si="84"/>
        <v>45071</v>
      </c>
      <c r="P949" s="9" t="str">
        <f t="shared" ca="1" si="85"/>
        <v>ATRASADO</v>
      </c>
      <c r="Q949" s="645" t="s">
        <v>1556</v>
      </c>
      <c r="R949" s="642"/>
      <c r="S949" s="9" t="str">
        <f t="shared" si="90"/>
        <v/>
      </c>
    </row>
    <row r="950" spans="1:19" x14ac:dyDescent="0.3">
      <c r="A950" s="10">
        <v>946</v>
      </c>
      <c r="B950" s="648" t="s">
        <v>346</v>
      </c>
      <c r="C950" s="643" t="s">
        <v>2831</v>
      </c>
      <c r="D950" s="645" t="s">
        <v>2832</v>
      </c>
      <c r="E950" s="646">
        <v>23021</v>
      </c>
      <c r="F950" s="9">
        <f t="shared" ca="1" si="89"/>
        <v>63</v>
      </c>
      <c r="G950" s="647">
        <v>44307</v>
      </c>
      <c r="H950" s="645" t="s">
        <v>275</v>
      </c>
      <c r="I950" s="647">
        <v>44872</v>
      </c>
      <c r="J950" s="644" t="s">
        <v>954</v>
      </c>
      <c r="K950" s="4" t="str">
        <f t="shared" si="80"/>
        <v>A1</v>
      </c>
      <c r="L950" s="7" t="str">
        <f t="shared" si="81"/>
        <v>S</v>
      </c>
      <c r="M950" s="7" t="str">
        <f t="shared" si="82"/>
        <v/>
      </c>
      <c r="N950" s="62" t="str">
        <f t="shared" si="83"/>
        <v/>
      </c>
      <c r="O950" s="8">
        <f t="shared" si="84"/>
        <v>45237</v>
      </c>
      <c r="P950" s="9" t="str">
        <f t="shared" ca="1" si="85"/>
        <v>ATRASADO</v>
      </c>
      <c r="Q950" s="645" t="s">
        <v>1556</v>
      </c>
      <c r="R950" s="642"/>
      <c r="S950" s="9" t="str">
        <f t="shared" si="90"/>
        <v>VPH</v>
      </c>
    </row>
    <row r="951" spans="1:19" x14ac:dyDescent="0.3">
      <c r="A951" s="10">
        <v>947</v>
      </c>
      <c r="B951" s="648" t="s">
        <v>346</v>
      </c>
      <c r="C951" s="643" t="s">
        <v>2833</v>
      </c>
      <c r="D951" s="645" t="s">
        <v>2834</v>
      </c>
      <c r="E951" s="646">
        <v>25105</v>
      </c>
      <c r="F951" s="9">
        <f t="shared" ca="1" si="89"/>
        <v>58</v>
      </c>
      <c r="G951" s="647">
        <v>43192</v>
      </c>
      <c r="H951" s="645" t="s">
        <v>271</v>
      </c>
      <c r="I951" s="647">
        <v>44892</v>
      </c>
      <c r="J951" s="644" t="s">
        <v>271</v>
      </c>
      <c r="K951" s="4" t="str">
        <f t="shared" si="80"/>
        <v>I</v>
      </c>
      <c r="L951" s="7" t="str">
        <f t="shared" si="81"/>
        <v>G8</v>
      </c>
      <c r="M951" s="7" t="str">
        <f t="shared" si="82"/>
        <v>J1</v>
      </c>
      <c r="N951" s="62" t="str">
        <f t="shared" si="83"/>
        <v/>
      </c>
      <c r="O951" s="8">
        <f t="shared" si="84"/>
        <v>45988</v>
      </c>
      <c r="P951" s="9" t="str">
        <f t="shared" ca="1" si="85"/>
        <v>ATRASADO</v>
      </c>
      <c r="Q951" s="645" t="s">
        <v>1556</v>
      </c>
      <c r="R951" s="642"/>
      <c r="S951" s="9" t="str">
        <f t="shared" si="90"/>
        <v/>
      </c>
    </row>
    <row r="952" spans="1:19" x14ac:dyDescent="0.3">
      <c r="A952" s="10">
        <v>948</v>
      </c>
      <c r="B952" s="648" t="s">
        <v>45</v>
      </c>
      <c r="C952" s="643" t="s">
        <v>2835</v>
      </c>
      <c r="D952" s="645" t="s">
        <v>2836</v>
      </c>
      <c r="E952" s="646">
        <v>33308</v>
      </c>
      <c r="F952" s="9">
        <f t="shared" ca="1" si="89"/>
        <v>35</v>
      </c>
      <c r="G952" s="645" t="s">
        <v>8</v>
      </c>
      <c r="H952" s="645" t="s">
        <v>320</v>
      </c>
      <c r="I952" s="647">
        <v>44887</v>
      </c>
      <c r="J952" s="644" t="s">
        <v>275</v>
      </c>
      <c r="K952" s="4" t="str">
        <f t="shared" si="80"/>
        <v>I</v>
      </c>
      <c r="L952" s="7" t="str">
        <f t="shared" si="81"/>
        <v>G8</v>
      </c>
      <c r="M952" s="7" t="str">
        <f t="shared" si="82"/>
        <v/>
      </c>
      <c r="N952" s="62" t="str">
        <f t="shared" si="83"/>
        <v/>
      </c>
      <c r="O952" s="8">
        <f t="shared" si="84"/>
        <v>45983</v>
      </c>
      <c r="P952" s="9" t="str">
        <f t="shared" ca="1" si="85"/>
        <v>ATRASADO</v>
      </c>
      <c r="Q952" s="645" t="s">
        <v>1556</v>
      </c>
      <c r="R952" s="642"/>
      <c r="S952" s="9" t="str">
        <f t="shared" si="90"/>
        <v/>
      </c>
    </row>
    <row r="953" spans="1:19" x14ac:dyDescent="0.3">
      <c r="A953" s="10">
        <v>949</v>
      </c>
      <c r="B953" s="655" t="s">
        <v>111</v>
      </c>
      <c r="C953" s="650" t="s">
        <v>2837</v>
      </c>
      <c r="D953" s="652" t="s">
        <v>2838</v>
      </c>
      <c r="E953" s="653">
        <v>32298</v>
      </c>
      <c r="F953" s="9">
        <f t="shared" ca="1" si="89"/>
        <v>38</v>
      </c>
      <c r="G953" s="654">
        <v>43963</v>
      </c>
      <c r="H953" s="652" t="s">
        <v>8</v>
      </c>
      <c r="I953" s="654">
        <v>44882</v>
      </c>
      <c r="J953" s="651" t="s">
        <v>275</v>
      </c>
      <c r="K953" s="4" t="str">
        <f t="shared" si="80"/>
        <v>I</v>
      </c>
      <c r="L953" s="7" t="str">
        <f t="shared" si="81"/>
        <v>G8</v>
      </c>
      <c r="M953" s="7" t="str">
        <f t="shared" si="82"/>
        <v/>
      </c>
      <c r="N953" s="62" t="str">
        <f t="shared" si="83"/>
        <v/>
      </c>
      <c r="O953" s="8">
        <f t="shared" si="84"/>
        <v>45978</v>
      </c>
      <c r="P953" s="9" t="str">
        <f t="shared" ca="1" si="85"/>
        <v>ATRASADO</v>
      </c>
      <c r="Q953" s="652" t="s">
        <v>1556</v>
      </c>
      <c r="R953" s="649"/>
      <c r="S953" s="9" t="str">
        <f t="shared" si="90"/>
        <v/>
      </c>
    </row>
    <row r="954" spans="1:19" x14ac:dyDescent="0.3">
      <c r="A954" s="10">
        <v>950</v>
      </c>
      <c r="B954" s="655" t="s">
        <v>111</v>
      </c>
      <c r="C954" s="650" t="s">
        <v>2839</v>
      </c>
      <c r="D954" s="652" t="s">
        <v>2840</v>
      </c>
      <c r="E954" s="653">
        <v>23204</v>
      </c>
      <c r="F954" s="9">
        <f t="shared" ca="1" si="89"/>
        <v>63</v>
      </c>
      <c r="G954" s="654">
        <v>43558</v>
      </c>
      <c r="H954" s="652" t="s">
        <v>275</v>
      </c>
      <c r="I954" s="654">
        <v>44891</v>
      </c>
      <c r="J954" s="775" t="s">
        <v>340</v>
      </c>
      <c r="K954" s="4" t="str">
        <f t="shared" si="80"/>
        <v>I</v>
      </c>
      <c r="L954" s="7" t="str">
        <f t="shared" si="81"/>
        <v>G8</v>
      </c>
      <c r="M954" s="7" t="str">
        <f t="shared" si="82"/>
        <v>S</v>
      </c>
      <c r="N954" s="62" t="str">
        <f t="shared" si="83"/>
        <v/>
      </c>
      <c r="O954" s="8">
        <f t="shared" si="84"/>
        <v>45256</v>
      </c>
      <c r="P954" s="9" t="str">
        <f t="shared" ca="1" si="85"/>
        <v>ATRASADO</v>
      </c>
      <c r="Q954" s="652" t="s">
        <v>1556</v>
      </c>
      <c r="R954" s="651"/>
      <c r="S954" s="9" t="str">
        <f t="shared" si="90"/>
        <v/>
      </c>
    </row>
    <row r="955" spans="1:19" ht="16.5" customHeight="1" x14ac:dyDescent="0.3">
      <c r="A955" s="10">
        <v>951</v>
      </c>
      <c r="B955" s="655" t="s">
        <v>111</v>
      </c>
      <c r="C955" s="767" t="s">
        <v>2841</v>
      </c>
      <c r="D955" s="652" t="s">
        <v>2842</v>
      </c>
      <c r="E955" s="653">
        <v>25893</v>
      </c>
      <c r="F955" s="9">
        <f t="shared" ca="1" si="89"/>
        <v>55</v>
      </c>
      <c r="G955" s="654">
        <v>44208</v>
      </c>
      <c r="H955" s="652" t="s">
        <v>327</v>
      </c>
      <c r="I955" s="654">
        <v>44875</v>
      </c>
      <c r="J955" s="651" t="s">
        <v>271</v>
      </c>
      <c r="K955" s="4" t="str">
        <f t="shared" si="80"/>
        <v>I</v>
      </c>
      <c r="L955" s="7" t="str">
        <f t="shared" si="81"/>
        <v>G8</v>
      </c>
      <c r="M955" s="7" t="str">
        <f t="shared" si="82"/>
        <v>J1</v>
      </c>
      <c r="N955" s="62" t="str">
        <f t="shared" si="83"/>
        <v/>
      </c>
      <c r="O955" s="8">
        <f t="shared" si="84"/>
        <v>45971</v>
      </c>
      <c r="P955" s="9" t="str">
        <f t="shared" ca="1" si="85"/>
        <v>ATRASADO</v>
      </c>
      <c r="Q955" s="652" t="s">
        <v>1556</v>
      </c>
      <c r="R955" s="649"/>
      <c r="S955" s="9" t="str">
        <f t="shared" si="90"/>
        <v/>
      </c>
    </row>
    <row r="956" spans="1:19" x14ac:dyDescent="0.3">
      <c r="A956" s="10">
        <v>952</v>
      </c>
      <c r="B956" s="655" t="s">
        <v>111</v>
      </c>
      <c r="C956" s="650" t="s">
        <v>2843</v>
      </c>
      <c r="D956" s="652" t="s">
        <v>2844</v>
      </c>
      <c r="E956" s="653">
        <v>32882</v>
      </c>
      <c r="F956" s="9">
        <f t="shared" ca="1" si="89"/>
        <v>36</v>
      </c>
      <c r="G956" s="654">
        <v>43935</v>
      </c>
      <c r="H956" s="652" t="s">
        <v>271</v>
      </c>
      <c r="I956" s="654">
        <v>44868</v>
      </c>
      <c r="J956" s="651" t="s">
        <v>275</v>
      </c>
      <c r="K956" s="4" t="str">
        <f t="shared" si="80"/>
        <v>I</v>
      </c>
      <c r="L956" s="7" t="str">
        <f t="shared" si="81"/>
        <v>G8</v>
      </c>
      <c r="M956" s="7" t="str">
        <f t="shared" si="82"/>
        <v/>
      </c>
      <c r="N956" s="62" t="str">
        <f t="shared" si="83"/>
        <v/>
      </c>
      <c r="O956" s="8">
        <f t="shared" si="84"/>
        <v>45964</v>
      </c>
      <c r="P956" s="9" t="str">
        <f t="shared" ca="1" si="85"/>
        <v>ATRASADO</v>
      </c>
      <c r="Q956" s="652" t="s">
        <v>1556</v>
      </c>
      <c r="R956" s="649"/>
      <c r="S956" s="9" t="str">
        <f t="shared" si="90"/>
        <v/>
      </c>
    </row>
    <row r="957" spans="1:19" x14ac:dyDescent="0.3">
      <c r="A957" s="10">
        <v>953</v>
      </c>
      <c r="B957" s="655" t="s">
        <v>111</v>
      </c>
      <c r="C957" s="650" t="s">
        <v>2845</v>
      </c>
      <c r="D957" s="652" t="s">
        <v>2846</v>
      </c>
      <c r="E957" s="653">
        <v>28515</v>
      </c>
      <c r="F957" s="9">
        <f t="shared" ca="1" si="89"/>
        <v>48</v>
      </c>
      <c r="G957" s="652" t="s">
        <v>8</v>
      </c>
      <c r="H957" s="652" t="s">
        <v>275</v>
      </c>
      <c r="I957" s="654">
        <v>44883</v>
      </c>
      <c r="J957" s="651" t="s">
        <v>340</v>
      </c>
      <c r="K957" s="4" t="str">
        <f t="shared" si="80"/>
        <v>I</v>
      </c>
      <c r="L957" s="7" t="str">
        <f t="shared" si="81"/>
        <v>G8</v>
      </c>
      <c r="M957" s="7" t="str">
        <f t="shared" si="82"/>
        <v>S</v>
      </c>
      <c r="N957" s="62" t="str">
        <f t="shared" si="83"/>
        <v/>
      </c>
      <c r="O957" s="8">
        <f t="shared" si="84"/>
        <v>45248</v>
      </c>
      <c r="P957" s="9" t="str">
        <f t="shared" ca="1" si="85"/>
        <v>ATRASADO</v>
      </c>
      <c r="Q957" s="652" t="s">
        <v>1556</v>
      </c>
      <c r="R957" s="649"/>
      <c r="S957" s="9" t="str">
        <f t="shared" si="90"/>
        <v/>
      </c>
    </row>
    <row r="958" spans="1:19" x14ac:dyDescent="0.3">
      <c r="A958" s="10">
        <v>954</v>
      </c>
      <c r="B958" s="655" t="s">
        <v>111</v>
      </c>
      <c r="C958" s="650" t="s">
        <v>2847</v>
      </c>
      <c r="D958" s="652" t="s">
        <v>2848</v>
      </c>
      <c r="E958" s="653">
        <v>32877</v>
      </c>
      <c r="F958" s="9">
        <f t="shared" ca="1" si="89"/>
        <v>36</v>
      </c>
      <c r="G958" s="652" t="s">
        <v>8</v>
      </c>
      <c r="H958" s="652" t="s">
        <v>271</v>
      </c>
      <c r="I958" s="654">
        <v>44872</v>
      </c>
      <c r="J958" s="651" t="s">
        <v>275</v>
      </c>
      <c r="K958" s="4" t="str">
        <f t="shared" si="80"/>
        <v>I</v>
      </c>
      <c r="L958" s="7" t="str">
        <f t="shared" si="81"/>
        <v>G8</v>
      </c>
      <c r="M958" s="7" t="str">
        <f t="shared" si="82"/>
        <v/>
      </c>
      <c r="N958" s="62" t="str">
        <f t="shared" si="83"/>
        <v/>
      </c>
      <c r="O958" s="8">
        <f t="shared" si="84"/>
        <v>45968</v>
      </c>
      <c r="P958" s="9" t="str">
        <f t="shared" ca="1" si="85"/>
        <v>ATRASADO</v>
      </c>
      <c r="Q958" s="652" t="s">
        <v>1556</v>
      </c>
      <c r="R958" s="651"/>
      <c r="S958" s="9" t="str">
        <f t="shared" si="90"/>
        <v/>
      </c>
    </row>
    <row r="959" spans="1:19" x14ac:dyDescent="0.3">
      <c r="A959" s="10">
        <v>955</v>
      </c>
      <c r="B959" s="662" t="s">
        <v>111</v>
      </c>
      <c r="C959" s="657" t="s">
        <v>2849</v>
      </c>
      <c r="D959" s="659" t="s">
        <v>2850</v>
      </c>
      <c r="E959" s="660">
        <v>27794</v>
      </c>
      <c r="F959" s="9">
        <f t="shared" ca="1" si="89"/>
        <v>50</v>
      </c>
      <c r="G959" s="661">
        <v>43881</v>
      </c>
      <c r="H959" s="659" t="s">
        <v>8</v>
      </c>
      <c r="I959" s="661">
        <v>44872</v>
      </c>
      <c r="J959" s="658" t="s">
        <v>271</v>
      </c>
      <c r="K959" s="4" t="str">
        <f t="shared" si="80"/>
        <v>I</v>
      </c>
      <c r="L959" s="7" t="str">
        <f t="shared" si="81"/>
        <v>G8</v>
      </c>
      <c r="M959" s="7" t="str">
        <f t="shared" si="82"/>
        <v>J1</v>
      </c>
      <c r="N959" s="62" t="str">
        <f t="shared" si="83"/>
        <v/>
      </c>
      <c r="O959" s="8">
        <f t="shared" si="84"/>
        <v>45968</v>
      </c>
      <c r="P959" s="9" t="str">
        <f t="shared" ca="1" si="85"/>
        <v>ATRASADO</v>
      </c>
      <c r="Q959" s="659" t="s">
        <v>1556</v>
      </c>
      <c r="R959" s="656"/>
      <c r="S959" s="9" t="str">
        <f t="shared" si="90"/>
        <v/>
      </c>
    </row>
    <row r="960" spans="1:19" x14ac:dyDescent="0.3">
      <c r="A960" s="10">
        <v>956</v>
      </c>
      <c r="B960" s="662" t="s">
        <v>111</v>
      </c>
      <c r="C960" s="657" t="s">
        <v>2851</v>
      </c>
      <c r="D960" s="659" t="s">
        <v>2852</v>
      </c>
      <c r="E960" s="660">
        <v>26065</v>
      </c>
      <c r="F960" s="9">
        <f t="shared" ca="1" si="89"/>
        <v>55</v>
      </c>
      <c r="G960" s="661">
        <v>43276</v>
      </c>
      <c r="H960" s="659" t="s">
        <v>271</v>
      </c>
      <c r="I960" s="661">
        <v>44881</v>
      </c>
      <c r="J960" s="658" t="s">
        <v>271</v>
      </c>
      <c r="K960" s="4" t="str">
        <f t="shared" si="80"/>
        <v>I</v>
      </c>
      <c r="L960" s="7" t="str">
        <f t="shared" si="81"/>
        <v>G8</v>
      </c>
      <c r="M960" s="7" t="str">
        <f t="shared" si="82"/>
        <v>J1</v>
      </c>
      <c r="N960" s="62" t="str">
        <f t="shared" si="83"/>
        <v/>
      </c>
      <c r="O960" s="8">
        <f t="shared" si="84"/>
        <v>45977</v>
      </c>
      <c r="P960" s="9" t="str">
        <f t="shared" ca="1" si="85"/>
        <v>ATRASADO</v>
      </c>
      <c r="Q960" s="659" t="s">
        <v>1556</v>
      </c>
      <c r="R960" s="656"/>
      <c r="S960" s="9" t="str">
        <f t="shared" si="90"/>
        <v/>
      </c>
    </row>
    <row r="961" spans="1:19" x14ac:dyDescent="0.3">
      <c r="A961" s="10">
        <v>957</v>
      </c>
      <c r="B961" s="662" t="s">
        <v>111</v>
      </c>
      <c r="C961" s="657" t="s">
        <v>2853</v>
      </c>
      <c r="D961" s="659" t="s">
        <v>2854</v>
      </c>
      <c r="E961" s="660">
        <v>21958</v>
      </c>
      <c r="F961" s="9">
        <f t="shared" ca="1" si="89"/>
        <v>66</v>
      </c>
      <c r="G961" s="661">
        <v>43518</v>
      </c>
      <c r="H961" s="659" t="s">
        <v>8</v>
      </c>
      <c r="I961" s="661">
        <v>44878</v>
      </c>
      <c r="J961" s="658" t="s">
        <v>8</v>
      </c>
      <c r="K961" s="4" t="str">
        <f t="shared" si="80"/>
        <v>SI</v>
      </c>
      <c r="L961" s="7" t="str">
        <f t="shared" si="81"/>
        <v xml:space="preserve">N </v>
      </c>
      <c r="M961" s="7" t="str">
        <f t="shared" si="82"/>
        <v>RE</v>
      </c>
      <c r="N961" s="62" t="str">
        <f t="shared" si="83"/>
        <v>GI</v>
      </c>
      <c r="O961" s="8">
        <f t="shared" si="84"/>
        <v>45974</v>
      </c>
      <c r="P961" s="9" t="str">
        <f t="shared" ca="1" si="85"/>
        <v>ATRASADO</v>
      </c>
      <c r="Q961" s="659" t="s">
        <v>1556</v>
      </c>
      <c r="R961" s="656"/>
      <c r="S961" s="9" t="str">
        <f t="shared" si="90"/>
        <v/>
      </c>
    </row>
    <row r="962" spans="1:19" x14ac:dyDescent="0.3">
      <c r="A962" s="10">
        <v>958</v>
      </c>
      <c r="B962" s="662" t="s">
        <v>111</v>
      </c>
      <c r="C962" s="657" t="s">
        <v>2855</v>
      </c>
      <c r="D962" s="659" t="s">
        <v>2856</v>
      </c>
      <c r="E962" s="660">
        <v>27617</v>
      </c>
      <c r="F962" s="9">
        <f t="shared" ca="1" si="89"/>
        <v>51</v>
      </c>
      <c r="G962" s="661">
        <v>43596</v>
      </c>
      <c r="H962" s="659" t="s">
        <v>275</v>
      </c>
      <c r="I962" s="661">
        <v>44886</v>
      </c>
      <c r="J962" s="658" t="s">
        <v>271</v>
      </c>
      <c r="K962" s="4" t="str">
        <f t="shared" si="80"/>
        <v>I</v>
      </c>
      <c r="L962" s="7" t="str">
        <f t="shared" si="81"/>
        <v>G8</v>
      </c>
      <c r="M962" s="7" t="str">
        <f t="shared" si="82"/>
        <v>J1</v>
      </c>
      <c r="N962" s="62" t="str">
        <f t="shared" si="83"/>
        <v/>
      </c>
      <c r="O962" s="8">
        <f t="shared" si="84"/>
        <v>45982</v>
      </c>
      <c r="P962" s="9" t="str">
        <f t="shared" ca="1" si="85"/>
        <v>ATRASADO</v>
      </c>
      <c r="Q962" s="659" t="s">
        <v>1556</v>
      </c>
      <c r="R962" s="656"/>
      <c r="S962" s="9" t="str">
        <f t="shared" si="90"/>
        <v/>
      </c>
    </row>
    <row r="963" spans="1:19" x14ac:dyDescent="0.3">
      <c r="A963" s="10">
        <v>959</v>
      </c>
      <c r="B963" s="662" t="s">
        <v>111</v>
      </c>
      <c r="C963" s="657" t="s">
        <v>2857</v>
      </c>
      <c r="D963" s="659" t="s">
        <v>2858</v>
      </c>
      <c r="E963" s="660">
        <v>34419</v>
      </c>
      <c r="F963" s="9">
        <f t="shared" ca="1" si="89"/>
        <v>32</v>
      </c>
      <c r="G963" s="661">
        <v>43310</v>
      </c>
      <c r="H963" s="659" t="s">
        <v>275</v>
      </c>
      <c r="I963" s="661">
        <v>44868</v>
      </c>
      <c r="J963" s="658" t="s">
        <v>8</v>
      </c>
      <c r="K963" s="4" t="str">
        <f t="shared" si="80"/>
        <v>SI</v>
      </c>
      <c r="L963" s="7" t="str">
        <f t="shared" si="81"/>
        <v xml:space="preserve">N </v>
      </c>
      <c r="M963" s="7" t="str">
        <f t="shared" si="82"/>
        <v>RE</v>
      </c>
      <c r="N963" s="62" t="str">
        <f t="shared" si="83"/>
        <v>GI</v>
      </c>
      <c r="O963" s="8">
        <f t="shared" si="84"/>
        <v>45964</v>
      </c>
      <c r="P963" s="9" t="str">
        <f t="shared" ca="1" si="85"/>
        <v>ATRASADO</v>
      </c>
      <c r="Q963" s="659" t="s">
        <v>1556</v>
      </c>
      <c r="R963" s="656"/>
      <c r="S963" s="9" t="str">
        <f t="shared" si="90"/>
        <v/>
      </c>
    </row>
    <row r="964" spans="1:19" x14ac:dyDescent="0.3">
      <c r="A964" s="10">
        <v>960</v>
      </c>
      <c r="B964" s="662" t="s">
        <v>111</v>
      </c>
      <c r="C964" s="657" t="s">
        <v>2859</v>
      </c>
      <c r="D964" s="659" t="s">
        <v>2860</v>
      </c>
      <c r="E964" s="660">
        <v>29085</v>
      </c>
      <c r="F964" s="9">
        <f t="shared" ca="1" si="89"/>
        <v>47</v>
      </c>
      <c r="G964" s="661">
        <v>44281</v>
      </c>
      <c r="H964" s="659" t="s">
        <v>8</v>
      </c>
      <c r="I964" s="661">
        <v>44891</v>
      </c>
      <c r="J964" s="658" t="s">
        <v>271</v>
      </c>
      <c r="K964" s="4" t="str">
        <f t="shared" si="80"/>
        <v>I</v>
      </c>
      <c r="L964" s="7" t="str">
        <f t="shared" si="81"/>
        <v>G8</v>
      </c>
      <c r="M964" s="7" t="str">
        <f t="shared" si="82"/>
        <v>J1</v>
      </c>
      <c r="N964" s="62" t="str">
        <f t="shared" si="83"/>
        <v/>
      </c>
      <c r="O964" s="8">
        <f t="shared" si="84"/>
        <v>45987</v>
      </c>
      <c r="P964" s="9" t="str">
        <f t="shared" ca="1" si="85"/>
        <v>ATRASADO</v>
      </c>
      <c r="Q964" s="659" t="s">
        <v>1556</v>
      </c>
      <c r="R964" s="656"/>
      <c r="S964" s="9" t="str">
        <f t="shared" si="90"/>
        <v/>
      </c>
    </row>
    <row r="965" spans="1:19" x14ac:dyDescent="0.3">
      <c r="A965" s="10">
        <v>961</v>
      </c>
      <c r="B965" s="662" t="s">
        <v>111</v>
      </c>
      <c r="C965" s="657" t="s">
        <v>2862</v>
      </c>
      <c r="D965" s="659" t="s">
        <v>2863</v>
      </c>
      <c r="E965" s="660">
        <v>32548</v>
      </c>
      <c r="F965" s="9">
        <f t="shared" ca="1" si="89"/>
        <v>37</v>
      </c>
      <c r="G965" s="661">
        <v>44283</v>
      </c>
      <c r="H965" s="659" t="s">
        <v>271</v>
      </c>
      <c r="I965" s="661">
        <v>44887</v>
      </c>
      <c r="J965" s="658" t="s">
        <v>275</v>
      </c>
      <c r="K965" s="4" t="str">
        <f t="shared" si="80"/>
        <v>I</v>
      </c>
      <c r="L965" s="7" t="str">
        <f t="shared" si="81"/>
        <v>G8</v>
      </c>
      <c r="M965" s="7" t="str">
        <f t="shared" si="82"/>
        <v/>
      </c>
      <c r="N965" s="62" t="str">
        <f t="shared" si="83"/>
        <v/>
      </c>
      <c r="O965" s="8">
        <f t="shared" si="84"/>
        <v>45983</v>
      </c>
      <c r="P965" s="9" t="str">
        <f t="shared" ca="1" si="85"/>
        <v>ATRASADO</v>
      </c>
      <c r="Q965" s="659" t="s">
        <v>1556</v>
      </c>
      <c r="R965" s="656"/>
      <c r="S965" s="9" t="str">
        <f t="shared" si="90"/>
        <v/>
      </c>
    </row>
    <row r="966" spans="1:19" x14ac:dyDescent="0.3">
      <c r="A966" s="10">
        <v>962</v>
      </c>
      <c r="B966" s="662" t="s">
        <v>111</v>
      </c>
      <c r="C966" s="657" t="s">
        <v>2864</v>
      </c>
      <c r="D966" s="659" t="s">
        <v>2865</v>
      </c>
      <c r="E966" s="660">
        <v>32758</v>
      </c>
      <c r="F966" s="9">
        <f t="shared" ca="1" si="89"/>
        <v>37</v>
      </c>
      <c r="G966" s="661">
        <v>43410</v>
      </c>
      <c r="H966" s="659" t="s">
        <v>275</v>
      </c>
      <c r="I966" s="661">
        <v>44870</v>
      </c>
      <c r="J966" s="658" t="s">
        <v>271</v>
      </c>
      <c r="K966" s="4" t="str">
        <f t="shared" si="80"/>
        <v>I</v>
      </c>
      <c r="L966" s="7" t="str">
        <f t="shared" si="81"/>
        <v>G8</v>
      </c>
      <c r="M966" s="7" t="str">
        <f t="shared" si="82"/>
        <v>J1</v>
      </c>
      <c r="N966" s="62" t="str">
        <f t="shared" si="83"/>
        <v/>
      </c>
      <c r="O966" s="8">
        <f t="shared" si="84"/>
        <v>45966</v>
      </c>
      <c r="P966" s="9" t="str">
        <f t="shared" ca="1" si="85"/>
        <v>ATRASADO</v>
      </c>
      <c r="Q966" s="659" t="s">
        <v>1556</v>
      </c>
      <c r="R966" s="656"/>
      <c r="S966" s="9" t="str">
        <f t="shared" si="90"/>
        <v/>
      </c>
    </row>
    <row r="967" spans="1:19" x14ac:dyDescent="0.3">
      <c r="A967" s="10">
        <v>963</v>
      </c>
      <c r="B967" s="662" t="s">
        <v>111</v>
      </c>
      <c r="C967" s="657" t="s">
        <v>2866</v>
      </c>
      <c r="D967" s="659" t="s">
        <v>2867</v>
      </c>
      <c r="E967" s="660">
        <v>24104</v>
      </c>
      <c r="F967" s="9">
        <f t="shared" ca="1" si="89"/>
        <v>60</v>
      </c>
      <c r="G967" s="661">
        <v>44209</v>
      </c>
      <c r="H967" s="659" t="s">
        <v>271</v>
      </c>
      <c r="I967" s="661">
        <v>44870</v>
      </c>
      <c r="J967" s="658" t="s">
        <v>271</v>
      </c>
      <c r="K967" s="4" t="str">
        <f t="shared" si="80"/>
        <v>I</v>
      </c>
      <c r="L967" s="7" t="str">
        <f t="shared" si="81"/>
        <v>G8</v>
      </c>
      <c r="M967" s="7" t="str">
        <f t="shared" si="82"/>
        <v>J1</v>
      </c>
      <c r="N967" s="62" t="str">
        <f t="shared" si="83"/>
        <v/>
      </c>
      <c r="O967" s="8">
        <f t="shared" si="84"/>
        <v>45966</v>
      </c>
      <c r="P967" s="9" t="str">
        <f t="shared" ca="1" si="85"/>
        <v>ATRASADO</v>
      </c>
      <c r="Q967" s="659" t="s">
        <v>1556</v>
      </c>
      <c r="R967" s="656"/>
      <c r="S967" s="9" t="str">
        <f t="shared" si="90"/>
        <v/>
      </c>
    </row>
    <row r="968" spans="1:19" x14ac:dyDescent="0.3">
      <c r="A968" s="10">
        <v>964</v>
      </c>
      <c r="B968" s="662" t="s">
        <v>111</v>
      </c>
      <c r="C968" s="657" t="s">
        <v>2868</v>
      </c>
      <c r="D968" s="659" t="s">
        <v>2869</v>
      </c>
      <c r="E968" s="660">
        <v>21832</v>
      </c>
      <c r="F968" s="9">
        <f t="shared" ca="1" si="89"/>
        <v>66</v>
      </c>
      <c r="G968" s="661">
        <v>43666</v>
      </c>
      <c r="H968" s="659" t="s">
        <v>271</v>
      </c>
      <c r="I968" s="661">
        <v>44892</v>
      </c>
      <c r="J968" s="658" t="s">
        <v>275</v>
      </c>
      <c r="K968" s="4" t="str">
        <f t="shared" si="80"/>
        <v>I</v>
      </c>
      <c r="L968" s="7" t="str">
        <f t="shared" si="81"/>
        <v>G8</v>
      </c>
      <c r="M968" s="7" t="str">
        <f t="shared" si="82"/>
        <v/>
      </c>
      <c r="N968" s="62" t="str">
        <f t="shared" si="83"/>
        <v/>
      </c>
      <c r="O968" s="8">
        <f t="shared" si="84"/>
        <v>45988</v>
      </c>
      <c r="P968" s="9" t="str">
        <f t="shared" ca="1" si="85"/>
        <v>ATRASADO</v>
      </c>
      <c r="Q968" s="659" t="s">
        <v>1556</v>
      </c>
      <c r="R968" s="658"/>
      <c r="S968" s="9" t="str">
        <f t="shared" si="90"/>
        <v/>
      </c>
    </row>
    <row r="969" spans="1:19" x14ac:dyDescent="0.3">
      <c r="A969" s="10">
        <v>965</v>
      </c>
      <c r="B969" s="662" t="s">
        <v>111</v>
      </c>
      <c r="C969" s="657" t="s">
        <v>2870</v>
      </c>
      <c r="D969" s="659" t="s">
        <v>2871</v>
      </c>
      <c r="E969" s="660">
        <v>26810</v>
      </c>
      <c r="F969" s="9">
        <f t="shared" ca="1" si="89"/>
        <v>53</v>
      </c>
      <c r="G969" s="661">
        <v>43584</v>
      </c>
      <c r="H969" s="659" t="s">
        <v>271</v>
      </c>
      <c r="I969" s="661">
        <v>44888</v>
      </c>
      <c r="J969" s="658" t="s">
        <v>275</v>
      </c>
      <c r="K969" s="4" t="str">
        <f t="shared" si="80"/>
        <v>I</v>
      </c>
      <c r="L969" s="7" t="str">
        <f t="shared" si="81"/>
        <v>G8</v>
      </c>
      <c r="M969" s="7" t="str">
        <f t="shared" si="82"/>
        <v/>
      </c>
      <c r="N969" s="62" t="str">
        <f t="shared" si="83"/>
        <v/>
      </c>
      <c r="O969" s="8">
        <f t="shared" si="84"/>
        <v>45984</v>
      </c>
      <c r="P969" s="9" t="str">
        <f t="shared" ca="1" si="85"/>
        <v>ATRASADO</v>
      </c>
      <c r="Q969" s="659" t="s">
        <v>1556</v>
      </c>
      <c r="R969" s="658"/>
      <c r="S969" s="9" t="str">
        <f t="shared" si="90"/>
        <v/>
      </c>
    </row>
    <row r="970" spans="1:19" x14ac:dyDescent="0.3">
      <c r="A970" s="10">
        <v>966</v>
      </c>
      <c r="B970" s="669" t="s">
        <v>111</v>
      </c>
      <c r="C970" s="664" t="s">
        <v>2872</v>
      </c>
      <c r="D970" s="666" t="s">
        <v>2873</v>
      </c>
      <c r="E970" s="667">
        <v>21231</v>
      </c>
      <c r="F970" s="9">
        <f t="shared" ca="1" si="89"/>
        <v>68</v>
      </c>
      <c r="G970" s="668">
        <v>44016</v>
      </c>
      <c r="H970" s="666" t="s">
        <v>275</v>
      </c>
      <c r="I970" s="668">
        <v>44893</v>
      </c>
      <c r="J970" s="665" t="s">
        <v>275</v>
      </c>
      <c r="K970" s="4" t="str">
        <f t="shared" si="80"/>
        <v>I</v>
      </c>
      <c r="L970" s="7" t="str">
        <f t="shared" si="81"/>
        <v>G8</v>
      </c>
      <c r="M970" s="7" t="str">
        <f t="shared" si="82"/>
        <v/>
      </c>
      <c r="N970" s="62" t="str">
        <f t="shared" si="83"/>
        <v/>
      </c>
      <c r="O970" s="8">
        <f t="shared" si="84"/>
        <v>45989</v>
      </c>
      <c r="P970" s="9" t="str">
        <f t="shared" ca="1" si="85"/>
        <v>ATRASADO</v>
      </c>
      <c r="Q970" s="666" t="s">
        <v>1556</v>
      </c>
      <c r="R970" s="663"/>
      <c r="S970" s="9" t="str">
        <f t="shared" si="90"/>
        <v/>
      </c>
    </row>
    <row r="971" spans="1:19" x14ac:dyDescent="0.3">
      <c r="A971" s="10">
        <v>967</v>
      </c>
      <c r="B971" s="669" t="s">
        <v>111</v>
      </c>
      <c r="C971" s="664" t="s">
        <v>2874</v>
      </c>
      <c r="D971" s="666" t="s">
        <v>2875</v>
      </c>
      <c r="E971" s="667">
        <v>34937</v>
      </c>
      <c r="F971" s="9">
        <f t="shared" ca="1" si="89"/>
        <v>31</v>
      </c>
      <c r="G971" s="668">
        <v>44112</v>
      </c>
      <c r="H971" s="666" t="s">
        <v>340</v>
      </c>
      <c r="I971" s="668">
        <v>44869</v>
      </c>
      <c r="J971" s="665" t="s">
        <v>275</v>
      </c>
      <c r="K971" s="4" t="str">
        <f t="shared" si="80"/>
        <v>I</v>
      </c>
      <c r="L971" s="7" t="str">
        <f t="shared" si="81"/>
        <v>G8</v>
      </c>
      <c r="M971" s="7" t="str">
        <f t="shared" si="82"/>
        <v/>
      </c>
      <c r="N971" s="62" t="str">
        <f t="shared" si="83"/>
        <v/>
      </c>
      <c r="O971" s="8">
        <f t="shared" si="84"/>
        <v>45965</v>
      </c>
      <c r="P971" s="9" t="str">
        <f t="shared" ca="1" si="85"/>
        <v>ATRASADO</v>
      </c>
      <c r="Q971" s="666" t="s">
        <v>1556</v>
      </c>
      <c r="R971" s="663"/>
      <c r="S971" s="9" t="str">
        <f t="shared" si="90"/>
        <v/>
      </c>
    </row>
    <row r="972" spans="1:19" x14ac:dyDescent="0.3">
      <c r="A972" s="10">
        <v>968</v>
      </c>
      <c r="B972" s="669" t="s">
        <v>111</v>
      </c>
      <c r="C972" s="664" t="s">
        <v>2876</v>
      </c>
      <c r="D972" s="666" t="s">
        <v>2877</v>
      </c>
      <c r="E972" s="667">
        <v>28637</v>
      </c>
      <c r="F972" s="9">
        <f t="shared" ca="1" si="89"/>
        <v>48</v>
      </c>
      <c r="G972" s="666" t="s">
        <v>8</v>
      </c>
      <c r="H972" s="666" t="s">
        <v>275</v>
      </c>
      <c r="I972" s="668">
        <v>44891</v>
      </c>
      <c r="J972" s="770" t="s">
        <v>271</v>
      </c>
      <c r="K972" s="4" t="str">
        <f t="shared" si="80"/>
        <v>I</v>
      </c>
      <c r="L972" s="7" t="str">
        <f t="shared" si="81"/>
        <v>G8</v>
      </c>
      <c r="M972" s="7" t="str">
        <f t="shared" si="82"/>
        <v>J1</v>
      </c>
      <c r="N972" s="62" t="str">
        <f t="shared" si="83"/>
        <v/>
      </c>
      <c r="O972" s="8">
        <f t="shared" si="84"/>
        <v>45987</v>
      </c>
      <c r="P972" s="9" t="str">
        <f t="shared" ca="1" si="85"/>
        <v>ATRASADO</v>
      </c>
      <c r="Q972" s="666" t="s">
        <v>1556</v>
      </c>
      <c r="R972" s="663"/>
      <c r="S972" s="9" t="str">
        <f t="shared" si="90"/>
        <v/>
      </c>
    </row>
    <row r="973" spans="1:19" x14ac:dyDescent="0.3">
      <c r="A973" s="10">
        <v>969</v>
      </c>
      <c r="B973" s="669" t="s">
        <v>111</v>
      </c>
      <c r="C973" s="664" t="s">
        <v>2878</v>
      </c>
      <c r="D973" s="666" t="s">
        <v>2879</v>
      </c>
      <c r="E973" s="667">
        <v>27078</v>
      </c>
      <c r="F973" s="9">
        <f t="shared" ca="1" si="89"/>
        <v>52</v>
      </c>
      <c r="G973" s="668">
        <v>43516</v>
      </c>
      <c r="H973" s="666" t="s">
        <v>300</v>
      </c>
      <c r="I973" s="668">
        <v>44887</v>
      </c>
      <c r="J973" s="665" t="s">
        <v>275</v>
      </c>
      <c r="K973" s="4" t="str">
        <f t="shared" si="80"/>
        <v>I</v>
      </c>
      <c r="L973" s="7" t="str">
        <f t="shared" si="81"/>
        <v>G8</v>
      </c>
      <c r="M973" s="7" t="str">
        <f t="shared" si="82"/>
        <v/>
      </c>
      <c r="N973" s="62" t="str">
        <f t="shared" si="83"/>
        <v/>
      </c>
      <c r="O973" s="8">
        <f t="shared" ref="O973:O1036" si="91">IF(I973="","",IF(OR(K973="S",L973="S",M973="S",N973="S",K973="G7",L973="G7",M973="G7",N973="G7",),DATE(YEAR(I973)+1,MONTH(I973),DAY(I973)),IF(OR(K973="O3",L973="O3",M973="O3",N973="O3",K973="ASCUS",L973="ASCUS",M973="ASCUS",N973="ASCUS"),DATE(YEAR(I973),MONTH(I973)+6,DAY(I973)),IF(OR(K973="O5",L973="O5",M973="O5",N973="O5"),DATE(YEAR(I973),MONTH(I973)+3,DAY(I973)),IF(OR(K973="T",L973="T",M973="T",N973="T"),DATE(YEAR(I973),MONTH(I973)+1,DAY(I973)+10),DATE(YEAR(I973)+3,MONTH(I973),DAY(I973)))))))</f>
        <v>45983</v>
      </c>
      <c r="P973" s="9" t="str">
        <f t="shared" ca="1" si="85"/>
        <v>ATRASADO</v>
      </c>
      <c r="Q973" s="666" t="s">
        <v>1556</v>
      </c>
      <c r="R973" s="663"/>
      <c r="S973" s="9" t="str">
        <f t="shared" si="90"/>
        <v/>
      </c>
    </row>
    <row r="974" spans="1:19" x14ac:dyDescent="0.3">
      <c r="A974" s="10">
        <v>970</v>
      </c>
      <c r="B974" s="669" t="s">
        <v>111</v>
      </c>
      <c r="C974" s="664" t="s">
        <v>2880</v>
      </c>
      <c r="D974" s="666" t="s">
        <v>2881</v>
      </c>
      <c r="E974" s="667">
        <v>32032</v>
      </c>
      <c r="F974" s="9">
        <f t="shared" ca="1" si="89"/>
        <v>39</v>
      </c>
      <c r="G974" s="668">
        <v>43230</v>
      </c>
      <c r="H974" s="666" t="s">
        <v>271</v>
      </c>
      <c r="I974" s="668">
        <v>44882</v>
      </c>
      <c r="J974" s="665" t="s">
        <v>8</v>
      </c>
      <c r="K974" s="4" t="str">
        <f t="shared" si="80"/>
        <v>SI</v>
      </c>
      <c r="L974" s="7" t="str">
        <f t="shared" si="81"/>
        <v xml:space="preserve">N </v>
      </c>
      <c r="M974" s="7" t="str">
        <f t="shared" si="82"/>
        <v>RE</v>
      </c>
      <c r="N974" s="62" t="str">
        <f t="shared" si="83"/>
        <v>GI</v>
      </c>
      <c r="O974" s="8">
        <f t="shared" si="91"/>
        <v>45978</v>
      </c>
      <c r="P974" s="9" t="str">
        <f t="shared" ca="1" si="85"/>
        <v>ATRASADO</v>
      </c>
      <c r="Q974" s="666" t="s">
        <v>1556</v>
      </c>
      <c r="R974" s="663"/>
      <c r="S974" s="9" t="str">
        <f t="shared" si="90"/>
        <v/>
      </c>
    </row>
    <row r="975" spans="1:19" x14ac:dyDescent="0.3">
      <c r="A975" s="10">
        <v>971</v>
      </c>
      <c r="B975" s="669" t="s">
        <v>111</v>
      </c>
      <c r="C975" s="664" t="s">
        <v>2882</v>
      </c>
      <c r="D975" s="666" t="s">
        <v>2883</v>
      </c>
      <c r="E975" s="667">
        <v>26051</v>
      </c>
      <c r="F975" s="9">
        <f t="shared" ca="1" si="89"/>
        <v>55</v>
      </c>
      <c r="G975" s="668">
        <v>43986</v>
      </c>
      <c r="H975" s="666" t="s">
        <v>275</v>
      </c>
      <c r="I975" s="668">
        <v>44884</v>
      </c>
      <c r="J975" s="665" t="s">
        <v>275</v>
      </c>
      <c r="K975" s="4" t="str">
        <f t="shared" si="80"/>
        <v>I</v>
      </c>
      <c r="L975" s="7" t="str">
        <f t="shared" si="81"/>
        <v>G8</v>
      </c>
      <c r="M975" s="7" t="str">
        <f t="shared" si="82"/>
        <v/>
      </c>
      <c r="N975" s="62" t="str">
        <f t="shared" si="83"/>
        <v/>
      </c>
      <c r="O975" s="8">
        <f t="shared" si="91"/>
        <v>45980</v>
      </c>
      <c r="P975" s="9" t="str">
        <f t="shared" ca="1" si="85"/>
        <v>ATRASADO</v>
      </c>
      <c r="Q975" s="666" t="s">
        <v>1556</v>
      </c>
      <c r="R975" s="665"/>
      <c r="S975" s="9" t="str">
        <f t="shared" si="90"/>
        <v/>
      </c>
    </row>
    <row r="976" spans="1:19" x14ac:dyDescent="0.3">
      <c r="A976" s="10">
        <v>972</v>
      </c>
      <c r="B976" s="669" t="s">
        <v>111</v>
      </c>
      <c r="C976" s="664" t="s">
        <v>2884</v>
      </c>
      <c r="D976" s="666" t="s">
        <v>2885</v>
      </c>
      <c r="E976" s="667">
        <v>22890</v>
      </c>
      <c r="F976" s="9">
        <f t="shared" ca="1" si="89"/>
        <v>64</v>
      </c>
      <c r="G976" s="668">
        <v>43997</v>
      </c>
      <c r="H976" s="666" t="s">
        <v>340</v>
      </c>
      <c r="I976" s="668">
        <v>44868</v>
      </c>
      <c r="J976" s="665" t="s">
        <v>271</v>
      </c>
      <c r="K976" s="4" t="str">
        <f t="shared" si="80"/>
        <v>I</v>
      </c>
      <c r="L976" s="7" t="str">
        <f t="shared" si="81"/>
        <v>G8</v>
      </c>
      <c r="M976" s="7" t="str">
        <f t="shared" si="82"/>
        <v>J1</v>
      </c>
      <c r="N976" s="62" t="str">
        <f t="shared" si="83"/>
        <v/>
      </c>
      <c r="O976" s="8">
        <f t="shared" si="91"/>
        <v>45964</v>
      </c>
      <c r="P976" s="9" t="str">
        <f t="shared" ca="1" si="85"/>
        <v>ATRASADO</v>
      </c>
      <c r="Q976" s="666" t="s">
        <v>1556</v>
      </c>
      <c r="R976" s="665" t="s">
        <v>1601</v>
      </c>
      <c r="S976" s="9" t="str">
        <f t="shared" si="90"/>
        <v/>
      </c>
    </row>
    <row r="977" spans="1:19" x14ac:dyDescent="0.3">
      <c r="A977" s="10">
        <v>973</v>
      </c>
      <c r="B977" s="669" t="s">
        <v>111</v>
      </c>
      <c r="C977" s="664" t="s">
        <v>2886</v>
      </c>
      <c r="D977" s="666" t="s">
        <v>2887</v>
      </c>
      <c r="E977" s="667">
        <v>27943</v>
      </c>
      <c r="F977" s="9">
        <f t="shared" ca="1" si="89"/>
        <v>50</v>
      </c>
      <c r="G977" s="666" t="s">
        <v>8</v>
      </c>
      <c r="H977" s="666" t="s">
        <v>291</v>
      </c>
      <c r="I977" s="668">
        <v>44886</v>
      </c>
      <c r="J977" s="665" t="s">
        <v>271</v>
      </c>
      <c r="K977" s="4" t="str">
        <f t="shared" si="80"/>
        <v>I</v>
      </c>
      <c r="L977" s="7" t="str">
        <f t="shared" si="81"/>
        <v>G8</v>
      </c>
      <c r="M977" s="7" t="str">
        <f t="shared" si="82"/>
        <v>J1</v>
      </c>
      <c r="N977" s="62" t="str">
        <f t="shared" si="83"/>
        <v/>
      </c>
      <c r="O977" s="8">
        <f t="shared" si="91"/>
        <v>45982</v>
      </c>
      <c r="P977" s="9" t="str">
        <f t="shared" ca="1" si="85"/>
        <v>ATRASADO</v>
      </c>
      <c r="Q977" s="666" t="s">
        <v>1556</v>
      </c>
      <c r="R977" s="665"/>
      <c r="S977" s="9" t="str">
        <f t="shared" si="90"/>
        <v/>
      </c>
    </row>
    <row r="978" spans="1:19" x14ac:dyDescent="0.3">
      <c r="A978" s="10">
        <v>974</v>
      </c>
      <c r="B978" s="669" t="s">
        <v>111</v>
      </c>
      <c r="C978" s="664" t="s">
        <v>2888</v>
      </c>
      <c r="D978" s="666" t="s">
        <v>2889</v>
      </c>
      <c r="E978" s="667">
        <v>31484</v>
      </c>
      <c r="F978" s="9">
        <f t="shared" ca="1" si="89"/>
        <v>40</v>
      </c>
      <c r="G978" s="668">
        <v>43223</v>
      </c>
      <c r="H978" s="666" t="s">
        <v>275</v>
      </c>
      <c r="I978" s="668">
        <v>44875</v>
      </c>
      <c r="J978" s="665" t="s">
        <v>271</v>
      </c>
      <c r="K978" s="4" t="str">
        <f t="shared" si="80"/>
        <v>I</v>
      </c>
      <c r="L978" s="7" t="str">
        <f t="shared" si="81"/>
        <v>G8</v>
      </c>
      <c r="M978" s="7" t="str">
        <f t="shared" si="82"/>
        <v>J1</v>
      </c>
      <c r="N978" s="62" t="str">
        <f t="shared" si="83"/>
        <v/>
      </c>
      <c r="O978" s="8">
        <f t="shared" si="91"/>
        <v>45971</v>
      </c>
      <c r="P978" s="9" t="str">
        <f t="shared" ca="1" si="85"/>
        <v>ATRASADO</v>
      </c>
      <c r="Q978" s="666" t="s">
        <v>1556</v>
      </c>
      <c r="R978" s="663"/>
      <c r="S978" s="9" t="str">
        <f t="shared" si="90"/>
        <v/>
      </c>
    </row>
    <row r="979" spans="1:19" x14ac:dyDescent="0.3">
      <c r="A979" s="10">
        <v>975</v>
      </c>
      <c r="B979" s="669" t="s">
        <v>111</v>
      </c>
      <c r="C979" s="664" t="s">
        <v>2890</v>
      </c>
      <c r="D979" s="666" t="s">
        <v>2891</v>
      </c>
      <c r="E979" s="667">
        <v>25258</v>
      </c>
      <c r="F979" s="9">
        <f t="shared" ca="1" si="89"/>
        <v>57</v>
      </c>
      <c r="G979" s="668">
        <v>43915</v>
      </c>
      <c r="H979" s="666" t="s">
        <v>271</v>
      </c>
      <c r="I979" s="668">
        <v>44886</v>
      </c>
      <c r="J979" s="665" t="s">
        <v>275</v>
      </c>
      <c r="K979" s="4" t="str">
        <f t="shared" si="80"/>
        <v>I</v>
      </c>
      <c r="L979" s="7" t="str">
        <f t="shared" si="81"/>
        <v>G8</v>
      </c>
      <c r="M979" s="7" t="str">
        <f t="shared" si="82"/>
        <v/>
      </c>
      <c r="N979" s="62" t="str">
        <f t="shared" si="83"/>
        <v/>
      </c>
      <c r="O979" s="8">
        <f t="shared" si="91"/>
        <v>45982</v>
      </c>
      <c r="P979" s="9" t="str">
        <f t="shared" ca="1" si="85"/>
        <v>ATRASADO</v>
      </c>
      <c r="Q979" s="666" t="s">
        <v>1556</v>
      </c>
      <c r="R979" s="663"/>
      <c r="S979" s="9" t="str">
        <f t="shared" si="90"/>
        <v/>
      </c>
    </row>
    <row r="980" spans="1:19" x14ac:dyDescent="0.3">
      <c r="A980" s="10">
        <v>976</v>
      </c>
      <c r="B980" s="669" t="s">
        <v>111</v>
      </c>
      <c r="C980" s="664" t="s">
        <v>2892</v>
      </c>
      <c r="D980" s="666" t="s">
        <v>2893</v>
      </c>
      <c r="E980" s="667">
        <v>27222</v>
      </c>
      <c r="F980" s="9">
        <f t="shared" ca="1" si="89"/>
        <v>52</v>
      </c>
      <c r="G980" s="668">
        <v>44338</v>
      </c>
      <c r="H980" s="666" t="s">
        <v>275</v>
      </c>
      <c r="I980" s="668">
        <v>44881</v>
      </c>
      <c r="J980" s="665" t="s">
        <v>275</v>
      </c>
      <c r="K980" s="4" t="str">
        <f t="shared" si="80"/>
        <v>I</v>
      </c>
      <c r="L980" s="7" t="str">
        <f t="shared" si="81"/>
        <v>G8</v>
      </c>
      <c r="M980" s="7" t="str">
        <f t="shared" si="82"/>
        <v/>
      </c>
      <c r="N980" s="62" t="str">
        <f t="shared" si="83"/>
        <v/>
      </c>
      <c r="O980" s="8">
        <f t="shared" si="91"/>
        <v>45977</v>
      </c>
      <c r="P980" s="9" t="str">
        <f t="shared" ca="1" si="85"/>
        <v>ATRASADO</v>
      </c>
      <c r="Q980" s="666" t="s">
        <v>1556</v>
      </c>
      <c r="R980" s="663"/>
      <c r="S980" s="9" t="str">
        <f t="shared" si="90"/>
        <v/>
      </c>
    </row>
    <row r="981" spans="1:19" x14ac:dyDescent="0.3">
      <c r="A981" s="10">
        <v>977</v>
      </c>
      <c r="B981" s="669" t="s">
        <v>111</v>
      </c>
      <c r="C981" s="664" t="s">
        <v>2894</v>
      </c>
      <c r="D981" s="666" t="s">
        <v>2895</v>
      </c>
      <c r="E981" s="667">
        <v>23669</v>
      </c>
      <c r="F981" s="9">
        <f t="shared" ca="1" si="89"/>
        <v>61</v>
      </c>
      <c r="G981" s="668">
        <v>43128</v>
      </c>
      <c r="H981" s="666" t="s">
        <v>594</v>
      </c>
      <c r="I981" s="668">
        <v>44868</v>
      </c>
      <c r="J981" s="665" t="s">
        <v>271</v>
      </c>
      <c r="K981" s="4" t="str">
        <f t="shared" si="80"/>
        <v>I</v>
      </c>
      <c r="L981" s="7" t="str">
        <f t="shared" si="81"/>
        <v>G8</v>
      </c>
      <c r="M981" s="7" t="str">
        <f t="shared" si="82"/>
        <v>J1</v>
      </c>
      <c r="N981" s="62" t="str">
        <f t="shared" si="83"/>
        <v/>
      </c>
      <c r="O981" s="8">
        <f t="shared" si="91"/>
        <v>45964</v>
      </c>
      <c r="P981" s="9" t="str">
        <f t="shared" ca="1" si="85"/>
        <v>ATRASADO</v>
      </c>
      <c r="Q981" s="666" t="s">
        <v>1556</v>
      </c>
      <c r="R981" s="663"/>
      <c r="S981" s="9" t="str">
        <f t="shared" si="90"/>
        <v/>
      </c>
    </row>
    <row r="982" spans="1:19" x14ac:dyDescent="0.3">
      <c r="A982" s="10">
        <v>978</v>
      </c>
      <c r="B982" s="669" t="s">
        <v>111</v>
      </c>
      <c r="C982" s="664" t="s">
        <v>2896</v>
      </c>
      <c r="D982" s="666" t="s">
        <v>2897</v>
      </c>
      <c r="E982" s="667">
        <v>30690</v>
      </c>
      <c r="F982" s="9">
        <f t="shared" ca="1" si="89"/>
        <v>42</v>
      </c>
      <c r="G982" s="668">
        <v>44010</v>
      </c>
      <c r="H982" s="666" t="s">
        <v>275</v>
      </c>
      <c r="I982" s="668">
        <v>44877</v>
      </c>
      <c r="J982" s="665" t="s">
        <v>271</v>
      </c>
      <c r="K982" s="4" t="str">
        <f t="shared" si="80"/>
        <v>I</v>
      </c>
      <c r="L982" s="7" t="str">
        <f t="shared" si="81"/>
        <v>G8</v>
      </c>
      <c r="M982" s="7" t="str">
        <f t="shared" si="82"/>
        <v>J1</v>
      </c>
      <c r="N982" s="62" t="str">
        <f t="shared" si="83"/>
        <v/>
      </c>
      <c r="O982" s="8">
        <f t="shared" si="91"/>
        <v>45973</v>
      </c>
      <c r="P982" s="9" t="str">
        <f t="shared" ca="1" si="85"/>
        <v>ATRASADO</v>
      </c>
      <c r="Q982" s="666" t="s">
        <v>1556</v>
      </c>
      <c r="R982" s="663"/>
      <c r="S982" s="9" t="str">
        <f t="shared" si="90"/>
        <v/>
      </c>
    </row>
    <row r="983" spans="1:19" x14ac:dyDescent="0.3">
      <c r="A983" s="10">
        <v>979</v>
      </c>
      <c r="B983" s="669" t="s">
        <v>111</v>
      </c>
      <c r="C983" s="664" t="s">
        <v>2898</v>
      </c>
      <c r="D983" s="666" t="s">
        <v>2899</v>
      </c>
      <c r="E983" s="667">
        <v>28524</v>
      </c>
      <c r="F983" s="9">
        <f t="shared" ca="1" si="89"/>
        <v>48</v>
      </c>
      <c r="G983" s="668">
        <v>43367</v>
      </c>
      <c r="H983" s="666" t="s">
        <v>271</v>
      </c>
      <c r="I983" s="668">
        <v>44881</v>
      </c>
      <c r="J983" s="665" t="s">
        <v>275</v>
      </c>
      <c r="K983" s="4" t="str">
        <f t="shared" si="80"/>
        <v>I</v>
      </c>
      <c r="L983" s="7" t="str">
        <f t="shared" si="81"/>
        <v>G8</v>
      </c>
      <c r="M983" s="7" t="str">
        <f t="shared" si="82"/>
        <v/>
      </c>
      <c r="N983" s="62" t="str">
        <f t="shared" si="83"/>
        <v/>
      </c>
      <c r="O983" s="8">
        <f t="shared" si="91"/>
        <v>45977</v>
      </c>
      <c r="P983" s="9" t="str">
        <f t="shared" ca="1" si="85"/>
        <v>ATRASADO</v>
      </c>
      <c r="Q983" s="666" t="s">
        <v>1556</v>
      </c>
      <c r="R983" s="663"/>
      <c r="S983" s="9" t="str">
        <f t="shared" si="90"/>
        <v/>
      </c>
    </row>
    <row r="984" spans="1:19" x14ac:dyDescent="0.3">
      <c r="A984" s="10">
        <v>980</v>
      </c>
      <c r="B984" s="669" t="s">
        <v>111</v>
      </c>
      <c r="C984" s="664" t="s">
        <v>2900</v>
      </c>
      <c r="D984" s="666" t="s">
        <v>2901</v>
      </c>
      <c r="E984" s="667">
        <v>35508</v>
      </c>
      <c r="F984" s="9">
        <f t="shared" ca="1" si="89"/>
        <v>29</v>
      </c>
      <c r="G984" s="666" t="s">
        <v>8</v>
      </c>
      <c r="H984" s="666" t="s">
        <v>275</v>
      </c>
      <c r="I984" s="668">
        <v>44892</v>
      </c>
      <c r="J984" s="665" t="s">
        <v>327</v>
      </c>
      <c r="K984" s="4" t="str">
        <f t="shared" si="80"/>
        <v>I</v>
      </c>
      <c r="L984" s="7" t="str">
        <f t="shared" si="81"/>
        <v>G7</v>
      </c>
      <c r="M984" s="7" t="str">
        <f t="shared" si="82"/>
        <v>S</v>
      </c>
      <c r="N984" s="62" t="str">
        <f t="shared" si="83"/>
        <v/>
      </c>
      <c r="O984" s="8">
        <f t="shared" si="91"/>
        <v>45257</v>
      </c>
      <c r="P984" s="9" t="str">
        <f t="shared" ca="1" si="85"/>
        <v>ATRASADO</v>
      </c>
      <c r="Q984" s="666" t="s">
        <v>1556</v>
      </c>
      <c r="R984" s="663"/>
      <c r="S984" s="9" t="str">
        <f t="shared" si="90"/>
        <v/>
      </c>
    </row>
    <row r="985" spans="1:19" x14ac:dyDescent="0.3">
      <c r="A985" s="10">
        <v>981</v>
      </c>
      <c r="B985" s="669" t="s">
        <v>111</v>
      </c>
      <c r="C985" s="664" t="s">
        <v>2902</v>
      </c>
      <c r="D985" s="666" t="s">
        <v>2903</v>
      </c>
      <c r="E985" s="667">
        <v>29479</v>
      </c>
      <c r="F985" s="9">
        <f t="shared" ca="1" si="89"/>
        <v>46</v>
      </c>
      <c r="G985" s="668">
        <v>43224</v>
      </c>
      <c r="H985" s="666" t="s">
        <v>275</v>
      </c>
      <c r="I985" s="668">
        <v>44866</v>
      </c>
      <c r="J985" s="665" t="s">
        <v>271</v>
      </c>
      <c r="K985" s="4" t="str">
        <f t="shared" si="80"/>
        <v>I</v>
      </c>
      <c r="L985" s="7" t="str">
        <f t="shared" si="81"/>
        <v>G8</v>
      </c>
      <c r="M985" s="7" t="str">
        <f t="shared" si="82"/>
        <v>J1</v>
      </c>
      <c r="N985" s="62" t="str">
        <f t="shared" si="83"/>
        <v/>
      </c>
      <c r="O985" s="8">
        <f t="shared" si="91"/>
        <v>45962</v>
      </c>
      <c r="P985" s="9" t="str">
        <f t="shared" ca="1" si="85"/>
        <v>ATRASADO</v>
      </c>
      <c r="Q985" s="666" t="s">
        <v>1556</v>
      </c>
      <c r="R985" s="663"/>
      <c r="S985" s="9" t="str">
        <f t="shared" si="90"/>
        <v/>
      </c>
    </row>
    <row r="986" spans="1:19" x14ac:dyDescent="0.3">
      <c r="A986" s="10">
        <v>982</v>
      </c>
      <c r="B986" s="669" t="s">
        <v>111</v>
      </c>
      <c r="C986" s="664" t="s">
        <v>2904</v>
      </c>
      <c r="D986" s="666" t="s">
        <v>2905</v>
      </c>
      <c r="E986" s="667">
        <v>32896</v>
      </c>
      <c r="F986" s="9">
        <f t="shared" ca="1" si="89"/>
        <v>36</v>
      </c>
      <c r="G986" s="668">
        <v>44412</v>
      </c>
      <c r="H986" s="666" t="s">
        <v>275</v>
      </c>
      <c r="I986" s="668">
        <v>44894</v>
      </c>
      <c r="J986" s="665" t="s">
        <v>275</v>
      </c>
      <c r="K986" s="4" t="str">
        <f t="shared" si="80"/>
        <v>I</v>
      </c>
      <c r="L986" s="7" t="str">
        <f t="shared" si="81"/>
        <v>G8</v>
      </c>
      <c r="M986" s="7" t="str">
        <f t="shared" si="82"/>
        <v/>
      </c>
      <c r="N986" s="62" t="str">
        <f t="shared" si="83"/>
        <v/>
      </c>
      <c r="O986" s="8">
        <f t="shared" si="91"/>
        <v>45990</v>
      </c>
      <c r="P986" s="9" t="str">
        <f t="shared" ca="1" si="85"/>
        <v>ATRASADO</v>
      </c>
      <c r="Q986" s="666" t="s">
        <v>1556</v>
      </c>
      <c r="R986" s="663"/>
      <c r="S986" s="9" t="str">
        <f t="shared" si="90"/>
        <v/>
      </c>
    </row>
    <row r="987" spans="1:19" x14ac:dyDescent="0.3">
      <c r="A987" s="10">
        <v>983</v>
      </c>
      <c r="B987" s="675" t="s">
        <v>312</v>
      </c>
      <c r="C987" s="671" t="s">
        <v>2906</v>
      </c>
      <c r="D987" s="672" t="s">
        <v>2907</v>
      </c>
      <c r="E987" s="673">
        <v>23686</v>
      </c>
      <c r="F987" s="9">
        <f t="shared" ca="1" si="89"/>
        <v>61</v>
      </c>
      <c r="G987" s="674">
        <v>43994</v>
      </c>
      <c r="H987" s="672" t="s">
        <v>8</v>
      </c>
      <c r="I987" s="674">
        <v>44894</v>
      </c>
      <c r="J987" s="764" t="s">
        <v>275</v>
      </c>
      <c r="K987" s="4" t="str">
        <f t="shared" si="80"/>
        <v>I</v>
      </c>
      <c r="L987" s="7" t="str">
        <f t="shared" si="81"/>
        <v>G8</v>
      </c>
      <c r="M987" s="7" t="str">
        <f t="shared" si="82"/>
        <v/>
      </c>
      <c r="N987" s="62" t="str">
        <f t="shared" si="83"/>
        <v/>
      </c>
      <c r="O987" s="8">
        <f t="shared" si="91"/>
        <v>45990</v>
      </c>
      <c r="P987" s="9" t="str">
        <f t="shared" ca="1" si="85"/>
        <v>ATRASADO</v>
      </c>
      <c r="Q987" s="672" t="s">
        <v>1556</v>
      </c>
      <c r="R987" s="670"/>
      <c r="S987" s="9" t="str">
        <f t="shared" si="90"/>
        <v/>
      </c>
    </row>
    <row r="988" spans="1:19" x14ac:dyDescent="0.3">
      <c r="A988" s="10">
        <v>984</v>
      </c>
      <c r="B988" s="675" t="s">
        <v>312</v>
      </c>
      <c r="C988" s="671" t="s">
        <v>2908</v>
      </c>
      <c r="D988" s="672" t="s">
        <v>2909</v>
      </c>
      <c r="E988" s="673">
        <v>27988</v>
      </c>
      <c r="F988" s="9">
        <f t="shared" ca="1" si="89"/>
        <v>50</v>
      </c>
      <c r="G988" s="674">
        <v>44524</v>
      </c>
      <c r="H988" s="672" t="s">
        <v>275</v>
      </c>
      <c r="I988" s="674">
        <v>44892</v>
      </c>
      <c r="J988" s="764" t="s">
        <v>8</v>
      </c>
      <c r="K988" s="4" t="str">
        <f t="shared" si="80"/>
        <v>SI</v>
      </c>
      <c r="L988" s="7" t="str">
        <f t="shared" si="81"/>
        <v xml:space="preserve">N </v>
      </c>
      <c r="M988" s="7" t="str">
        <f t="shared" si="82"/>
        <v>RE</v>
      </c>
      <c r="N988" s="62" t="str">
        <f t="shared" si="83"/>
        <v>GI</v>
      </c>
      <c r="O988" s="8">
        <f t="shared" si="91"/>
        <v>45988</v>
      </c>
      <c r="P988" s="9" t="str">
        <f t="shared" ca="1" si="85"/>
        <v>ATRASADO</v>
      </c>
      <c r="Q988" s="672" t="s">
        <v>1556</v>
      </c>
      <c r="R988" s="670"/>
      <c r="S988" s="9" t="str">
        <f t="shared" si="90"/>
        <v/>
      </c>
    </row>
    <row r="989" spans="1:19" x14ac:dyDescent="0.3">
      <c r="A989" s="10">
        <v>985</v>
      </c>
      <c r="B989" s="675" t="s">
        <v>312</v>
      </c>
      <c r="C989" s="671" t="s">
        <v>2910</v>
      </c>
      <c r="D989" s="672" t="s">
        <v>2911</v>
      </c>
      <c r="E989" s="673">
        <v>21790</v>
      </c>
      <c r="F989" s="9">
        <f t="shared" ca="1" si="89"/>
        <v>67</v>
      </c>
      <c r="G989" s="674">
        <v>43798</v>
      </c>
      <c r="H989" s="672" t="s">
        <v>275</v>
      </c>
      <c r="I989" s="674">
        <v>44874</v>
      </c>
      <c r="J989" s="764" t="s">
        <v>275</v>
      </c>
      <c r="K989" s="4" t="str">
        <f t="shared" si="80"/>
        <v>I</v>
      </c>
      <c r="L989" s="7" t="str">
        <f t="shared" si="81"/>
        <v>G8</v>
      </c>
      <c r="M989" s="7" t="str">
        <f t="shared" si="82"/>
        <v/>
      </c>
      <c r="N989" s="62" t="str">
        <f t="shared" si="83"/>
        <v/>
      </c>
      <c r="O989" s="8">
        <f t="shared" si="91"/>
        <v>45970</v>
      </c>
      <c r="P989" s="9" t="str">
        <f t="shared" ca="1" si="85"/>
        <v>ATRASADO</v>
      </c>
      <c r="Q989" s="672" t="s">
        <v>1556</v>
      </c>
      <c r="R989" s="670"/>
      <c r="S989" s="9" t="str">
        <f t="shared" si="90"/>
        <v/>
      </c>
    </row>
    <row r="990" spans="1:19" x14ac:dyDescent="0.3">
      <c r="A990" s="10">
        <v>986</v>
      </c>
      <c r="B990" s="675" t="s">
        <v>312</v>
      </c>
      <c r="C990" s="671" t="s">
        <v>2912</v>
      </c>
      <c r="D990" s="672" t="s">
        <v>2913</v>
      </c>
      <c r="E990" s="673">
        <v>35445</v>
      </c>
      <c r="F990" s="9">
        <f t="shared" ca="1" si="89"/>
        <v>29</v>
      </c>
      <c r="G990" s="674">
        <v>44140</v>
      </c>
      <c r="H990" s="672" t="s">
        <v>271</v>
      </c>
      <c r="I990" s="674">
        <v>44869</v>
      </c>
      <c r="J990" s="764" t="s">
        <v>271</v>
      </c>
      <c r="K990" s="4" t="str">
        <f t="shared" si="80"/>
        <v>I</v>
      </c>
      <c r="L990" s="7" t="str">
        <f t="shared" si="81"/>
        <v>G8</v>
      </c>
      <c r="M990" s="7" t="str">
        <f t="shared" si="82"/>
        <v>J1</v>
      </c>
      <c r="N990" s="62" t="str">
        <f t="shared" si="83"/>
        <v/>
      </c>
      <c r="O990" s="8">
        <f t="shared" si="91"/>
        <v>45965</v>
      </c>
      <c r="P990" s="9" t="str">
        <f t="shared" ca="1" si="85"/>
        <v>ATRASADO</v>
      </c>
      <c r="Q990" s="672" t="s">
        <v>1556</v>
      </c>
      <c r="R990" s="670"/>
      <c r="S990" s="9" t="str">
        <f t="shared" si="90"/>
        <v/>
      </c>
    </row>
    <row r="991" spans="1:19" x14ac:dyDescent="0.3">
      <c r="A991" s="10">
        <v>987</v>
      </c>
      <c r="B991" s="681" t="s">
        <v>270</v>
      </c>
      <c r="C991" s="677" t="s">
        <v>2914</v>
      </c>
      <c r="D991" s="678" t="s">
        <v>2915</v>
      </c>
      <c r="E991" s="679">
        <v>31513</v>
      </c>
      <c r="F991" s="9">
        <f t="shared" ca="1" si="89"/>
        <v>40</v>
      </c>
      <c r="G991" s="680">
        <v>43425</v>
      </c>
      <c r="H991" s="678" t="s">
        <v>271</v>
      </c>
      <c r="I991" s="680">
        <v>44893</v>
      </c>
      <c r="J991" s="765" t="s">
        <v>271</v>
      </c>
      <c r="K991" s="4" t="str">
        <f t="shared" si="80"/>
        <v>I</v>
      </c>
      <c r="L991" s="7" t="str">
        <f t="shared" si="81"/>
        <v>G8</v>
      </c>
      <c r="M991" s="7" t="str">
        <f t="shared" si="82"/>
        <v>J1</v>
      </c>
      <c r="N991" s="62" t="str">
        <f t="shared" si="83"/>
        <v/>
      </c>
      <c r="O991" s="8">
        <f t="shared" si="91"/>
        <v>45989</v>
      </c>
      <c r="P991" s="9" t="str">
        <f t="shared" ca="1" si="85"/>
        <v>ATRASADO</v>
      </c>
      <c r="Q991" s="678" t="s">
        <v>1556</v>
      </c>
      <c r="R991" s="676"/>
      <c r="S991" s="9" t="str">
        <f t="shared" si="90"/>
        <v/>
      </c>
    </row>
    <row r="992" spans="1:19" x14ac:dyDescent="0.3">
      <c r="A992" s="10">
        <v>988</v>
      </c>
      <c r="B992" s="688" t="s">
        <v>270</v>
      </c>
      <c r="C992" s="683" t="s">
        <v>2916</v>
      </c>
      <c r="D992" s="685" t="s">
        <v>2917</v>
      </c>
      <c r="E992" s="686">
        <v>34139</v>
      </c>
      <c r="F992" s="9">
        <f t="shared" ca="1" si="89"/>
        <v>33</v>
      </c>
      <c r="G992" s="687">
        <v>43930</v>
      </c>
      <c r="H992" s="685" t="s">
        <v>340</v>
      </c>
      <c r="I992" s="687">
        <v>44888</v>
      </c>
      <c r="J992" s="684" t="s">
        <v>271</v>
      </c>
      <c r="K992" s="4" t="str">
        <f t="shared" si="80"/>
        <v>I</v>
      </c>
      <c r="L992" s="7" t="str">
        <f t="shared" si="81"/>
        <v>G8</v>
      </c>
      <c r="M992" s="7" t="str">
        <f t="shared" si="82"/>
        <v>J1</v>
      </c>
      <c r="N992" s="62" t="str">
        <f t="shared" si="83"/>
        <v/>
      </c>
      <c r="O992" s="8">
        <f t="shared" si="91"/>
        <v>45984</v>
      </c>
      <c r="P992" s="9" t="str">
        <f t="shared" ca="1" si="85"/>
        <v>ATRASADO</v>
      </c>
      <c r="Q992" s="685" t="s">
        <v>1556</v>
      </c>
      <c r="R992" s="682"/>
      <c r="S992" s="9" t="str">
        <f t="shared" si="90"/>
        <v/>
      </c>
    </row>
    <row r="993" spans="1:19" x14ac:dyDescent="0.3">
      <c r="A993" s="10">
        <v>989</v>
      </c>
      <c r="B993" s="688" t="s">
        <v>270</v>
      </c>
      <c r="C993" s="683" t="s">
        <v>2918</v>
      </c>
      <c r="D993" s="685" t="s">
        <v>2919</v>
      </c>
      <c r="E993" s="686">
        <v>23734</v>
      </c>
      <c r="F993" s="9">
        <f t="shared" ca="1" si="89"/>
        <v>61</v>
      </c>
      <c r="G993" s="685" t="s">
        <v>8</v>
      </c>
      <c r="H993" s="685" t="s">
        <v>300</v>
      </c>
      <c r="I993" s="687">
        <v>44872</v>
      </c>
      <c r="J993" s="825" t="s">
        <v>275</v>
      </c>
      <c r="K993" s="4" t="str">
        <f t="shared" ref="K993:K1079" si="92">IF(OR(LEFT(J993,2)="T1",LEFT(J993,2)="T2",LEFT(J993,2)="A1",LEFT(J993,2)="D0",LEFT(J993,2)="D1",LEFT(J993,2)="D2",LEFT(J993,2)="D3",LEFT(J993,2)="E1",LEFT(J993,2)="E2"),LEFT(J993,2),IF(OR(LEFT(J993,1)="A",LEFT(J993,1)="B",LEFT(J993,1)="C",LEFT(J993,1)="D",LEFT(J993,1)="I",LEFT(J993,1)="E",LEFT(J993,1)="K",LEFT(J993,1)="T"),LEFT(J993,1),LEFT(J993,2)))</f>
        <v>I</v>
      </c>
      <c r="L993" s="7" t="str">
        <f t="shared" ref="L993:L1079" si="93">IF(AND(OR(LEFT(J993,2)="A1",LEFT(J993,2)="D0",LEFT(J993,2)="D1",LEFT(J993,2)="D2",LEFT(J993,2)="D3",LEFT(J993,2)="E1",LEFT(J993,2)="E2",LEFT(J993,2)="T1",LEFT(J993,2)="T2"),OR(MID(J993,3,1)="A",MID(J993,3,1)="B",MID(J993,3,1)="C",MID(J993,3,1)="D",MID(J993,3,1)="E",MID(J993,3,1)="I",MID(J993,3,1)="K",MID(J993,3,1)="T",MID(J993,3,1)="N",)),MID(J993,3,1),IF(OR(LEFT(J993,2)="A1",LEFT(J993,2)="D0",LEFT(J993,2)="D1",LEFT(J993,2)="D2",LEFT(J993,2)="D3",LEFT(J993,2)="E1",LEFT(J993,2)="E2",LEFT(J993,2)="T1",LEFT(J993,2)="T2"),MID(J993,3,2),IF(AND(OR(LEFT(J993,1)="A",LEFT(J993,1)="B",LEFT(J993,1)="C",LEFT(J993,1)="D",LEFT(J993,1)="E",LEFT(J993,1)="I",LEFT(J993,1)="K",LEFT(J993,1)="T",LEFT(J993,1)="N"),OR(MID(J993,2,1)="A",MID(J993,2,1)="B",MID(J993,2,1)="C",MID(J993,2,1)="D",MID(J993,2,1)="E",MID(J993,2,1)="I",MID(J993,2,1)="K",MID(J993,2,1)="T",MID(J993,2,1)="N")),MID(J993,2,2),IF(OR(LEFT(J993,1)="A",LEFT(J993,1)="B",LEFT(J993,1)="C",LEFT(J993,1)="D",LEFT(J993,1)="E",LEFT(J993,1)="I",LEFT(J993,1)="K",LEFT(J993,1)="T",LEFT(J993,1)="N"),MID(J993,2,2),MID(J993,3,2)))))</f>
        <v>G8</v>
      </c>
      <c r="M993" s="7" t="str">
        <f t="shared" ref="M993:M1079" si="94">IF(AND(OR(LEFT(J993,2)="A1",LEFT(J993,2)="D0",LEFT(J993,2)="D1",LEFT(J993,2)="D2",LEFT(J993,2)="D3",LEFT(J993,2)="E1",LEFT(J993,2)="E2",LEFT(J993,2)="T1",LEFT(J993,2)="T2"),OR(MID(J993,3,1)="A",MID(J993,3,1)="B",MID(J993,3,1)="C",MID(J993,3,1)="D",MID(J993,3,1)="E",MID(J993,3,1)="I",MID(J993,3,1)="K",MID(J993,3,1)="T",MID(J993,3,1)="N",)),MID(J993,4,2),IF(OR(LEFT(J993,2)="A1",LEFT(J993,2)="D0",LEFT(J993,2)="D1",LEFT(J993,2)="D2",LEFT(J993,2)="D3",LEFT(J993,2)="E1",LEFT(J993,2)="E2",LEFT(J993,2)="T1",LEFT(J993,2)="T2"),MID(J993,5,2),IF(AND(OR(LEFT(J993,1)="A",LEFT(J993,1)="B",LEFT(J993,1)="C",LEFT(J993,1)="D",LEFT(J993,1)="E",LEFT(J993,1)="I",LEFT(J993,1)="K",LEFT(J993,1)="T",LEFT(J993,1)="N"),OR(MID(J993,2,1)="A",MID(J993,2,1)="B",MID(J993,2,1)="C",MID(J993,2,1)="D",MID(J993,2,1)="E",MID(J993,2,1)="I",MID(J993,2,1)="K",MID(J993,2,1)="T",MID(J993,2,1)="N")),MID(J993,3,2),IF(OR(LEFT(J993,1)="A",LEFT(J993,1)="B",LEFT(J993,1)="C",LEFT(J993,1)="D",LEFT(J993,1)="E",LEFT(J993,1)="I",LEFT(J993,1)="K",LEFT(J993,1)="T",LEFT(J993,1)="N"),MID(J993,4,2),MID(J993,5,2)))))</f>
        <v/>
      </c>
      <c r="N993" s="62" t="str">
        <f t="shared" ref="N993:N1079" si="95">IF(AND(OR(LEFT(J993,1)="I",LEFT(J993,1)="T",LEFT(J993,1)="A",LEFT(J993,1)="B",LEFT(J993,1)="C",LEFT(J993,1)="D",LEFT(J993,1)="E"),OR(MID(J993,2,1)="I",MID(J993,2,1)="T",MID(J993,2,1)="A",MID(J993,2,1)="B",MID(J993,2,1)="C",MID(J993,2,1)="D",MID(J993,2,1)="E")),MID(J993,5,2),IF(OR(LEFT(J993,1)="I",LEFT(J993,1)="T",LEFT(J993,1)="A",LEFT(J993,1)="B",LEFT(J993,1)="C",LEFT(J993,1)="D",LEFT(J993,1)="E"),MID(J993,6,2),MID(J993,7,2)))</f>
        <v/>
      </c>
      <c r="O993" s="8">
        <f t="shared" si="91"/>
        <v>45968</v>
      </c>
      <c r="P993" s="9" t="str">
        <f t="shared" ref="P993:P1070" ca="1" si="96">IF(O993="","",IF(YEAR(O993)&gt;YEAR(TODAY()),"VIGENTE",IF(AND(YEAR(O993)&gt;=YEAR(TODAY()),MONTH(O993)&gt;=MONTH(TODAY())),"VIGENTE","ATRASADO")))</f>
        <v>ATRASADO</v>
      </c>
      <c r="Q993" s="685" t="s">
        <v>1556</v>
      </c>
      <c r="R993" s="682"/>
      <c r="S993" s="9" t="str">
        <f t="shared" si="90"/>
        <v/>
      </c>
    </row>
    <row r="994" spans="1:19" x14ac:dyDescent="0.3">
      <c r="A994" s="10">
        <v>990</v>
      </c>
      <c r="B994" s="688" t="s">
        <v>270</v>
      </c>
      <c r="C994" s="683" t="s">
        <v>2920</v>
      </c>
      <c r="D994" s="685" t="s">
        <v>2921</v>
      </c>
      <c r="E994" s="686">
        <v>23379</v>
      </c>
      <c r="F994" s="9">
        <f t="shared" ca="1" si="89"/>
        <v>62</v>
      </c>
      <c r="G994" s="687">
        <v>44020</v>
      </c>
      <c r="H994" s="685" t="s">
        <v>321</v>
      </c>
      <c r="I994" s="687">
        <v>44887</v>
      </c>
      <c r="J994" s="684" t="s">
        <v>275</v>
      </c>
      <c r="K994" s="4" t="str">
        <f t="shared" si="92"/>
        <v>I</v>
      </c>
      <c r="L994" s="7" t="str">
        <f t="shared" si="93"/>
        <v>G8</v>
      </c>
      <c r="M994" s="7" t="str">
        <f t="shared" si="94"/>
        <v/>
      </c>
      <c r="N994" s="62" t="str">
        <f t="shared" si="95"/>
        <v/>
      </c>
      <c r="O994" s="8">
        <f t="shared" si="91"/>
        <v>45983</v>
      </c>
      <c r="P994" s="9" t="str">
        <f t="shared" ca="1" si="96"/>
        <v>ATRASADO</v>
      </c>
      <c r="Q994" s="685" t="s">
        <v>1556</v>
      </c>
      <c r="R994" s="684"/>
      <c r="S994" s="9" t="str">
        <f t="shared" si="90"/>
        <v/>
      </c>
    </row>
    <row r="995" spans="1:19" x14ac:dyDescent="0.3">
      <c r="A995" s="10">
        <v>991</v>
      </c>
      <c r="B995" s="688" t="s">
        <v>270</v>
      </c>
      <c r="C995" s="683" t="s">
        <v>2922</v>
      </c>
      <c r="D995" s="685" t="s">
        <v>2923</v>
      </c>
      <c r="E995" s="686">
        <v>23733</v>
      </c>
      <c r="F995" s="9">
        <f t="shared" ca="1" si="89"/>
        <v>61</v>
      </c>
      <c r="G995" s="687">
        <v>43753</v>
      </c>
      <c r="H995" s="685" t="s">
        <v>275</v>
      </c>
      <c r="I995" s="687">
        <v>44887</v>
      </c>
      <c r="J995" s="684" t="s">
        <v>8</v>
      </c>
      <c r="K995" s="4" t="str">
        <f t="shared" si="92"/>
        <v>SI</v>
      </c>
      <c r="L995" s="7" t="str">
        <f t="shared" si="93"/>
        <v xml:space="preserve">N </v>
      </c>
      <c r="M995" s="7" t="str">
        <f t="shared" si="94"/>
        <v>RE</v>
      </c>
      <c r="N995" s="62" t="str">
        <f t="shared" si="95"/>
        <v>GI</v>
      </c>
      <c r="O995" s="8">
        <f t="shared" si="91"/>
        <v>45983</v>
      </c>
      <c r="P995" s="9" t="str">
        <f t="shared" ca="1" si="96"/>
        <v>ATRASADO</v>
      </c>
      <c r="Q995" s="685" t="s">
        <v>1556</v>
      </c>
      <c r="R995" s="682"/>
      <c r="S995" s="9" t="str">
        <f t="shared" si="90"/>
        <v/>
      </c>
    </row>
    <row r="996" spans="1:19" x14ac:dyDescent="0.3">
      <c r="A996" s="10">
        <v>992</v>
      </c>
      <c r="B996" s="688" t="s">
        <v>270</v>
      </c>
      <c r="C996" s="683" t="s">
        <v>2924</v>
      </c>
      <c r="D996" s="685" t="s">
        <v>2925</v>
      </c>
      <c r="E996" s="686">
        <v>27554</v>
      </c>
      <c r="F996" s="9">
        <f t="shared" ca="1" si="89"/>
        <v>51</v>
      </c>
      <c r="G996" s="687">
        <v>43951</v>
      </c>
      <c r="H996" s="685" t="s">
        <v>271</v>
      </c>
      <c r="I996" s="687">
        <v>44871</v>
      </c>
      <c r="J996" s="684" t="s">
        <v>275</v>
      </c>
      <c r="K996" s="4" t="str">
        <f t="shared" si="92"/>
        <v>I</v>
      </c>
      <c r="L996" s="7" t="str">
        <f t="shared" si="93"/>
        <v>G8</v>
      </c>
      <c r="M996" s="7" t="str">
        <f t="shared" si="94"/>
        <v/>
      </c>
      <c r="N996" s="62" t="str">
        <f t="shared" si="95"/>
        <v/>
      </c>
      <c r="O996" s="8">
        <f t="shared" si="91"/>
        <v>45967</v>
      </c>
      <c r="P996" s="9" t="str">
        <f t="shared" ca="1" si="96"/>
        <v>ATRASADO</v>
      </c>
      <c r="Q996" s="685" t="s">
        <v>1556</v>
      </c>
      <c r="R996" s="682"/>
      <c r="S996" s="9" t="str">
        <f t="shared" si="90"/>
        <v/>
      </c>
    </row>
    <row r="997" spans="1:19" x14ac:dyDescent="0.3">
      <c r="A997" s="10">
        <v>993</v>
      </c>
      <c r="B997" s="688" t="s">
        <v>270</v>
      </c>
      <c r="C997" s="683" t="s">
        <v>2926</v>
      </c>
      <c r="D997" s="685" t="s">
        <v>2927</v>
      </c>
      <c r="E997" s="686">
        <v>25930</v>
      </c>
      <c r="F997" s="9">
        <f t="shared" ca="1" si="89"/>
        <v>55</v>
      </c>
      <c r="G997" s="687">
        <v>43988</v>
      </c>
      <c r="H997" s="685" t="s">
        <v>8</v>
      </c>
      <c r="I997" s="687">
        <v>44866</v>
      </c>
      <c r="J997" s="684" t="s">
        <v>271</v>
      </c>
      <c r="K997" s="4" t="str">
        <f t="shared" si="92"/>
        <v>I</v>
      </c>
      <c r="L997" s="7" t="str">
        <f t="shared" si="93"/>
        <v>G8</v>
      </c>
      <c r="M997" s="7" t="str">
        <f t="shared" si="94"/>
        <v>J1</v>
      </c>
      <c r="N997" s="62" t="str">
        <f t="shared" si="95"/>
        <v/>
      </c>
      <c r="O997" s="8">
        <f t="shared" si="91"/>
        <v>45962</v>
      </c>
      <c r="P997" s="9" t="str">
        <f t="shared" ca="1" si="96"/>
        <v>ATRASADO</v>
      </c>
      <c r="Q997" s="685" t="s">
        <v>1556</v>
      </c>
      <c r="R997" s="682"/>
      <c r="S997" s="9" t="str">
        <f t="shared" si="90"/>
        <v/>
      </c>
    </row>
    <row r="998" spans="1:19" x14ac:dyDescent="0.3">
      <c r="A998" s="10">
        <v>994</v>
      </c>
      <c r="B998" s="688" t="s">
        <v>270</v>
      </c>
      <c r="C998" s="683" t="s">
        <v>2928</v>
      </c>
      <c r="D998" s="783" t="s">
        <v>2929</v>
      </c>
      <c r="E998" s="686">
        <v>28617</v>
      </c>
      <c r="F998" s="9">
        <f t="shared" ca="1" si="89"/>
        <v>48</v>
      </c>
      <c r="G998" s="687">
        <v>44170</v>
      </c>
      <c r="H998" s="685" t="s">
        <v>271</v>
      </c>
      <c r="I998" s="687">
        <v>44866</v>
      </c>
      <c r="J998" s="684" t="s">
        <v>275</v>
      </c>
      <c r="K998" s="4" t="str">
        <f t="shared" si="92"/>
        <v>I</v>
      </c>
      <c r="L998" s="7" t="str">
        <f t="shared" si="93"/>
        <v>G8</v>
      </c>
      <c r="M998" s="7" t="str">
        <f t="shared" si="94"/>
        <v/>
      </c>
      <c r="N998" s="62" t="str">
        <f t="shared" si="95"/>
        <v/>
      </c>
      <c r="O998" s="8">
        <f t="shared" si="91"/>
        <v>45962</v>
      </c>
      <c r="P998" s="9" t="str">
        <f t="shared" ca="1" si="96"/>
        <v>ATRASADO</v>
      </c>
      <c r="Q998" s="685" t="s">
        <v>1556</v>
      </c>
      <c r="R998" s="682"/>
      <c r="S998" s="9" t="str">
        <f t="shared" si="90"/>
        <v/>
      </c>
    </row>
    <row r="999" spans="1:19" x14ac:dyDescent="0.3">
      <c r="A999" s="10">
        <v>995</v>
      </c>
      <c r="B999" s="688" t="s">
        <v>270</v>
      </c>
      <c r="C999" s="683" t="s">
        <v>2930</v>
      </c>
      <c r="D999" s="685" t="s">
        <v>2931</v>
      </c>
      <c r="E999" s="686">
        <v>25734</v>
      </c>
      <c r="F999" s="9">
        <f t="shared" ca="1" si="89"/>
        <v>56</v>
      </c>
      <c r="G999" s="687">
        <v>43539</v>
      </c>
      <c r="H999" s="685" t="s">
        <v>271</v>
      </c>
      <c r="I999" s="687">
        <v>44888</v>
      </c>
      <c r="J999" s="684" t="s">
        <v>275</v>
      </c>
      <c r="K999" s="4" t="str">
        <f t="shared" si="92"/>
        <v>I</v>
      </c>
      <c r="L999" s="7" t="str">
        <f t="shared" si="93"/>
        <v>G8</v>
      </c>
      <c r="M999" s="7" t="str">
        <f t="shared" si="94"/>
        <v/>
      </c>
      <c r="N999" s="62" t="str">
        <f t="shared" si="95"/>
        <v/>
      </c>
      <c r="O999" s="8">
        <f t="shared" si="91"/>
        <v>45984</v>
      </c>
      <c r="P999" s="9" t="str">
        <f t="shared" ca="1" si="96"/>
        <v>ATRASADO</v>
      </c>
      <c r="Q999" s="685" t="s">
        <v>1556</v>
      </c>
      <c r="R999" s="682"/>
      <c r="S999" s="9" t="str">
        <f t="shared" si="90"/>
        <v/>
      </c>
    </row>
    <row r="1000" spans="1:19" x14ac:dyDescent="0.3">
      <c r="A1000" s="10">
        <v>996</v>
      </c>
      <c r="B1000" s="695" t="s">
        <v>45</v>
      </c>
      <c r="C1000" s="690" t="s">
        <v>2932</v>
      </c>
      <c r="D1000" s="692" t="s">
        <v>2933</v>
      </c>
      <c r="E1000" s="693">
        <v>32813</v>
      </c>
      <c r="F1000" s="9">
        <f t="shared" ca="1" si="89"/>
        <v>36</v>
      </c>
      <c r="G1000" s="694">
        <v>44460</v>
      </c>
      <c r="H1000" s="692" t="s">
        <v>8</v>
      </c>
      <c r="I1000" s="694">
        <v>44873</v>
      </c>
      <c r="J1000" s="691" t="s">
        <v>275</v>
      </c>
      <c r="K1000" s="4" t="str">
        <f t="shared" si="92"/>
        <v>I</v>
      </c>
      <c r="L1000" s="7" t="str">
        <f t="shared" si="93"/>
        <v>G8</v>
      </c>
      <c r="M1000" s="7" t="str">
        <f t="shared" si="94"/>
        <v/>
      </c>
      <c r="N1000" s="62" t="str">
        <f t="shared" si="95"/>
        <v/>
      </c>
      <c r="O1000" s="8">
        <f t="shared" si="91"/>
        <v>45969</v>
      </c>
      <c r="P1000" s="9" t="str">
        <f t="shared" ca="1" si="96"/>
        <v>ATRASADO</v>
      </c>
      <c r="Q1000" s="692" t="s">
        <v>1556</v>
      </c>
      <c r="R1000" s="689"/>
      <c r="S1000" s="9" t="str">
        <f t="shared" si="90"/>
        <v/>
      </c>
    </row>
    <row r="1001" spans="1:19" x14ac:dyDescent="0.3">
      <c r="A1001" s="10">
        <v>997</v>
      </c>
      <c r="B1001" s="695" t="s">
        <v>45</v>
      </c>
      <c r="C1001" s="690" t="s">
        <v>2934</v>
      </c>
      <c r="D1001" s="692" t="s">
        <v>2935</v>
      </c>
      <c r="E1001" s="693">
        <v>31375</v>
      </c>
      <c r="F1001" s="9">
        <f t="shared" ca="1" si="89"/>
        <v>40</v>
      </c>
      <c r="G1001" s="694">
        <v>43027</v>
      </c>
      <c r="H1001" s="692" t="s">
        <v>275</v>
      </c>
      <c r="I1001" s="694">
        <v>44872</v>
      </c>
      <c r="J1001" s="691" t="s">
        <v>321</v>
      </c>
      <c r="K1001" s="4" t="str">
        <f t="shared" si="92"/>
        <v>G2</v>
      </c>
      <c r="L1001" s="7" t="str">
        <f t="shared" si="93"/>
        <v>O5</v>
      </c>
      <c r="M1001" s="7" t="str">
        <f t="shared" si="94"/>
        <v/>
      </c>
      <c r="N1001" s="62" t="str">
        <f t="shared" si="95"/>
        <v/>
      </c>
      <c r="O1001" s="8">
        <f t="shared" si="91"/>
        <v>44964</v>
      </c>
      <c r="P1001" s="9" t="str">
        <f t="shared" ca="1" si="96"/>
        <v>ATRASADO</v>
      </c>
      <c r="Q1001" s="692" t="s">
        <v>1556</v>
      </c>
      <c r="R1001" s="691"/>
      <c r="S1001" s="9" t="str">
        <f t="shared" si="90"/>
        <v/>
      </c>
    </row>
    <row r="1002" spans="1:19" x14ac:dyDescent="0.3">
      <c r="A1002" s="10">
        <v>998</v>
      </c>
      <c r="B1002" s="695" t="s">
        <v>45</v>
      </c>
      <c r="C1002" s="690" t="s">
        <v>2936</v>
      </c>
      <c r="D1002" s="692" t="s">
        <v>2937</v>
      </c>
      <c r="E1002" s="693">
        <v>33128</v>
      </c>
      <c r="F1002" s="9">
        <f t="shared" ca="1" si="89"/>
        <v>36</v>
      </c>
      <c r="G1002" s="694">
        <v>43771</v>
      </c>
      <c r="H1002" s="692" t="s">
        <v>275</v>
      </c>
      <c r="I1002" s="694">
        <v>44893</v>
      </c>
      <c r="J1002" s="691" t="s">
        <v>8</v>
      </c>
      <c r="K1002" s="4" t="str">
        <f t="shared" si="92"/>
        <v>SI</v>
      </c>
      <c r="L1002" s="7" t="str">
        <f t="shared" si="93"/>
        <v xml:space="preserve">N </v>
      </c>
      <c r="M1002" s="7" t="str">
        <f t="shared" si="94"/>
        <v>RE</v>
      </c>
      <c r="N1002" s="62" t="str">
        <f t="shared" si="95"/>
        <v>GI</v>
      </c>
      <c r="O1002" s="8">
        <f t="shared" si="91"/>
        <v>45989</v>
      </c>
      <c r="P1002" s="9" t="str">
        <f t="shared" ca="1" si="96"/>
        <v>ATRASADO</v>
      </c>
      <c r="Q1002" s="692" t="s">
        <v>1556</v>
      </c>
      <c r="R1002" s="689"/>
      <c r="S1002" s="9" t="str">
        <f t="shared" si="90"/>
        <v/>
      </c>
    </row>
    <row r="1003" spans="1:19" x14ac:dyDescent="0.3">
      <c r="A1003" s="10">
        <v>999</v>
      </c>
      <c r="B1003" s="695" t="s">
        <v>45</v>
      </c>
      <c r="C1003" s="690" t="s">
        <v>2938</v>
      </c>
      <c r="D1003" s="692" t="s">
        <v>2939</v>
      </c>
      <c r="E1003" s="693">
        <v>30031</v>
      </c>
      <c r="F1003" s="9">
        <f t="shared" ca="1" si="89"/>
        <v>44</v>
      </c>
      <c r="G1003" s="692" t="s">
        <v>8</v>
      </c>
      <c r="H1003" s="692" t="s">
        <v>275</v>
      </c>
      <c r="I1003" s="694">
        <v>44886</v>
      </c>
      <c r="J1003" s="691" t="s">
        <v>275</v>
      </c>
      <c r="K1003" s="4" t="str">
        <f t="shared" si="92"/>
        <v>I</v>
      </c>
      <c r="L1003" s="7" t="str">
        <f t="shared" si="93"/>
        <v>G8</v>
      </c>
      <c r="M1003" s="7" t="str">
        <f t="shared" si="94"/>
        <v/>
      </c>
      <c r="N1003" s="62" t="str">
        <f t="shared" si="95"/>
        <v/>
      </c>
      <c r="O1003" s="8">
        <f t="shared" si="91"/>
        <v>45982</v>
      </c>
      <c r="P1003" s="9" t="str">
        <f t="shared" ca="1" si="96"/>
        <v>ATRASADO</v>
      </c>
      <c r="Q1003" s="692" t="s">
        <v>1556</v>
      </c>
      <c r="R1003" s="689"/>
      <c r="S1003" s="9" t="str">
        <f t="shared" ref="S1003:S1066" si="97">IF(OR(K1003="T1",L1003="T1",M1003="T1",N1003="T1",),"LESION SOSPECHOSA A UPC",IF(OR(K1003="T2",L1003="T2",M1003="T2",N1003="T2",),"DERIVAR A UPC POR SEGUNDO ATIPICO",IF(OR(K1003="J2",L1003="J2",M1003="J2",N1003="J2",),"TRICOMONAS",IF(OR(K1003="J3",L1003="J3",M1003="J3",N1003="J3",),"HERPES SIMPLEX",IF(OR(K1003="J5",L1003="J5",M1003="J5",N1003="J5",),"CANDIDA",IF(OR(K1003="J6",L1003="J6",M1003="J6",N1003="J6",),"ACTINOMYCES",IF(OR(K1003="A1",L1003="A1",M1003="A1",N1003="A1",),"VPH",IF(OR(K1003="ASC-H",L1003="ASC-H",M1003="ASC-H",K1003="H2",K1003="H3",K1003="H4",N1003="ASC-H",K1003="AGUS",L1003="AGUS",L1003="H2",L1003="H3",L1003="H4",M1003="AGUS",M1003="H2",M1003="H3",M1003="H4",N1003="AGUS",N1003="H2",N1003="H3",N1003="H4"),"MANDAR A UPC / COLPOSCOPIA",IF(OR(K1003="A",K1003="B",K1003="C",K1003="D",K1003="D0",K1003="D1",K1003="D2",K1003="D3",K1003="E",K1003="E1",K1003="E2",K1003="K",K1003="T",L1003="A",L1003="B",L1003="C",L1003="D",L1003="D0",L1003="D1",L1003="D2",L1003="D3",L1003="E",L1003="E1",L1003="E2",L1003="K",L1003="T",M1003="A",M1003="B",M1003="C",M1003="D",M1003="D0",M1003="D1",M1003="D2",M1003="D3",M1003="E",M1003="E1",M1003="E2",M1003="K",M1003="T",N1003="A",N1003="B",N1003="C",N1003="D",N1003="D0",N1003="D1",K1003="D2",N1003="D2",N1003="D3",N1003="E",N1003="E1",N1003="E2",N1003="K",N1003="T",),"CITAR A UPC","")))))))))</f>
        <v/>
      </c>
    </row>
    <row r="1004" spans="1:19" x14ac:dyDescent="0.3">
      <c r="A1004" s="10">
        <v>1000</v>
      </c>
      <c r="B1004" s="695" t="s">
        <v>45</v>
      </c>
      <c r="C1004" s="690" t="s">
        <v>2940</v>
      </c>
      <c r="D1004" s="692" t="s">
        <v>2941</v>
      </c>
      <c r="E1004" s="693">
        <v>25092</v>
      </c>
      <c r="F1004" s="9">
        <f t="shared" ca="1" si="89"/>
        <v>58</v>
      </c>
      <c r="G1004" s="692" t="s">
        <v>8</v>
      </c>
      <c r="H1004" s="692" t="s">
        <v>275</v>
      </c>
      <c r="I1004" s="694">
        <v>44872</v>
      </c>
      <c r="J1004" s="691" t="s">
        <v>8</v>
      </c>
      <c r="K1004" s="4" t="str">
        <f t="shared" si="92"/>
        <v>SI</v>
      </c>
      <c r="L1004" s="7" t="str">
        <f t="shared" si="93"/>
        <v xml:space="preserve">N </v>
      </c>
      <c r="M1004" s="7" t="str">
        <f t="shared" si="94"/>
        <v>RE</v>
      </c>
      <c r="N1004" s="62" t="str">
        <f t="shared" si="95"/>
        <v>GI</v>
      </c>
      <c r="O1004" s="8">
        <f t="shared" si="91"/>
        <v>45968</v>
      </c>
      <c r="P1004" s="9" t="str">
        <f t="shared" ca="1" si="96"/>
        <v>ATRASADO</v>
      </c>
      <c r="Q1004" s="692" t="s">
        <v>1556</v>
      </c>
      <c r="R1004" s="689"/>
      <c r="S1004" s="9" t="str">
        <f t="shared" si="97"/>
        <v/>
      </c>
    </row>
    <row r="1005" spans="1:19" x14ac:dyDescent="0.3">
      <c r="A1005" s="10">
        <v>1001</v>
      </c>
      <c r="B1005" s="695" t="s">
        <v>45</v>
      </c>
      <c r="C1005" s="690" t="s">
        <v>2942</v>
      </c>
      <c r="D1005" s="692" t="s">
        <v>2943</v>
      </c>
      <c r="E1005" s="693">
        <v>35796</v>
      </c>
      <c r="F1005" s="9">
        <f t="shared" ca="1" si="89"/>
        <v>28</v>
      </c>
      <c r="G1005" s="694">
        <v>43860</v>
      </c>
      <c r="H1005" s="692" t="s">
        <v>275</v>
      </c>
      <c r="I1005" s="694">
        <v>44879</v>
      </c>
      <c r="J1005" s="691" t="s">
        <v>271</v>
      </c>
      <c r="K1005" s="4" t="str">
        <f t="shared" si="92"/>
        <v>I</v>
      </c>
      <c r="L1005" s="7" t="str">
        <f t="shared" si="93"/>
        <v>G8</v>
      </c>
      <c r="M1005" s="7" t="str">
        <f t="shared" si="94"/>
        <v>J1</v>
      </c>
      <c r="N1005" s="62" t="str">
        <f t="shared" si="95"/>
        <v/>
      </c>
      <c r="O1005" s="8">
        <f t="shared" si="91"/>
        <v>45975</v>
      </c>
      <c r="P1005" s="9" t="str">
        <f t="shared" ca="1" si="96"/>
        <v>ATRASADO</v>
      </c>
      <c r="Q1005" s="692" t="s">
        <v>1556</v>
      </c>
      <c r="R1005" s="689"/>
      <c r="S1005" s="9" t="str">
        <f t="shared" si="97"/>
        <v/>
      </c>
    </row>
    <row r="1006" spans="1:19" x14ac:dyDescent="0.3">
      <c r="A1006" s="10">
        <v>1002</v>
      </c>
      <c r="B1006" s="695" t="s">
        <v>45</v>
      </c>
      <c r="C1006" s="690" t="s">
        <v>2944</v>
      </c>
      <c r="D1006" s="692" t="s">
        <v>2945</v>
      </c>
      <c r="E1006" s="693">
        <v>23897</v>
      </c>
      <c r="F1006" s="9">
        <f t="shared" ca="1" si="89"/>
        <v>61</v>
      </c>
      <c r="G1006" s="694">
        <v>44369</v>
      </c>
      <c r="H1006" s="692" t="s">
        <v>275</v>
      </c>
      <c r="I1006" s="694">
        <v>44875</v>
      </c>
      <c r="J1006" s="691" t="s">
        <v>275</v>
      </c>
      <c r="K1006" s="4" t="str">
        <f t="shared" si="92"/>
        <v>I</v>
      </c>
      <c r="L1006" s="7" t="str">
        <f t="shared" si="93"/>
        <v>G8</v>
      </c>
      <c r="M1006" s="7" t="str">
        <f t="shared" si="94"/>
        <v/>
      </c>
      <c r="N1006" s="62" t="str">
        <f t="shared" si="95"/>
        <v/>
      </c>
      <c r="O1006" s="8">
        <f t="shared" si="91"/>
        <v>45971</v>
      </c>
      <c r="P1006" s="9" t="str">
        <f t="shared" ca="1" si="96"/>
        <v>ATRASADO</v>
      </c>
      <c r="Q1006" s="692" t="s">
        <v>1556</v>
      </c>
      <c r="R1006" s="689"/>
      <c r="S1006" s="9" t="str">
        <f t="shared" si="97"/>
        <v/>
      </c>
    </row>
    <row r="1007" spans="1:19" x14ac:dyDescent="0.3">
      <c r="A1007" s="10">
        <v>1003</v>
      </c>
      <c r="B1007" s="695" t="s">
        <v>45</v>
      </c>
      <c r="C1007" s="690" t="s">
        <v>2946</v>
      </c>
      <c r="D1007" s="692" t="s">
        <v>2947</v>
      </c>
      <c r="E1007" s="693">
        <v>24100</v>
      </c>
      <c r="F1007" s="9">
        <f t="shared" ca="1" si="89"/>
        <v>60</v>
      </c>
      <c r="G1007" s="694">
        <v>43317</v>
      </c>
      <c r="H1007" s="692" t="s">
        <v>8</v>
      </c>
      <c r="I1007" s="694">
        <v>44882</v>
      </c>
      <c r="J1007" s="691" t="s">
        <v>271</v>
      </c>
      <c r="K1007" s="4" t="str">
        <f t="shared" si="92"/>
        <v>I</v>
      </c>
      <c r="L1007" s="7" t="str">
        <f t="shared" si="93"/>
        <v>G8</v>
      </c>
      <c r="M1007" s="7" t="str">
        <f t="shared" si="94"/>
        <v>J1</v>
      </c>
      <c r="N1007" s="62" t="str">
        <f t="shared" si="95"/>
        <v/>
      </c>
      <c r="O1007" s="8">
        <f t="shared" si="91"/>
        <v>45978</v>
      </c>
      <c r="P1007" s="9" t="str">
        <f t="shared" ca="1" si="96"/>
        <v>ATRASADO</v>
      </c>
      <c r="Q1007" s="692" t="s">
        <v>1556</v>
      </c>
      <c r="R1007" s="691" t="s">
        <v>1601</v>
      </c>
      <c r="S1007" s="9" t="str">
        <f t="shared" si="97"/>
        <v/>
      </c>
    </row>
    <row r="1008" spans="1:19" x14ac:dyDescent="0.3">
      <c r="A1008" s="10">
        <v>1004</v>
      </c>
      <c r="B1008" s="702" t="s">
        <v>111</v>
      </c>
      <c r="C1008" s="697" t="s">
        <v>2948</v>
      </c>
      <c r="D1008" s="699" t="s">
        <v>2949</v>
      </c>
      <c r="E1008" s="700">
        <v>29109</v>
      </c>
      <c r="F1008" s="9">
        <f t="shared" ca="1" si="89"/>
        <v>47</v>
      </c>
      <c r="G1008" s="699" t="s">
        <v>8</v>
      </c>
      <c r="H1008" s="699" t="s">
        <v>275</v>
      </c>
      <c r="I1008" s="701">
        <v>44866</v>
      </c>
      <c r="J1008" s="698" t="s">
        <v>275</v>
      </c>
      <c r="K1008" s="4" t="str">
        <f t="shared" si="92"/>
        <v>I</v>
      </c>
      <c r="L1008" s="7" t="str">
        <f t="shared" si="93"/>
        <v>G8</v>
      </c>
      <c r="M1008" s="7" t="str">
        <f t="shared" si="94"/>
        <v/>
      </c>
      <c r="N1008" s="62" t="str">
        <f t="shared" si="95"/>
        <v/>
      </c>
      <c r="O1008" s="8">
        <f t="shared" si="91"/>
        <v>45962</v>
      </c>
      <c r="P1008" s="9" t="str">
        <f t="shared" ca="1" si="96"/>
        <v>ATRASADO</v>
      </c>
      <c r="Q1008" s="699" t="s">
        <v>1556</v>
      </c>
      <c r="R1008" s="698"/>
      <c r="S1008" s="9" t="str">
        <f t="shared" si="97"/>
        <v/>
      </c>
    </row>
    <row r="1009" spans="1:19" x14ac:dyDescent="0.3">
      <c r="A1009" s="10">
        <v>1005</v>
      </c>
      <c r="B1009" s="702" t="s">
        <v>111</v>
      </c>
      <c r="C1009" s="697" t="s">
        <v>2950</v>
      </c>
      <c r="D1009" s="699" t="s">
        <v>2951</v>
      </c>
      <c r="E1009" s="700">
        <v>20951</v>
      </c>
      <c r="F1009" s="9">
        <f t="shared" ca="1" si="89"/>
        <v>69</v>
      </c>
      <c r="G1009" s="701">
        <v>44067</v>
      </c>
      <c r="H1009" s="699" t="s">
        <v>8</v>
      </c>
      <c r="I1009" s="701">
        <v>44887</v>
      </c>
      <c r="J1009" s="698" t="s">
        <v>271</v>
      </c>
      <c r="K1009" s="4" t="str">
        <f t="shared" si="92"/>
        <v>I</v>
      </c>
      <c r="L1009" s="7" t="str">
        <f t="shared" si="93"/>
        <v>G8</v>
      </c>
      <c r="M1009" s="7" t="str">
        <f t="shared" si="94"/>
        <v>J1</v>
      </c>
      <c r="N1009" s="62" t="str">
        <f t="shared" si="95"/>
        <v/>
      </c>
      <c r="O1009" s="8">
        <f t="shared" si="91"/>
        <v>45983</v>
      </c>
      <c r="P1009" s="9" t="str">
        <f t="shared" ca="1" si="96"/>
        <v>ATRASADO</v>
      </c>
      <c r="Q1009" s="699" t="s">
        <v>1556</v>
      </c>
      <c r="R1009" s="698"/>
      <c r="S1009" s="9" t="str">
        <f t="shared" si="97"/>
        <v/>
      </c>
    </row>
    <row r="1010" spans="1:19" x14ac:dyDescent="0.3">
      <c r="A1010" s="10">
        <v>1006</v>
      </c>
      <c r="B1010" s="702" t="s">
        <v>111</v>
      </c>
      <c r="C1010" s="697" t="s">
        <v>2952</v>
      </c>
      <c r="D1010" s="699" t="s">
        <v>2953</v>
      </c>
      <c r="E1010" s="700">
        <v>27832</v>
      </c>
      <c r="F1010" s="9">
        <f t="shared" ca="1" si="89"/>
        <v>50</v>
      </c>
      <c r="G1010" s="701">
        <v>43394</v>
      </c>
      <c r="H1010" s="699" t="s">
        <v>271</v>
      </c>
      <c r="I1010" s="701">
        <v>44875</v>
      </c>
      <c r="J1010" s="698" t="s">
        <v>271</v>
      </c>
      <c r="K1010" s="4" t="str">
        <f t="shared" si="92"/>
        <v>I</v>
      </c>
      <c r="L1010" s="7" t="str">
        <f t="shared" si="93"/>
        <v>G8</v>
      </c>
      <c r="M1010" s="7" t="str">
        <f t="shared" si="94"/>
        <v>J1</v>
      </c>
      <c r="N1010" s="62" t="str">
        <f t="shared" si="95"/>
        <v/>
      </c>
      <c r="O1010" s="8">
        <f t="shared" si="91"/>
        <v>45971</v>
      </c>
      <c r="P1010" s="9" t="str">
        <f t="shared" ca="1" si="96"/>
        <v>ATRASADO</v>
      </c>
      <c r="Q1010" s="699" t="s">
        <v>1556</v>
      </c>
      <c r="R1010" s="696"/>
      <c r="S1010" s="9" t="str">
        <f t="shared" si="97"/>
        <v/>
      </c>
    </row>
    <row r="1011" spans="1:19" x14ac:dyDescent="0.3">
      <c r="A1011" s="10">
        <v>1007</v>
      </c>
      <c r="B1011" s="702" t="s">
        <v>111</v>
      </c>
      <c r="C1011" s="697" t="s">
        <v>2954</v>
      </c>
      <c r="D1011" s="699" t="s">
        <v>2955</v>
      </c>
      <c r="E1011" s="700">
        <v>28167</v>
      </c>
      <c r="F1011" s="9">
        <f t="shared" ca="1" si="89"/>
        <v>49</v>
      </c>
      <c r="G1011" s="701">
        <v>43237</v>
      </c>
      <c r="H1011" s="699" t="s">
        <v>275</v>
      </c>
      <c r="I1011" s="701">
        <v>44890</v>
      </c>
      <c r="J1011" s="698" t="s">
        <v>271</v>
      </c>
      <c r="K1011" s="4" t="str">
        <f t="shared" si="92"/>
        <v>I</v>
      </c>
      <c r="L1011" s="7" t="str">
        <f t="shared" si="93"/>
        <v>G8</v>
      </c>
      <c r="M1011" s="7" t="str">
        <f t="shared" si="94"/>
        <v>J1</v>
      </c>
      <c r="N1011" s="62" t="str">
        <f t="shared" si="95"/>
        <v/>
      </c>
      <c r="O1011" s="8">
        <f t="shared" si="91"/>
        <v>45986</v>
      </c>
      <c r="P1011" s="9" t="str">
        <f t="shared" ca="1" si="96"/>
        <v>ATRASADO</v>
      </c>
      <c r="Q1011" s="699" t="s">
        <v>1556</v>
      </c>
      <c r="R1011" s="698"/>
      <c r="S1011" s="9" t="str">
        <f t="shared" si="97"/>
        <v/>
      </c>
    </row>
    <row r="1012" spans="1:19" x14ac:dyDescent="0.3">
      <c r="A1012" s="10">
        <v>1008</v>
      </c>
      <c r="B1012" s="702" t="s">
        <v>111</v>
      </c>
      <c r="C1012" s="697" t="s">
        <v>2956</v>
      </c>
      <c r="D1012" s="699" t="s">
        <v>2957</v>
      </c>
      <c r="E1012" s="700">
        <v>22851</v>
      </c>
      <c r="F1012" s="9">
        <f t="shared" ca="1" si="89"/>
        <v>64</v>
      </c>
      <c r="G1012" s="699" t="s">
        <v>8</v>
      </c>
      <c r="H1012" s="699" t="s">
        <v>275</v>
      </c>
      <c r="I1012" s="701">
        <v>44869</v>
      </c>
      <c r="J1012" s="698" t="s">
        <v>275</v>
      </c>
      <c r="K1012" s="4" t="str">
        <f t="shared" si="92"/>
        <v>I</v>
      </c>
      <c r="L1012" s="7" t="str">
        <f t="shared" si="93"/>
        <v>G8</v>
      </c>
      <c r="M1012" s="7" t="str">
        <f t="shared" si="94"/>
        <v/>
      </c>
      <c r="N1012" s="62" t="str">
        <f t="shared" si="95"/>
        <v/>
      </c>
      <c r="O1012" s="8">
        <f t="shared" si="91"/>
        <v>45965</v>
      </c>
      <c r="P1012" s="9" t="str">
        <f t="shared" ca="1" si="96"/>
        <v>ATRASADO</v>
      </c>
      <c r="Q1012" s="699" t="s">
        <v>1556</v>
      </c>
      <c r="R1012" s="696"/>
      <c r="S1012" s="9" t="str">
        <f t="shared" si="97"/>
        <v/>
      </c>
    </row>
    <row r="1013" spans="1:19" x14ac:dyDescent="0.3">
      <c r="A1013" s="10">
        <v>1009</v>
      </c>
      <c r="B1013" s="702" t="s">
        <v>111</v>
      </c>
      <c r="C1013" s="697" t="s">
        <v>2958</v>
      </c>
      <c r="D1013" s="699" t="s">
        <v>2959</v>
      </c>
      <c r="E1013" s="700">
        <v>23633</v>
      </c>
      <c r="F1013" s="9">
        <f t="shared" ca="1" si="89"/>
        <v>62</v>
      </c>
      <c r="G1013" s="701">
        <v>43457</v>
      </c>
      <c r="H1013" s="699" t="s">
        <v>275</v>
      </c>
      <c r="I1013" s="701">
        <v>44885</v>
      </c>
      <c r="J1013" s="698" t="s">
        <v>271</v>
      </c>
      <c r="K1013" s="4" t="str">
        <f t="shared" si="92"/>
        <v>I</v>
      </c>
      <c r="L1013" s="7" t="str">
        <f t="shared" si="93"/>
        <v>G8</v>
      </c>
      <c r="M1013" s="7" t="str">
        <f t="shared" si="94"/>
        <v>J1</v>
      </c>
      <c r="N1013" s="62" t="str">
        <f t="shared" si="95"/>
        <v/>
      </c>
      <c r="O1013" s="8">
        <f t="shared" si="91"/>
        <v>45981</v>
      </c>
      <c r="P1013" s="9" t="str">
        <f t="shared" ca="1" si="96"/>
        <v>ATRASADO</v>
      </c>
      <c r="Q1013" s="699" t="s">
        <v>1556</v>
      </c>
      <c r="R1013" s="696"/>
      <c r="S1013" s="9" t="str">
        <f t="shared" si="97"/>
        <v/>
      </c>
    </row>
    <row r="1014" spans="1:19" x14ac:dyDescent="0.3">
      <c r="A1014" s="10">
        <v>1010</v>
      </c>
      <c r="B1014" s="702" t="s">
        <v>111</v>
      </c>
      <c r="C1014" s="697" t="s">
        <v>2960</v>
      </c>
      <c r="D1014" s="699" t="s">
        <v>2961</v>
      </c>
      <c r="E1014" s="700">
        <v>22684</v>
      </c>
      <c r="F1014" s="9">
        <f t="shared" ca="1" si="89"/>
        <v>64</v>
      </c>
      <c r="G1014" s="701">
        <v>43655</v>
      </c>
      <c r="H1014" s="699" t="s">
        <v>8</v>
      </c>
      <c r="I1014" s="701">
        <v>44886</v>
      </c>
      <c r="J1014" s="698" t="s">
        <v>271</v>
      </c>
      <c r="K1014" s="4" t="str">
        <f t="shared" si="92"/>
        <v>I</v>
      </c>
      <c r="L1014" s="7" t="str">
        <f t="shared" si="93"/>
        <v>G8</v>
      </c>
      <c r="M1014" s="7" t="str">
        <f t="shared" si="94"/>
        <v>J1</v>
      </c>
      <c r="N1014" s="62" t="str">
        <f t="shared" si="95"/>
        <v/>
      </c>
      <c r="O1014" s="8">
        <f t="shared" si="91"/>
        <v>45982</v>
      </c>
      <c r="P1014" s="9" t="str">
        <f t="shared" ca="1" si="96"/>
        <v>ATRASADO</v>
      </c>
      <c r="Q1014" s="699" t="s">
        <v>1556</v>
      </c>
      <c r="R1014" s="696"/>
      <c r="S1014" s="9" t="str">
        <f t="shared" si="97"/>
        <v/>
      </c>
    </row>
    <row r="1015" spans="1:19" x14ac:dyDescent="0.3">
      <c r="A1015" s="10">
        <v>1011</v>
      </c>
      <c r="B1015" s="709" t="s">
        <v>56</v>
      </c>
      <c r="C1015" s="704" t="s">
        <v>2962</v>
      </c>
      <c r="D1015" s="706" t="s">
        <v>2963</v>
      </c>
      <c r="E1015" s="707">
        <v>31327</v>
      </c>
      <c r="F1015" s="9">
        <f t="shared" ca="1" si="89"/>
        <v>40</v>
      </c>
      <c r="G1015" s="708">
        <v>43424</v>
      </c>
      <c r="H1015" s="706" t="s">
        <v>275</v>
      </c>
      <c r="I1015" s="708">
        <v>44890</v>
      </c>
      <c r="J1015" s="705" t="s">
        <v>275</v>
      </c>
      <c r="K1015" s="4" t="str">
        <f t="shared" si="92"/>
        <v>I</v>
      </c>
      <c r="L1015" s="7" t="str">
        <f t="shared" si="93"/>
        <v>G8</v>
      </c>
      <c r="M1015" s="7" t="str">
        <f t="shared" si="94"/>
        <v/>
      </c>
      <c r="N1015" s="62" t="str">
        <f t="shared" si="95"/>
        <v/>
      </c>
      <c r="O1015" s="8">
        <f t="shared" si="91"/>
        <v>45986</v>
      </c>
      <c r="P1015" s="9" t="str">
        <f t="shared" ca="1" si="96"/>
        <v>ATRASADO</v>
      </c>
      <c r="Q1015" s="706" t="s">
        <v>1556</v>
      </c>
      <c r="R1015" s="703"/>
      <c r="S1015" s="9" t="str">
        <f t="shared" si="97"/>
        <v/>
      </c>
    </row>
    <row r="1016" spans="1:19" x14ac:dyDescent="0.3">
      <c r="A1016" s="10">
        <v>1012</v>
      </c>
      <c r="B1016" s="709" t="s">
        <v>56</v>
      </c>
      <c r="C1016" s="704" t="s">
        <v>2964</v>
      </c>
      <c r="D1016" s="706" t="s">
        <v>2965</v>
      </c>
      <c r="E1016" s="707">
        <v>24904</v>
      </c>
      <c r="F1016" s="9">
        <f t="shared" ca="1" si="89"/>
        <v>58</v>
      </c>
      <c r="G1016" s="708">
        <v>43340</v>
      </c>
      <c r="H1016" s="706" t="s">
        <v>8</v>
      </c>
      <c r="I1016" s="708">
        <v>44887</v>
      </c>
      <c r="J1016" s="705" t="s">
        <v>271</v>
      </c>
      <c r="K1016" s="4" t="str">
        <f t="shared" si="92"/>
        <v>I</v>
      </c>
      <c r="L1016" s="7" t="str">
        <f t="shared" si="93"/>
        <v>G8</v>
      </c>
      <c r="M1016" s="7" t="str">
        <f t="shared" si="94"/>
        <v>J1</v>
      </c>
      <c r="N1016" s="62" t="str">
        <f t="shared" si="95"/>
        <v/>
      </c>
      <c r="O1016" s="8">
        <f t="shared" si="91"/>
        <v>45983</v>
      </c>
      <c r="P1016" s="9" t="str">
        <f t="shared" ca="1" si="96"/>
        <v>ATRASADO</v>
      </c>
      <c r="Q1016" s="706" t="s">
        <v>1556</v>
      </c>
      <c r="R1016" s="703"/>
      <c r="S1016" s="9" t="str">
        <f t="shared" si="97"/>
        <v/>
      </c>
    </row>
    <row r="1017" spans="1:19" x14ac:dyDescent="0.3">
      <c r="A1017" s="10">
        <v>1013</v>
      </c>
      <c r="B1017" s="709" t="s">
        <v>56</v>
      </c>
      <c r="C1017" s="704" t="s">
        <v>2966</v>
      </c>
      <c r="D1017" s="706" t="s">
        <v>2967</v>
      </c>
      <c r="E1017" s="707">
        <v>27502</v>
      </c>
      <c r="F1017" s="9">
        <f t="shared" ca="1" si="89"/>
        <v>51</v>
      </c>
      <c r="G1017" s="708">
        <v>43023</v>
      </c>
      <c r="H1017" s="706" t="s">
        <v>275</v>
      </c>
      <c r="I1017" s="708">
        <v>44895</v>
      </c>
      <c r="J1017" s="705" t="s">
        <v>275</v>
      </c>
      <c r="K1017" s="4" t="str">
        <f t="shared" si="92"/>
        <v>I</v>
      </c>
      <c r="L1017" s="7" t="str">
        <f t="shared" si="93"/>
        <v>G8</v>
      </c>
      <c r="M1017" s="7" t="str">
        <f t="shared" si="94"/>
        <v/>
      </c>
      <c r="N1017" s="62" t="str">
        <f t="shared" si="95"/>
        <v/>
      </c>
      <c r="O1017" s="8">
        <f t="shared" si="91"/>
        <v>45991</v>
      </c>
      <c r="P1017" s="9" t="str">
        <f t="shared" ca="1" si="96"/>
        <v>ATRASADO</v>
      </c>
      <c r="Q1017" s="706" t="s">
        <v>1556</v>
      </c>
      <c r="R1017" s="703"/>
      <c r="S1017" s="9" t="str">
        <f t="shared" si="97"/>
        <v/>
      </c>
    </row>
    <row r="1018" spans="1:19" x14ac:dyDescent="0.3">
      <c r="A1018" s="10">
        <v>1014</v>
      </c>
      <c r="B1018" s="709" t="s">
        <v>56</v>
      </c>
      <c r="C1018" s="704" t="s">
        <v>2968</v>
      </c>
      <c r="D1018" s="706" t="s">
        <v>2969</v>
      </c>
      <c r="E1018" s="707">
        <v>20798</v>
      </c>
      <c r="F1018" s="9">
        <f t="shared" ca="1" si="89"/>
        <v>69</v>
      </c>
      <c r="G1018" s="708">
        <v>44123</v>
      </c>
      <c r="H1018" s="706" t="s">
        <v>271</v>
      </c>
      <c r="I1018" s="708">
        <v>44885</v>
      </c>
      <c r="J1018" s="705" t="s">
        <v>275</v>
      </c>
      <c r="K1018" s="4" t="str">
        <f t="shared" si="92"/>
        <v>I</v>
      </c>
      <c r="L1018" s="7" t="str">
        <f t="shared" si="93"/>
        <v>G8</v>
      </c>
      <c r="M1018" s="7" t="str">
        <f t="shared" si="94"/>
        <v/>
      </c>
      <c r="N1018" s="62" t="str">
        <f t="shared" si="95"/>
        <v/>
      </c>
      <c r="O1018" s="8">
        <f t="shared" si="91"/>
        <v>45981</v>
      </c>
      <c r="P1018" s="9" t="str">
        <f t="shared" ca="1" si="96"/>
        <v>ATRASADO</v>
      </c>
      <c r="Q1018" s="706" t="s">
        <v>1556</v>
      </c>
      <c r="R1018" s="703"/>
      <c r="S1018" s="9" t="str">
        <f t="shared" si="97"/>
        <v/>
      </c>
    </row>
    <row r="1019" spans="1:19" x14ac:dyDescent="0.3">
      <c r="A1019" s="10">
        <v>1015</v>
      </c>
      <c r="B1019" s="709" t="s">
        <v>56</v>
      </c>
      <c r="C1019" s="704" t="s">
        <v>2970</v>
      </c>
      <c r="D1019" s="706" t="s">
        <v>2971</v>
      </c>
      <c r="E1019" s="707">
        <v>30519</v>
      </c>
      <c r="F1019" s="9">
        <f t="shared" ca="1" si="89"/>
        <v>43</v>
      </c>
      <c r="G1019" s="708">
        <v>44384</v>
      </c>
      <c r="H1019" s="706" t="s">
        <v>8</v>
      </c>
      <c r="I1019" s="708">
        <v>44882</v>
      </c>
      <c r="J1019" s="705" t="s">
        <v>275</v>
      </c>
      <c r="K1019" s="4" t="str">
        <f t="shared" si="92"/>
        <v>I</v>
      </c>
      <c r="L1019" s="7" t="str">
        <f t="shared" si="93"/>
        <v>G8</v>
      </c>
      <c r="M1019" s="7" t="str">
        <f t="shared" si="94"/>
        <v/>
      </c>
      <c r="N1019" s="62" t="str">
        <f t="shared" si="95"/>
        <v/>
      </c>
      <c r="O1019" s="8">
        <f t="shared" si="91"/>
        <v>45978</v>
      </c>
      <c r="P1019" s="9" t="str">
        <f t="shared" ca="1" si="96"/>
        <v>ATRASADO</v>
      </c>
      <c r="Q1019" s="706" t="s">
        <v>1556</v>
      </c>
      <c r="R1019" s="703"/>
      <c r="S1019" s="9" t="str">
        <f t="shared" si="97"/>
        <v/>
      </c>
    </row>
    <row r="1020" spans="1:19" x14ac:dyDescent="0.3">
      <c r="A1020" s="10">
        <v>1016</v>
      </c>
      <c r="B1020" s="709" t="s">
        <v>56</v>
      </c>
      <c r="C1020" s="704" t="s">
        <v>2972</v>
      </c>
      <c r="D1020" s="706" t="s">
        <v>2973</v>
      </c>
      <c r="E1020" s="707">
        <v>23119</v>
      </c>
      <c r="F1020" s="9">
        <f t="shared" ca="1" si="89"/>
        <v>63</v>
      </c>
      <c r="G1020" s="708">
        <v>44343</v>
      </c>
      <c r="H1020" s="706" t="s">
        <v>275</v>
      </c>
      <c r="I1020" s="708">
        <v>44887</v>
      </c>
      <c r="J1020" s="705" t="s">
        <v>271</v>
      </c>
      <c r="K1020" s="4" t="str">
        <f t="shared" si="92"/>
        <v>I</v>
      </c>
      <c r="L1020" s="7" t="str">
        <f t="shared" si="93"/>
        <v>G8</v>
      </c>
      <c r="M1020" s="7" t="str">
        <f t="shared" si="94"/>
        <v>J1</v>
      </c>
      <c r="N1020" s="62" t="str">
        <f t="shared" si="95"/>
        <v/>
      </c>
      <c r="O1020" s="8">
        <f t="shared" si="91"/>
        <v>45983</v>
      </c>
      <c r="P1020" s="9" t="str">
        <f t="shared" ca="1" si="96"/>
        <v>ATRASADO</v>
      </c>
      <c r="Q1020" s="706" t="s">
        <v>1556</v>
      </c>
      <c r="R1020" s="705"/>
      <c r="S1020" s="9" t="str">
        <f t="shared" si="97"/>
        <v/>
      </c>
    </row>
    <row r="1021" spans="1:19" x14ac:dyDescent="0.3">
      <c r="A1021" s="10">
        <v>1017</v>
      </c>
      <c r="B1021" s="709" t="s">
        <v>56</v>
      </c>
      <c r="C1021" s="710" t="s">
        <v>2974</v>
      </c>
      <c r="D1021" s="711" t="s">
        <v>2975</v>
      </c>
      <c r="E1021" s="707">
        <v>33463</v>
      </c>
      <c r="F1021" s="9">
        <f t="shared" ref="F1021:F1084" ca="1" si="98">IF(E1021="","",DATEDIF(E1021,TODAY(),"Y"))</f>
        <v>35</v>
      </c>
      <c r="G1021" s="708">
        <v>43116</v>
      </c>
      <c r="H1021" s="711" t="s">
        <v>8</v>
      </c>
      <c r="I1021" s="708">
        <v>44892</v>
      </c>
      <c r="J1021" s="784" t="s">
        <v>275</v>
      </c>
      <c r="K1021" s="4" t="str">
        <f t="shared" si="92"/>
        <v>I</v>
      </c>
      <c r="L1021" s="7" t="str">
        <f t="shared" si="93"/>
        <v>G8</v>
      </c>
      <c r="M1021" s="7" t="str">
        <f t="shared" si="94"/>
        <v/>
      </c>
      <c r="N1021" s="62" t="str">
        <f t="shared" si="95"/>
        <v/>
      </c>
      <c r="O1021" s="8">
        <f t="shared" si="91"/>
        <v>45988</v>
      </c>
      <c r="P1021" s="9" t="str">
        <f t="shared" ca="1" si="96"/>
        <v>ATRASADO</v>
      </c>
      <c r="Q1021" s="783" t="s">
        <v>341</v>
      </c>
      <c r="R1021" s="703"/>
      <c r="S1021" s="9" t="str">
        <f t="shared" si="97"/>
        <v/>
      </c>
    </row>
    <row r="1022" spans="1:19" x14ac:dyDescent="0.3">
      <c r="A1022" s="10">
        <v>1018</v>
      </c>
      <c r="B1022" s="709" t="s">
        <v>56</v>
      </c>
      <c r="C1022" s="710" t="s">
        <v>2976</v>
      </c>
      <c r="D1022" s="711" t="s">
        <v>2977</v>
      </c>
      <c r="E1022" s="707">
        <v>25031</v>
      </c>
      <c r="F1022" s="9">
        <f t="shared" ca="1" si="98"/>
        <v>58</v>
      </c>
      <c r="G1022" s="712" t="s">
        <v>8</v>
      </c>
      <c r="H1022" s="711" t="s">
        <v>275</v>
      </c>
      <c r="I1022" s="708">
        <v>44895</v>
      </c>
      <c r="J1022" s="784" t="s">
        <v>275</v>
      </c>
      <c r="K1022" s="4" t="str">
        <f t="shared" si="92"/>
        <v>I</v>
      </c>
      <c r="L1022" s="7" t="str">
        <f t="shared" si="93"/>
        <v>G8</v>
      </c>
      <c r="M1022" s="7" t="str">
        <f t="shared" si="94"/>
        <v/>
      </c>
      <c r="N1022" s="62" t="str">
        <f t="shared" si="95"/>
        <v/>
      </c>
      <c r="O1022" s="8">
        <f t="shared" si="91"/>
        <v>45991</v>
      </c>
      <c r="P1022" s="9" t="str">
        <f t="shared" ca="1" si="96"/>
        <v>ATRASADO</v>
      </c>
      <c r="Q1022" s="783" t="s">
        <v>341</v>
      </c>
      <c r="R1022" s="705"/>
      <c r="S1022" s="9" t="str">
        <f t="shared" si="97"/>
        <v/>
      </c>
    </row>
    <row r="1023" spans="1:19" x14ac:dyDescent="0.3">
      <c r="A1023" s="10">
        <v>1019</v>
      </c>
      <c r="B1023" s="709" t="s">
        <v>56</v>
      </c>
      <c r="C1023" s="710" t="s">
        <v>2978</v>
      </c>
      <c r="D1023" s="711" t="s">
        <v>2979</v>
      </c>
      <c r="E1023" s="707">
        <v>30655</v>
      </c>
      <c r="F1023" s="9">
        <f t="shared" ca="1" si="98"/>
        <v>42</v>
      </c>
      <c r="G1023" s="708">
        <v>43617</v>
      </c>
      <c r="H1023" s="711" t="s">
        <v>271</v>
      </c>
      <c r="I1023" s="708">
        <v>44878</v>
      </c>
      <c r="J1023" s="784" t="s">
        <v>271</v>
      </c>
      <c r="K1023" s="4" t="str">
        <f t="shared" si="92"/>
        <v>I</v>
      </c>
      <c r="L1023" s="7" t="str">
        <f t="shared" si="93"/>
        <v>G8</v>
      </c>
      <c r="M1023" s="7" t="str">
        <f t="shared" si="94"/>
        <v>J1</v>
      </c>
      <c r="N1023" s="62" t="str">
        <f t="shared" si="95"/>
        <v/>
      </c>
      <c r="O1023" s="8">
        <f t="shared" si="91"/>
        <v>45974</v>
      </c>
      <c r="P1023" s="9" t="str">
        <f t="shared" ca="1" si="96"/>
        <v>ATRASADO</v>
      </c>
      <c r="Q1023" s="783" t="s">
        <v>341</v>
      </c>
      <c r="R1023" s="703"/>
      <c r="S1023" s="9" t="str">
        <f t="shared" si="97"/>
        <v/>
      </c>
    </row>
    <row r="1024" spans="1:19" x14ac:dyDescent="0.3">
      <c r="A1024" s="10">
        <v>1020</v>
      </c>
      <c r="B1024" s="709" t="s">
        <v>56</v>
      </c>
      <c r="C1024" s="710" t="s">
        <v>2980</v>
      </c>
      <c r="D1024" s="711" t="s">
        <v>2981</v>
      </c>
      <c r="E1024" s="707">
        <v>28584</v>
      </c>
      <c r="F1024" s="9">
        <f t="shared" ca="1" si="98"/>
        <v>48</v>
      </c>
      <c r="G1024" s="708">
        <v>44279</v>
      </c>
      <c r="H1024" s="711" t="s">
        <v>271</v>
      </c>
      <c r="I1024" s="708">
        <v>44892</v>
      </c>
      <c r="J1024" s="784" t="s">
        <v>275</v>
      </c>
      <c r="K1024" s="4" t="str">
        <f t="shared" si="92"/>
        <v>I</v>
      </c>
      <c r="L1024" s="7" t="str">
        <f t="shared" si="93"/>
        <v>G8</v>
      </c>
      <c r="M1024" s="7" t="str">
        <f t="shared" si="94"/>
        <v/>
      </c>
      <c r="N1024" s="62" t="str">
        <f t="shared" si="95"/>
        <v/>
      </c>
      <c r="O1024" s="8">
        <f t="shared" si="91"/>
        <v>45988</v>
      </c>
      <c r="P1024" s="9" t="str">
        <f t="shared" ca="1" si="96"/>
        <v>ATRASADO</v>
      </c>
      <c r="Q1024" s="783" t="s">
        <v>341</v>
      </c>
      <c r="R1024" s="705"/>
      <c r="S1024" s="9" t="str">
        <f t="shared" si="97"/>
        <v/>
      </c>
    </row>
    <row r="1025" spans="1:19" x14ac:dyDescent="0.3">
      <c r="A1025" s="10">
        <v>1021</v>
      </c>
      <c r="B1025" s="716" t="s">
        <v>75</v>
      </c>
      <c r="C1025" s="710" t="s">
        <v>2982</v>
      </c>
      <c r="D1025" s="711" t="s">
        <v>2983</v>
      </c>
      <c r="E1025" s="715">
        <v>28455</v>
      </c>
      <c r="F1025" s="9">
        <f t="shared" ca="1" si="98"/>
        <v>48</v>
      </c>
      <c r="G1025" s="712">
        <v>44537</v>
      </c>
      <c r="H1025" s="711" t="s">
        <v>8</v>
      </c>
      <c r="I1025" s="712">
        <v>44884</v>
      </c>
      <c r="J1025" s="714" t="s">
        <v>275</v>
      </c>
      <c r="K1025" s="4" t="str">
        <f t="shared" si="92"/>
        <v>I</v>
      </c>
      <c r="L1025" s="7" t="str">
        <f t="shared" si="93"/>
        <v>G8</v>
      </c>
      <c r="M1025" s="7" t="str">
        <f t="shared" si="94"/>
        <v/>
      </c>
      <c r="N1025" s="62" t="str">
        <f t="shared" si="95"/>
        <v/>
      </c>
      <c r="O1025" s="8">
        <f t="shared" si="91"/>
        <v>45980</v>
      </c>
      <c r="P1025" s="9" t="str">
        <f t="shared" ca="1" si="96"/>
        <v>ATRASADO</v>
      </c>
      <c r="Q1025" s="711" t="s">
        <v>1556</v>
      </c>
      <c r="R1025" s="713"/>
      <c r="S1025" s="9" t="str">
        <f t="shared" si="97"/>
        <v/>
      </c>
    </row>
    <row r="1026" spans="1:19" x14ac:dyDescent="0.3">
      <c r="A1026" s="10">
        <v>1022</v>
      </c>
      <c r="B1026" s="716" t="s">
        <v>75</v>
      </c>
      <c r="C1026" s="710" t="s">
        <v>2984</v>
      </c>
      <c r="D1026" s="711" t="s">
        <v>2985</v>
      </c>
      <c r="E1026" s="715">
        <v>23583</v>
      </c>
      <c r="F1026" s="9">
        <f t="shared" ca="1" si="98"/>
        <v>62</v>
      </c>
      <c r="G1026" s="712">
        <v>44113</v>
      </c>
      <c r="H1026" s="711" t="s">
        <v>528</v>
      </c>
      <c r="I1026" s="712">
        <v>44877</v>
      </c>
      <c r="J1026" s="714" t="s">
        <v>8</v>
      </c>
      <c r="K1026" s="4" t="str">
        <f t="shared" si="92"/>
        <v>SI</v>
      </c>
      <c r="L1026" s="7" t="str">
        <f t="shared" si="93"/>
        <v xml:space="preserve">N </v>
      </c>
      <c r="M1026" s="7" t="str">
        <f t="shared" si="94"/>
        <v>RE</v>
      </c>
      <c r="N1026" s="62" t="str">
        <f t="shared" si="95"/>
        <v>GI</v>
      </c>
      <c r="O1026" s="8">
        <f t="shared" si="91"/>
        <v>45973</v>
      </c>
      <c r="P1026" s="9" t="str">
        <f t="shared" ca="1" si="96"/>
        <v>ATRASADO</v>
      </c>
      <c r="Q1026" s="711" t="s">
        <v>1556</v>
      </c>
      <c r="R1026" s="714"/>
      <c r="S1026" s="9" t="str">
        <f t="shared" si="97"/>
        <v/>
      </c>
    </row>
    <row r="1027" spans="1:19" x14ac:dyDescent="0.3">
      <c r="A1027" s="10">
        <v>1023</v>
      </c>
      <c r="B1027" s="716" t="s">
        <v>75</v>
      </c>
      <c r="C1027" s="710" t="s">
        <v>2986</v>
      </c>
      <c r="D1027" s="711" t="s">
        <v>2987</v>
      </c>
      <c r="E1027" s="715">
        <v>31104</v>
      </c>
      <c r="F1027" s="9">
        <f t="shared" ca="1" si="98"/>
        <v>41</v>
      </c>
      <c r="G1027" s="712">
        <v>44454</v>
      </c>
      <c r="H1027" s="711" t="s">
        <v>275</v>
      </c>
      <c r="I1027" s="712">
        <v>44872</v>
      </c>
      <c r="J1027" s="714" t="s">
        <v>291</v>
      </c>
      <c r="K1027" s="4" t="str">
        <f t="shared" si="92"/>
        <v>I</v>
      </c>
      <c r="L1027" s="7" t="str">
        <f t="shared" si="93"/>
        <v>G8</v>
      </c>
      <c r="M1027" s="7" t="str">
        <f t="shared" si="94"/>
        <v>J5</v>
      </c>
      <c r="N1027" s="62" t="str">
        <f t="shared" si="95"/>
        <v/>
      </c>
      <c r="O1027" s="8">
        <f t="shared" si="91"/>
        <v>45968</v>
      </c>
      <c r="P1027" s="9" t="str">
        <f t="shared" ca="1" si="96"/>
        <v>ATRASADO</v>
      </c>
      <c r="Q1027" s="711" t="s">
        <v>1556</v>
      </c>
      <c r="R1027" s="713"/>
      <c r="S1027" s="9" t="str">
        <f t="shared" si="97"/>
        <v>CANDIDA</v>
      </c>
    </row>
    <row r="1028" spans="1:19" x14ac:dyDescent="0.3">
      <c r="A1028" s="10">
        <v>1024</v>
      </c>
      <c r="B1028" s="716" t="s">
        <v>75</v>
      </c>
      <c r="C1028" s="710" t="s">
        <v>2988</v>
      </c>
      <c r="D1028" s="711" t="s">
        <v>2989</v>
      </c>
      <c r="E1028" s="715">
        <v>36863</v>
      </c>
      <c r="F1028" s="9">
        <f t="shared" ca="1" si="98"/>
        <v>25</v>
      </c>
      <c r="G1028" s="712">
        <v>43550</v>
      </c>
      <c r="H1028" s="711" t="s">
        <v>275</v>
      </c>
      <c r="I1028" s="712">
        <v>44893</v>
      </c>
      <c r="J1028" s="714" t="s">
        <v>275</v>
      </c>
      <c r="K1028" s="4" t="str">
        <f t="shared" si="92"/>
        <v>I</v>
      </c>
      <c r="L1028" s="7" t="str">
        <f t="shared" si="93"/>
        <v>G8</v>
      </c>
      <c r="M1028" s="7" t="str">
        <f t="shared" si="94"/>
        <v/>
      </c>
      <c r="N1028" s="62" t="str">
        <f t="shared" si="95"/>
        <v/>
      </c>
      <c r="O1028" s="8">
        <f t="shared" si="91"/>
        <v>45989</v>
      </c>
      <c r="P1028" s="9" t="str">
        <f t="shared" ca="1" si="96"/>
        <v>ATRASADO</v>
      </c>
      <c r="Q1028" s="711" t="s">
        <v>1556</v>
      </c>
      <c r="R1028" s="713"/>
      <c r="S1028" s="9" t="str">
        <f t="shared" si="97"/>
        <v/>
      </c>
    </row>
    <row r="1029" spans="1:19" x14ac:dyDescent="0.3">
      <c r="A1029" s="10">
        <v>1025</v>
      </c>
      <c r="B1029" s="716" t="s">
        <v>270</v>
      </c>
      <c r="C1029" s="710" t="s">
        <v>2990</v>
      </c>
      <c r="D1029" s="711" t="s">
        <v>2991</v>
      </c>
      <c r="E1029" s="715">
        <v>33001</v>
      </c>
      <c r="F1029" s="9">
        <f t="shared" ca="1" si="98"/>
        <v>36</v>
      </c>
      <c r="G1029" s="711" t="s">
        <v>8</v>
      </c>
      <c r="H1029" s="711" t="s">
        <v>8</v>
      </c>
      <c r="I1029" s="712">
        <v>44868</v>
      </c>
      <c r="J1029" s="812" t="s">
        <v>275</v>
      </c>
      <c r="K1029" s="4" t="str">
        <f t="shared" si="92"/>
        <v>I</v>
      </c>
      <c r="L1029" s="7" t="str">
        <f t="shared" si="93"/>
        <v>G8</v>
      </c>
      <c r="M1029" s="7" t="str">
        <f t="shared" si="94"/>
        <v/>
      </c>
      <c r="N1029" s="62" t="str">
        <f t="shared" si="95"/>
        <v/>
      </c>
      <c r="O1029" s="8">
        <f t="shared" si="91"/>
        <v>45964</v>
      </c>
      <c r="P1029" s="9" t="str">
        <f t="shared" ca="1" si="96"/>
        <v>ATRASADO</v>
      </c>
      <c r="Q1029" s="711" t="s">
        <v>1556</v>
      </c>
      <c r="R1029" s="713"/>
      <c r="S1029" s="9" t="str">
        <f t="shared" si="97"/>
        <v/>
      </c>
    </row>
    <row r="1030" spans="1:19" x14ac:dyDescent="0.3">
      <c r="A1030" s="10">
        <v>1026</v>
      </c>
      <c r="B1030" s="716" t="s">
        <v>75</v>
      </c>
      <c r="C1030" s="710" t="s">
        <v>2992</v>
      </c>
      <c r="D1030" s="711" t="s">
        <v>2993</v>
      </c>
      <c r="E1030" s="715">
        <v>22445</v>
      </c>
      <c r="F1030" s="9">
        <f t="shared" ca="1" si="98"/>
        <v>65</v>
      </c>
      <c r="G1030" s="712">
        <v>44330</v>
      </c>
      <c r="H1030" s="711" t="s">
        <v>528</v>
      </c>
      <c r="I1030" s="712">
        <v>44887</v>
      </c>
      <c r="J1030" s="714" t="s">
        <v>8</v>
      </c>
      <c r="K1030" s="4" t="str">
        <f t="shared" si="92"/>
        <v>SI</v>
      </c>
      <c r="L1030" s="7" t="str">
        <f t="shared" si="93"/>
        <v xml:space="preserve">N </v>
      </c>
      <c r="M1030" s="7" t="str">
        <f t="shared" si="94"/>
        <v>RE</v>
      </c>
      <c r="N1030" s="62" t="str">
        <f t="shared" si="95"/>
        <v>GI</v>
      </c>
      <c r="O1030" s="8">
        <f t="shared" si="91"/>
        <v>45983</v>
      </c>
      <c r="P1030" s="9" t="str">
        <f t="shared" ca="1" si="96"/>
        <v>ATRASADO</v>
      </c>
      <c r="Q1030" s="711" t="s">
        <v>1556</v>
      </c>
      <c r="R1030" s="714"/>
      <c r="S1030" s="9" t="str">
        <f t="shared" si="97"/>
        <v/>
      </c>
    </row>
    <row r="1031" spans="1:19" x14ac:dyDescent="0.3">
      <c r="A1031" s="10">
        <v>1027</v>
      </c>
      <c r="B1031" s="716" t="s">
        <v>75</v>
      </c>
      <c r="C1031" s="710" t="s">
        <v>2994</v>
      </c>
      <c r="D1031" s="711" t="s">
        <v>2995</v>
      </c>
      <c r="E1031" s="715">
        <v>29738</v>
      </c>
      <c r="F1031" s="9">
        <f t="shared" ca="1" si="98"/>
        <v>45</v>
      </c>
      <c r="G1031" s="712">
        <v>44094</v>
      </c>
      <c r="H1031" s="711" t="s">
        <v>8</v>
      </c>
      <c r="I1031" s="712">
        <v>44872</v>
      </c>
      <c r="J1031" s="714" t="s">
        <v>594</v>
      </c>
      <c r="K1031" s="4" t="str">
        <f t="shared" si="92"/>
        <v>I</v>
      </c>
      <c r="L1031" s="7" t="str">
        <f t="shared" si="93"/>
        <v>G8</v>
      </c>
      <c r="M1031" s="7" t="str">
        <f t="shared" si="94"/>
        <v>J6</v>
      </c>
      <c r="N1031" s="62" t="str">
        <f t="shared" si="95"/>
        <v/>
      </c>
      <c r="O1031" s="8">
        <f t="shared" si="91"/>
        <v>45968</v>
      </c>
      <c r="P1031" s="9" t="str">
        <f t="shared" ca="1" si="96"/>
        <v>ATRASADO</v>
      </c>
      <c r="Q1031" s="711" t="s">
        <v>1556</v>
      </c>
      <c r="R1031" s="713"/>
      <c r="S1031" s="9" t="str">
        <f t="shared" si="97"/>
        <v>ACTINOMYCES</v>
      </c>
    </row>
    <row r="1032" spans="1:19" x14ac:dyDescent="0.3">
      <c r="A1032" s="10">
        <v>1028</v>
      </c>
      <c r="B1032" s="716" t="s">
        <v>75</v>
      </c>
      <c r="C1032" s="710" t="s">
        <v>2996</v>
      </c>
      <c r="D1032" s="711" t="s">
        <v>2997</v>
      </c>
      <c r="E1032" s="715">
        <v>33958</v>
      </c>
      <c r="F1032" s="9">
        <f t="shared" ca="1" si="98"/>
        <v>33</v>
      </c>
      <c r="G1032" s="712">
        <v>43187</v>
      </c>
      <c r="H1032" s="711" t="s">
        <v>275</v>
      </c>
      <c r="I1032" s="712">
        <v>44888</v>
      </c>
      <c r="J1032" s="714" t="s">
        <v>8</v>
      </c>
      <c r="K1032" s="4" t="str">
        <f t="shared" si="92"/>
        <v>SI</v>
      </c>
      <c r="L1032" s="7" t="str">
        <f t="shared" si="93"/>
        <v xml:space="preserve">N </v>
      </c>
      <c r="M1032" s="7" t="str">
        <f t="shared" si="94"/>
        <v>RE</v>
      </c>
      <c r="N1032" s="62" t="str">
        <f t="shared" si="95"/>
        <v>GI</v>
      </c>
      <c r="O1032" s="8">
        <f t="shared" si="91"/>
        <v>45984</v>
      </c>
      <c r="P1032" s="9" t="str">
        <f t="shared" ca="1" si="96"/>
        <v>ATRASADO</v>
      </c>
      <c r="Q1032" s="711" t="s">
        <v>1556</v>
      </c>
      <c r="R1032" s="713"/>
      <c r="S1032" s="9" t="str">
        <f t="shared" si="97"/>
        <v/>
      </c>
    </row>
    <row r="1033" spans="1:19" x14ac:dyDescent="0.3">
      <c r="A1033" s="10">
        <v>1029</v>
      </c>
      <c r="B1033" s="716" t="s">
        <v>75</v>
      </c>
      <c r="C1033" s="710" t="s">
        <v>2998</v>
      </c>
      <c r="D1033" s="711" t="s">
        <v>2999</v>
      </c>
      <c r="E1033" s="715">
        <v>28509</v>
      </c>
      <c r="F1033" s="9">
        <f t="shared" ca="1" si="98"/>
        <v>48</v>
      </c>
      <c r="G1033" s="712">
        <v>43663</v>
      </c>
      <c r="H1033" s="711" t="s">
        <v>8</v>
      </c>
      <c r="I1033" s="712">
        <v>44895</v>
      </c>
      <c r="J1033" s="714" t="s">
        <v>271</v>
      </c>
      <c r="K1033" s="4" t="str">
        <f t="shared" si="92"/>
        <v>I</v>
      </c>
      <c r="L1033" s="7" t="str">
        <f t="shared" si="93"/>
        <v>G8</v>
      </c>
      <c r="M1033" s="7" t="str">
        <f t="shared" si="94"/>
        <v>J1</v>
      </c>
      <c r="N1033" s="62" t="str">
        <f t="shared" si="95"/>
        <v/>
      </c>
      <c r="O1033" s="8">
        <f t="shared" si="91"/>
        <v>45991</v>
      </c>
      <c r="P1033" s="9" t="str">
        <f t="shared" ca="1" si="96"/>
        <v>ATRASADO</v>
      </c>
      <c r="Q1033" s="711" t="s">
        <v>1556</v>
      </c>
      <c r="R1033" s="714"/>
      <c r="S1033" s="9" t="str">
        <f t="shared" si="97"/>
        <v/>
      </c>
    </row>
    <row r="1034" spans="1:19" x14ac:dyDescent="0.3">
      <c r="A1034" s="10">
        <v>1030</v>
      </c>
      <c r="B1034" s="716" t="s">
        <v>75</v>
      </c>
      <c r="C1034" s="710" t="s">
        <v>3000</v>
      </c>
      <c r="D1034" s="711" t="s">
        <v>3001</v>
      </c>
      <c r="E1034" s="715">
        <v>26141</v>
      </c>
      <c r="F1034" s="9">
        <f t="shared" ca="1" si="98"/>
        <v>55</v>
      </c>
      <c r="G1034" s="712">
        <v>43304</v>
      </c>
      <c r="H1034" s="711" t="s">
        <v>271</v>
      </c>
      <c r="I1034" s="712">
        <v>44892</v>
      </c>
      <c r="J1034" s="714" t="s">
        <v>271</v>
      </c>
      <c r="K1034" s="4" t="str">
        <f t="shared" si="92"/>
        <v>I</v>
      </c>
      <c r="L1034" s="7" t="str">
        <f t="shared" si="93"/>
        <v>G8</v>
      </c>
      <c r="M1034" s="7" t="str">
        <f t="shared" si="94"/>
        <v>J1</v>
      </c>
      <c r="N1034" s="62" t="str">
        <f t="shared" si="95"/>
        <v/>
      </c>
      <c r="O1034" s="8">
        <f t="shared" si="91"/>
        <v>45988</v>
      </c>
      <c r="P1034" s="9" t="str">
        <f t="shared" ca="1" si="96"/>
        <v>ATRASADO</v>
      </c>
      <c r="Q1034" s="711" t="s">
        <v>1556</v>
      </c>
      <c r="R1034" s="714"/>
      <c r="S1034" s="9" t="str">
        <f t="shared" si="97"/>
        <v/>
      </c>
    </row>
    <row r="1035" spans="1:19" x14ac:dyDescent="0.3">
      <c r="A1035" s="10">
        <v>1031</v>
      </c>
      <c r="B1035" s="722" t="s">
        <v>75</v>
      </c>
      <c r="C1035" s="718" t="s">
        <v>3002</v>
      </c>
      <c r="D1035" s="719" t="s">
        <v>3003</v>
      </c>
      <c r="E1035" s="720">
        <v>24782</v>
      </c>
      <c r="F1035" s="9">
        <f t="shared" ca="1" si="98"/>
        <v>58</v>
      </c>
      <c r="G1035" s="721">
        <v>43919</v>
      </c>
      <c r="H1035" s="719" t="s">
        <v>275</v>
      </c>
      <c r="I1035" s="721">
        <v>44874</v>
      </c>
      <c r="J1035" s="766" t="s">
        <v>324</v>
      </c>
      <c r="K1035" s="4" t="str">
        <f t="shared" si="92"/>
        <v>G1</v>
      </c>
      <c r="L1035" s="7" t="str">
        <f t="shared" si="93"/>
        <v>O5</v>
      </c>
      <c r="M1035" s="7" t="str">
        <f t="shared" si="94"/>
        <v/>
      </c>
      <c r="N1035" s="62" t="str">
        <f t="shared" si="95"/>
        <v/>
      </c>
      <c r="O1035" s="8">
        <f t="shared" si="91"/>
        <v>44966</v>
      </c>
      <c r="P1035" s="9" t="str">
        <f t="shared" ca="1" si="96"/>
        <v>ATRASADO</v>
      </c>
      <c r="Q1035" s="719" t="s">
        <v>1556</v>
      </c>
      <c r="R1035" s="717"/>
      <c r="S1035" s="9" t="str">
        <f t="shared" si="97"/>
        <v/>
      </c>
    </row>
    <row r="1036" spans="1:19" x14ac:dyDescent="0.3">
      <c r="A1036" s="10">
        <v>1032</v>
      </c>
      <c r="B1036" s="729" t="s">
        <v>579</v>
      </c>
      <c r="C1036" s="725" t="s">
        <v>3004</v>
      </c>
      <c r="D1036" s="726" t="s">
        <v>3005</v>
      </c>
      <c r="E1036" s="727">
        <v>28695</v>
      </c>
      <c r="F1036" s="9">
        <f t="shared" ca="1" si="98"/>
        <v>48</v>
      </c>
      <c r="G1036" s="726" t="s">
        <v>8</v>
      </c>
      <c r="H1036" s="726" t="s">
        <v>271</v>
      </c>
      <c r="I1036" s="728">
        <v>44890</v>
      </c>
      <c r="J1036" s="796" t="s">
        <v>275</v>
      </c>
      <c r="K1036" s="4" t="str">
        <f t="shared" si="92"/>
        <v>I</v>
      </c>
      <c r="L1036" s="7" t="str">
        <f t="shared" si="93"/>
        <v>G8</v>
      </c>
      <c r="M1036" s="7" t="str">
        <f t="shared" si="94"/>
        <v/>
      </c>
      <c r="N1036" s="62" t="str">
        <f t="shared" si="95"/>
        <v/>
      </c>
      <c r="O1036" s="8">
        <f t="shared" si="91"/>
        <v>45986</v>
      </c>
      <c r="P1036" s="9" t="str">
        <f t="shared" ca="1" si="96"/>
        <v>ATRASADO</v>
      </c>
      <c r="Q1036" s="726" t="s">
        <v>1556</v>
      </c>
      <c r="R1036" s="724"/>
      <c r="S1036" s="9" t="str">
        <f t="shared" si="97"/>
        <v/>
      </c>
    </row>
    <row r="1037" spans="1:19" x14ac:dyDescent="0.3">
      <c r="A1037" s="10">
        <v>1033</v>
      </c>
      <c r="B1037" s="729" t="s">
        <v>579</v>
      </c>
      <c r="C1037" s="725" t="s">
        <v>3006</v>
      </c>
      <c r="D1037" s="726" t="s">
        <v>3007</v>
      </c>
      <c r="E1037" s="727">
        <v>29496</v>
      </c>
      <c r="F1037" s="9">
        <f t="shared" ca="1" si="98"/>
        <v>45</v>
      </c>
      <c r="G1037" s="726" t="s">
        <v>8</v>
      </c>
      <c r="H1037" s="726" t="s">
        <v>8</v>
      </c>
      <c r="I1037" s="728">
        <v>44886</v>
      </c>
      <c r="J1037" s="812" t="s">
        <v>275</v>
      </c>
      <c r="K1037" s="4" t="str">
        <f t="shared" si="92"/>
        <v>I</v>
      </c>
      <c r="L1037" s="7" t="str">
        <f t="shared" si="93"/>
        <v>G8</v>
      </c>
      <c r="M1037" s="7" t="str">
        <f t="shared" si="94"/>
        <v/>
      </c>
      <c r="N1037" s="62" t="str">
        <f t="shared" si="95"/>
        <v/>
      </c>
      <c r="O1037" s="8">
        <f t="shared" ref="O1037:O1100" si="99">IF(I1037="","",IF(OR(K1037="S",L1037="S",M1037="S",N1037="S",K1037="G7",L1037="G7",M1037="G7",N1037="G7",),DATE(YEAR(I1037)+1,MONTH(I1037),DAY(I1037)),IF(OR(K1037="O3",L1037="O3",M1037="O3",N1037="O3",K1037="ASCUS",L1037="ASCUS",M1037="ASCUS",N1037="ASCUS"),DATE(YEAR(I1037),MONTH(I1037)+6,DAY(I1037)),IF(OR(K1037="O5",L1037="O5",M1037="O5",N1037="O5"),DATE(YEAR(I1037),MONTH(I1037)+3,DAY(I1037)),IF(OR(K1037="T",L1037="T",M1037="T",N1037="T"),DATE(YEAR(I1037),MONTH(I1037)+1,DAY(I1037)+10),DATE(YEAR(I1037)+3,MONTH(I1037),DAY(I1037)))))))</f>
        <v>45982</v>
      </c>
      <c r="P1037" s="9" t="str">
        <f t="shared" ca="1" si="96"/>
        <v>ATRASADO</v>
      </c>
      <c r="Q1037" s="726" t="s">
        <v>1556</v>
      </c>
      <c r="R1037" s="724"/>
      <c r="S1037" s="9" t="str">
        <f t="shared" si="97"/>
        <v/>
      </c>
    </row>
    <row r="1038" spans="1:19" x14ac:dyDescent="0.3">
      <c r="A1038" s="10">
        <v>1034</v>
      </c>
      <c r="B1038" s="729" t="s">
        <v>579</v>
      </c>
      <c r="C1038" s="725" t="s">
        <v>3008</v>
      </c>
      <c r="D1038" s="726" t="s">
        <v>3009</v>
      </c>
      <c r="E1038" s="727">
        <v>32884</v>
      </c>
      <c r="F1038" s="9">
        <f t="shared" ca="1" si="98"/>
        <v>36</v>
      </c>
      <c r="G1038" s="728">
        <v>43747</v>
      </c>
      <c r="H1038" s="726" t="s">
        <v>271</v>
      </c>
      <c r="I1038" s="728">
        <v>44878</v>
      </c>
      <c r="J1038" s="723" t="s">
        <v>271</v>
      </c>
      <c r="K1038" s="4" t="str">
        <f t="shared" si="92"/>
        <v>I</v>
      </c>
      <c r="L1038" s="7" t="str">
        <f t="shared" si="93"/>
        <v>G8</v>
      </c>
      <c r="M1038" s="7" t="str">
        <f t="shared" si="94"/>
        <v>J1</v>
      </c>
      <c r="N1038" s="62" t="str">
        <f t="shared" si="95"/>
        <v/>
      </c>
      <c r="O1038" s="8">
        <f t="shared" si="99"/>
        <v>45974</v>
      </c>
      <c r="P1038" s="9" t="str">
        <f t="shared" ca="1" si="96"/>
        <v>ATRASADO</v>
      </c>
      <c r="Q1038" s="726" t="s">
        <v>1556</v>
      </c>
      <c r="R1038" s="724"/>
      <c r="S1038" s="9" t="str">
        <f t="shared" si="97"/>
        <v/>
      </c>
    </row>
    <row r="1039" spans="1:19" x14ac:dyDescent="0.3">
      <c r="A1039" s="10">
        <v>1035</v>
      </c>
      <c r="B1039" s="729" t="s">
        <v>579</v>
      </c>
      <c r="C1039" s="725" t="s">
        <v>3010</v>
      </c>
      <c r="D1039" s="726" t="s">
        <v>3011</v>
      </c>
      <c r="E1039" s="727">
        <v>27323</v>
      </c>
      <c r="F1039" s="9">
        <f t="shared" ca="1" si="98"/>
        <v>51</v>
      </c>
      <c r="G1039" s="728">
        <v>44094</v>
      </c>
      <c r="H1039" s="726" t="s">
        <v>291</v>
      </c>
      <c r="I1039" s="728">
        <v>44886</v>
      </c>
      <c r="J1039" s="723" t="s">
        <v>275</v>
      </c>
      <c r="K1039" s="4" t="str">
        <f t="shared" si="92"/>
        <v>I</v>
      </c>
      <c r="L1039" s="7" t="str">
        <f t="shared" si="93"/>
        <v>G8</v>
      </c>
      <c r="M1039" s="7" t="str">
        <f t="shared" si="94"/>
        <v/>
      </c>
      <c r="N1039" s="62" t="str">
        <f t="shared" si="95"/>
        <v/>
      </c>
      <c r="O1039" s="8">
        <f t="shared" si="99"/>
        <v>45982</v>
      </c>
      <c r="P1039" s="9" t="str">
        <f t="shared" ca="1" si="96"/>
        <v>ATRASADO</v>
      </c>
      <c r="Q1039" s="726" t="s">
        <v>1556</v>
      </c>
      <c r="R1039" s="724"/>
      <c r="S1039" s="9" t="str">
        <f t="shared" si="97"/>
        <v/>
      </c>
    </row>
    <row r="1040" spans="1:19" x14ac:dyDescent="0.3">
      <c r="A1040" s="10">
        <v>1036</v>
      </c>
      <c r="B1040" s="729" t="s">
        <v>579</v>
      </c>
      <c r="C1040" s="725" t="s">
        <v>3012</v>
      </c>
      <c r="D1040" s="726" t="s">
        <v>3013</v>
      </c>
      <c r="E1040" s="727">
        <v>22693</v>
      </c>
      <c r="F1040" s="9">
        <f t="shared" ca="1" si="98"/>
        <v>64</v>
      </c>
      <c r="G1040" s="726" t="s">
        <v>8</v>
      </c>
      <c r="H1040" s="726" t="s">
        <v>271</v>
      </c>
      <c r="I1040" s="728">
        <v>44894</v>
      </c>
      <c r="J1040" s="812" t="s">
        <v>271</v>
      </c>
      <c r="K1040" s="4" t="str">
        <f t="shared" si="92"/>
        <v>I</v>
      </c>
      <c r="L1040" s="7" t="str">
        <f t="shared" si="93"/>
        <v>G8</v>
      </c>
      <c r="M1040" s="7" t="str">
        <f t="shared" si="94"/>
        <v>J1</v>
      </c>
      <c r="N1040" s="62" t="str">
        <f t="shared" si="95"/>
        <v/>
      </c>
      <c r="O1040" s="8">
        <f t="shared" si="99"/>
        <v>45990</v>
      </c>
      <c r="P1040" s="9" t="str">
        <f t="shared" ca="1" si="96"/>
        <v>ATRASADO</v>
      </c>
      <c r="Q1040" s="726" t="s">
        <v>1556</v>
      </c>
      <c r="R1040" s="724"/>
      <c r="S1040" s="9" t="str">
        <f t="shared" si="97"/>
        <v/>
      </c>
    </row>
    <row r="1041" spans="1:19" x14ac:dyDescent="0.3">
      <c r="A1041" s="10">
        <v>1037</v>
      </c>
      <c r="B1041" s="729" t="s">
        <v>579</v>
      </c>
      <c r="C1041" s="725" t="s">
        <v>3014</v>
      </c>
      <c r="D1041" s="726" t="s">
        <v>3015</v>
      </c>
      <c r="E1041" s="727">
        <v>26241</v>
      </c>
      <c r="F1041" s="9">
        <f t="shared" ca="1" si="98"/>
        <v>54</v>
      </c>
      <c r="G1041" s="728">
        <v>44134</v>
      </c>
      <c r="H1041" s="726" t="s">
        <v>275</v>
      </c>
      <c r="I1041" s="728">
        <v>44866</v>
      </c>
      <c r="J1041" s="723" t="s">
        <v>8</v>
      </c>
      <c r="K1041" s="4" t="str">
        <f t="shared" si="92"/>
        <v>SI</v>
      </c>
      <c r="L1041" s="7" t="str">
        <f t="shared" si="93"/>
        <v xml:space="preserve">N </v>
      </c>
      <c r="M1041" s="7" t="str">
        <f t="shared" si="94"/>
        <v>RE</v>
      </c>
      <c r="N1041" s="62" t="str">
        <f t="shared" si="95"/>
        <v>GI</v>
      </c>
      <c r="O1041" s="8">
        <f t="shared" si="99"/>
        <v>45962</v>
      </c>
      <c r="P1041" s="9" t="str">
        <f t="shared" ca="1" si="96"/>
        <v>ATRASADO</v>
      </c>
      <c r="Q1041" s="726" t="s">
        <v>1556</v>
      </c>
      <c r="R1041" s="723"/>
      <c r="S1041" s="9" t="str">
        <f t="shared" si="97"/>
        <v/>
      </c>
    </row>
    <row r="1042" spans="1:19" x14ac:dyDescent="0.3">
      <c r="A1042" s="10">
        <v>1038</v>
      </c>
      <c r="B1042" s="729" t="s">
        <v>579</v>
      </c>
      <c r="C1042" s="725" t="s">
        <v>3016</v>
      </c>
      <c r="D1042" s="726" t="s">
        <v>3017</v>
      </c>
      <c r="E1042" s="727">
        <v>29359</v>
      </c>
      <c r="F1042" s="9">
        <f t="shared" ca="1" si="98"/>
        <v>46</v>
      </c>
      <c r="G1042" s="728">
        <v>43724</v>
      </c>
      <c r="H1042" s="726" t="s">
        <v>271</v>
      </c>
      <c r="I1042" s="728">
        <v>44884</v>
      </c>
      <c r="J1042" s="723" t="s">
        <v>275</v>
      </c>
      <c r="K1042" s="4" t="str">
        <f t="shared" si="92"/>
        <v>I</v>
      </c>
      <c r="L1042" s="7" t="str">
        <f t="shared" si="93"/>
        <v>G8</v>
      </c>
      <c r="M1042" s="7" t="str">
        <f t="shared" si="94"/>
        <v/>
      </c>
      <c r="N1042" s="62" t="str">
        <f t="shared" si="95"/>
        <v/>
      </c>
      <c r="O1042" s="8">
        <f t="shared" si="99"/>
        <v>45980</v>
      </c>
      <c r="P1042" s="9" t="str">
        <f t="shared" ca="1" si="96"/>
        <v>ATRASADO</v>
      </c>
      <c r="Q1042" s="726" t="s">
        <v>1556</v>
      </c>
      <c r="R1042" s="724"/>
      <c r="S1042" s="9" t="str">
        <f t="shared" si="97"/>
        <v/>
      </c>
    </row>
    <row r="1043" spans="1:19" x14ac:dyDescent="0.3">
      <c r="A1043" s="10">
        <v>1039</v>
      </c>
      <c r="B1043" s="729" t="s">
        <v>579</v>
      </c>
      <c r="C1043" s="725" t="s">
        <v>3018</v>
      </c>
      <c r="D1043" s="726" t="s">
        <v>3019</v>
      </c>
      <c r="E1043" s="727">
        <v>32505</v>
      </c>
      <c r="F1043" s="9">
        <f t="shared" ca="1" si="98"/>
        <v>37</v>
      </c>
      <c r="G1043" s="726" t="s">
        <v>8</v>
      </c>
      <c r="H1043" s="726" t="s">
        <v>275</v>
      </c>
      <c r="I1043" s="728">
        <v>44873</v>
      </c>
      <c r="J1043" s="723" t="s">
        <v>8</v>
      </c>
      <c r="K1043" s="4" t="str">
        <f t="shared" si="92"/>
        <v>SI</v>
      </c>
      <c r="L1043" s="7" t="str">
        <f t="shared" si="93"/>
        <v xml:space="preserve">N </v>
      </c>
      <c r="M1043" s="7" t="str">
        <f t="shared" si="94"/>
        <v>RE</v>
      </c>
      <c r="N1043" s="62" t="str">
        <f t="shared" si="95"/>
        <v>GI</v>
      </c>
      <c r="O1043" s="8">
        <f t="shared" si="99"/>
        <v>45969</v>
      </c>
      <c r="P1043" s="9" t="str">
        <f t="shared" ca="1" si="96"/>
        <v>ATRASADO</v>
      </c>
      <c r="Q1043" s="726" t="s">
        <v>1556</v>
      </c>
      <c r="R1043" s="723"/>
      <c r="S1043" s="9" t="str">
        <f t="shared" si="97"/>
        <v/>
      </c>
    </row>
    <row r="1044" spans="1:19" x14ac:dyDescent="0.3">
      <c r="A1044" s="10">
        <v>1040</v>
      </c>
      <c r="B1044" s="729" t="s">
        <v>579</v>
      </c>
      <c r="C1044" s="725" t="s">
        <v>3020</v>
      </c>
      <c r="D1044" s="726" t="s">
        <v>3021</v>
      </c>
      <c r="E1044" s="727">
        <v>30437</v>
      </c>
      <c r="F1044" s="9">
        <f t="shared" ca="1" si="98"/>
        <v>43</v>
      </c>
      <c r="G1044" s="726" t="s">
        <v>8</v>
      </c>
      <c r="H1044" s="726" t="s">
        <v>271</v>
      </c>
      <c r="I1044" s="728">
        <v>44870</v>
      </c>
      <c r="J1044" s="723" t="s">
        <v>271</v>
      </c>
      <c r="K1044" s="4" t="str">
        <f t="shared" si="92"/>
        <v>I</v>
      </c>
      <c r="L1044" s="7" t="str">
        <f t="shared" si="93"/>
        <v>G8</v>
      </c>
      <c r="M1044" s="7" t="str">
        <f t="shared" si="94"/>
        <v>J1</v>
      </c>
      <c r="N1044" s="62" t="str">
        <f t="shared" si="95"/>
        <v/>
      </c>
      <c r="O1044" s="8">
        <f t="shared" si="99"/>
        <v>45966</v>
      </c>
      <c r="P1044" s="9" t="str">
        <f t="shared" ca="1" si="96"/>
        <v>ATRASADO</v>
      </c>
      <c r="Q1044" s="726" t="s">
        <v>1556</v>
      </c>
      <c r="R1044" s="724"/>
      <c r="S1044" s="9" t="str">
        <f t="shared" si="97"/>
        <v/>
      </c>
    </row>
    <row r="1045" spans="1:19" x14ac:dyDescent="0.3">
      <c r="A1045" s="10">
        <v>1041</v>
      </c>
      <c r="B1045" s="736" t="s">
        <v>78</v>
      </c>
      <c r="C1045" s="731" t="s">
        <v>3022</v>
      </c>
      <c r="D1045" s="733" t="s">
        <v>3023</v>
      </c>
      <c r="E1045" s="734">
        <v>28625</v>
      </c>
      <c r="F1045" s="9">
        <f t="shared" ca="1" si="98"/>
        <v>48</v>
      </c>
      <c r="G1045" s="735">
        <v>43518</v>
      </c>
      <c r="H1045" s="733" t="s">
        <v>8</v>
      </c>
      <c r="I1045" s="735">
        <v>44893</v>
      </c>
      <c r="J1045" s="732" t="s">
        <v>271</v>
      </c>
      <c r="K1045" s="4" t="str">
        <f t="shared" si="92"/>
        <v>I</v>
      </c>
      <c r="L1045" s="7" t="str">
        <f t="shared" si="93"/>
        <v>G8</v>
      </c>
      <c r="M1045" s="7" t="str">
        <f t="shared" si="94"/>
        <v>J1</v>
      </c>
      <c r="N1045" s="62" t="str">
        <f t="shared" si="95"/>
        <v/>
      </c>
      <c r="O1045" s="8">
        <f t="shared" si="99"/>
        <v>45989</v>
      </c>
      <c r="P1045" s="9" t="str">
        <f t="shared" ca="1" si="96"/>
        <v>ATRASADO</v>
      </c>
      <c r="Q1045" s="733" t="s">
        <v>1556</v>
      </c>
      <c r="R1045" s="730"/>
      <c r="S1045" s="9" t="str">
        <f t="shared" si="97"/>
        <v/>
      </c>
    </row>
    <row r="1046" spans="1:19" x14ac:dyDescent="0.3">
      <c r="A1046" s="10">
        <v>1042</v>
      </c>
      <c r="B1046" s="736" t="s">
        <v>78</v>
      </c>
      <c r="C1046" s="731" t="s">
        <v>3024</v>
      </c>
      <c r="D1046" s="733" t="s">
        <v>3025</v>
      </c>
      <c r="E1046" s="734">
        <v>29302</v>
      </c>
      <c r="F1046" s="9">
        <f t="shared" ca="1" si="98"/>
        <v>46</v>
      </c>
      <c r="G1046" s="735">
        <v>44185</v>
      </c>
      <c r="H1046" s="733" t="s">
        <v>340</v>
      </c>
      <c r="I1046" s="735">
        <v>44866</v>
      </c>
      <c r="J1046" s="732" t="s">
        <v>8</v>
      </c>
      <c r="K1046" s="4" t="str">
        <f t="shared" si="92"/>
        <v>SI</v>
      </c>
      <c r="L1046" s="7" t="str">
        <f t="shared" si="93"/>
        <v xml:space="preserve">N </v>
      </c>
      <c r="M1046" s="7" t="str">
        <f t="shared" si="94"/>
        <v>RE</v>
      </c>
      <c r="N1046" s="62" t="str">
        <f t="shared" si="95"/>
        <v>GI</v>
      </c>
      <c r="O1046" s="8">
        <f t="shared" si="99"/>
        <v>45962</v>
      </c>
      <c r="P1046" s="9" t="str">
        <f t="shared" ca="1" si="96"/>
        <v>ATRASADO</v>
      </c>
      <c r="Q1046" s="733" t="s">
        <v>1556</v>
      </c>
      <c r="R1046" s="732"/>
      <c r="S1046" s="9" t="str">
        <f t="shared" si="97"/>
        <v/>
      </c>
    </row>
    <row r="1047" spans="1:19" x14ac:dyDescent="0.3">
      <c r="A1047" s="10">
        <v>1043</v>
      </c>
      <c r="B1047" s="736" t="s">
        <v>78</v>
      </c>
      <c r="C1047" s="731" t="s">
        <v>3026</v>
      </c>
      <c r="D1047" s="733" t="s">
        <v>3027</v>
      </c>
      <c r="E1047" s="734">
        <v>25451</v>
      </c>
      <c r="F1047" s="9">
        <f t="shared" ca="1" si="98"/>
        <v>57</v>
      </c>
      <c r="G1047" s="735">
        <v>43389</v>
      </c>
      <c r="H1047" s="733" t="s">
        <v>271</v>
      </c>
      <c r="I1047" s="735">
        <v>44895</v>
      </c>
      <c r="J1047" s="732" t="s">
        <v>271</v>
      </c>
      <c r="K1047" s="4" t="str">
        <f t="shared" si="92"/>
        <v>I</v>
      </c>
      <c r="L1047" s="7" t="str">
        <f t="shared" si="93"/>
        <v>G8</v>
      </c>
      <c r="M1047" s="7" t="str">
        <f t="shared" si="94"/>
        <v>J1</v>
      </c>
      <c r="N1047" s="62" t="str">
        <f t="shared" si="95"/>
        <v/>
      </c>
      <c r="O1047" s="8">
        <f t="shared" si="99"/>
        <v>45991</v>
      </c>
      <c r="P1047" s="9" t="str">
        <f t="shared" ca="1" si="96"/>
        <v>ATRASADO</v>
      </c>
      <c r="Q1047" s="733" t="s">
        <v>1556</v>
      </c>
      <c r="R1047" s="732"/>
      <c r="S1047" s="9" t="str">
        <f t="shared" si="97"/>
        <v/>
      </c>
    </row>
    <row r="1048" spans="1:19" x14ac:dyDescent="0.3">
      <c r="A1048" s="10">
        <v>1044</v>
      </c>
      <c r="B1048" s="736" t="s">
        <v>78</v>
      </c>
      <c r="C1048" s="731" t="s">
        <v>3028</v>
      </c>
      <c r="D1048" s="733" t="s">
        <v>3029</v>
      </c>
      <c r="E1048" s="734">
        <v>22517</v>
      </c>
      <c r="F1048" s="9">
        <f t="shared" ca="1" si="98"/>
        <v>65</v>
      </c>
      <c r="G1048" s="735">
        <v>44433</v>
      </c>
      <c r="H1048" s="733" t="s">
        <v>275</v>
      </c>
      <c r="I1048" s="735">
        <v>44872</v>
      </c>
      <c r="J1048" s="732" t="s">
        <v>275</v>
      </c>
      <c r="K1048" s="4" t="str">
        <f t="shared" si="92"/>
        <v>I</v>
      </c>
      <c r="L1048" s="7" t="str">
        <f t="shared" si="93"/>
        <v>G8</v>
      </c>
      <c r="M1048" s="7" t="str">
        <f t="shared" si="94"/>
        <v/>
      </c>
      <c r="N1048" s="62" t="str">
        <f t="shared" si="95"/>
        <v/>
      </c>
      <c r="O1048" s="8">
        <f t="shared" si="99"/>
        <v>45968</v>
      </c>
      <c r="P1048" s="9" t="str">
        <f t="shared" ca="1" si="96"/>
        <v>ATRASADO</v>
      </c>
      <c r="Q1048" s="733" t="s">
        <v>1556</v>
      </c>
      <c r="R1048" s="730"/>
      <c r="S1048" s="9" t="str">
        <f t="shared" si="97"/>
        <v/>
      </c>
    </row>
    <row r="1049" spans="1:19" x14ac:dyDescent="0.3">
      <c r="A1049" s="10">
        <v>1045</v>
      </c>
      <c r="B1049" s="736" t="s">
        <v>78</v>
      </c>
      <c r="C1049" s="731" t="s">
        <v>3030</v>
      </c>
      <c r="D1049" s="733" t="s">
        <v>3031</v>
      </c>
      <c r="E1049" s="734">
        <v>22879</v>
      </c>
      <c r="F1049" s="9">
        <f t="shared" ca="1" si="98"/>
        <v>64</v>
      </c>
      <c r="G1049" s="735">
        <v>43973</v>
      </c>
      <c r="H1049" s="733" t="s">
        <v>327</v>
      </c>
      <c r="I1049" s="735">
        <v>44889</v>
      </c>
      <c r="J1049" s="732" t="s">
        <v>275</v>
      </c>
      <c r="K1049" s="4" t="str">
        <f t="shared" si="92"/>
        <v>I</v>
      </c>
      <c r="L1049" s="7" t="str">
        <f t="shared" si="93"/>
        <v>G8</v>
      </c>
      <c r="M1049" s="7" t="str">
        <f t="shared" si="94"/>
        <v/>
      </c>
      <c r="N1049" s="62" t="str">
        <f t="shared" si="95"/>
        <v/>
      </c>
      <c r="O1049" s="8">
        <f t="shared" si="99"/>
        <v>45985</v>
      </c>
      <c r="P1049" s="9" t="str">
        <f t="shared" ca="1" si="96"/>
        <v>ATRASADO</v>
      </c>
      <c r="Q1049" s="733" t="s">
        <v>1556</v>
      </c>
      <c r="R1049" s="730"/>
      <c r="S1049" s="9" t="str">
        <f t="shared" si="97"/>
        <v/>
      </c>
    </row>
    <row r="1050" spans="1:19" x14ac:dyDescent="0.3">
      <c r="A1050" s="10">
        <v>1046</v>
      </c>
      <c r="B1050" s="736" t="s">
        <v>78</v>
      </c>
      <c r="C1050" s="731" t="s">
        <v>3032</v>
      </c>
      <c r="D1050" s="733" t="s">
        <v>3033</v>
      </c>
      <c r="E1050" s="734">
        <v>33396</v>
      </c>
      <c r="F1050" s="9">
        <f t="shared" ca="1" si="98"/>
        <v>35</v>
      </c>
      <c r="G1050" s="735">
        <v>43452</v>
      </c>
      <c r="H1050" s="733" t="s">
        <v>275</v>
      </c>
      <c r="I1050" s="735">
        <v>44892</v>
      </c>
      <c r="J1050" s="732" t="s">
        <v>271</v>
      </c>
      <c r="K1050" s="4" t="str">
        <f t="shared" si="92"/>
        <v>I</v>
      </c>
      <c r="L1050" s="7" t="str">
        <f t="shared" si="93"/>
        <v>G8</v>
      </c>
      <c r="M1050" s="7" t="str">
        <f t="shared" si="94"/>
        <v>J1</v>
      </c>
      <c r="N1050" s="62" t="str">
        <f t="shared" si="95"/>
        <v/>
      </c>
      <c r="O1050" s="8">
        <f t="shared" si="99"/>
        <v>45988</v>
      </c>
      <c r="P1050" s="9" t="str">
        <f t="shared" ca="1" si="96"/>
        <v>ATRASADO</v>
      </c>
      <c r="Q1050" s="733" t="s">
        <v>1556</v>
      </c>
      <c r="R1050" s="730"/>
      <c r="S1050" s="9" t="str">
        <f t="shared" si="97"/>
        <v/>
      </c>
    </row>
    <row r="1051" spans="1:19" x14ac:dyDescent="0.3">
      <c r="A1051" s="10">
        <v>1047</v>
      </c>
      <c r="B1051" s="736" t="s">
        <v>78</v>
      </c>
      <c r="C1051" s="731" t="s">
        <v>3034</v>
      </c>
      <c r="D1051" s="733" t="s">
        <v>3035</v>
      </c>
      <c r="E1051" s="734">
        <v>25758</v>
      </c>
      <c r="F1051" s="9">
        <f t="shared" ca="1" si="98"/>
        <v>56</v>
      </c>
      <c r="G1051" s="735">
        <v>43226</v>
      </c>
      <c r="H1051" s="733" t="s">
        <v>275</v>
      </c>
      <c r="I1051" s="735">
        <v>44870</v>
      </c>
      <c r="J1051" s="732" t="s">
        <v>275</v>
      </c>
      <c r="K1051" s="4" t="str">
        <f t="shared" si="92"/>
        <v>I</v>
      </c>
      <c r="L1051" s="7" t="str">
        <f t="shared" si="93"/>
        <v>G8</v>
      </c>
      <c r="M1051" s="7" t="str">
        <f t="shared" si="94"/>
        <v/>
      </c>
      <c r="N1051" s="62" t="str">
        <f t="shared" si="95"/>
        <v/>
      </c>
      <c r="O1051" s="8">
        <f t="shared" si="99"/>
        <v>45966</v>
      </c>
      <c r="P1051" s="9" t="str">
        <f t="shared" ca="1" si="96"/>
        <v>ATRASADO</v>
      </c>
      <c r="Q1051" s="733" t="s">
        <v>1556</v>
      </c>
      <c r="R1051" s="730"/>
      <c r="S1051" s="9" t="str">
        <f t="shared" si="97"/>
        <v/>
      </c>
    </row>
    <row r="1052" spans="1:19" ht="15" customHeight="1" x14ac:dyDescent="0.3">
      <c r="A1052" s="10">
        <v>1048</v>
      </c>
      <c r="B1052" s="736" t="s">
        <v>78</v>
      </c>
      <c r="C1052" s="731" t="s">
        <v>3036</v>
      </c>
      <c r="D1052" s="733" t="s">
        <v>3037</v>
      </c>
      <c r="E1052" s="734">
        <v>22963</v>
      </c>
      <c r="F1052" s="9">
        <f t="shared" ca="1" si="98"/>
        <v>63</v>
      </c>
      <c r="G1052" s="735">
        <v>43815</v>
      </c>
      <c r="H1052" s="733" t="s">
        <v>8</v>
      </c>
      <c r="I1052" s="735">
        <v>44885</v>
      </c>
      <c r="J1052" s="732" t="s">
        <v>327</v>
      </c>
      <c r="K1052" s="4" t="str">
        <f t="shared" si="92"/>
        <v>I</v>
      </c>
      <c r="L1052" s="7" t="str">
        <f t="shared" si="93"/>
        <v>G7</v>
      </c>
      <c r="M1052" s="7" t="str">
        <f t="shared" si="94"/>
        <v>S</v>
      </c>
      <c r="N1052" s="62" t="str">
        <f t="shared" si="95"/>
        <v/>
      </c>
      <c r="O1052" s="8">
        <f t="shared" si="99"/>
        <v>45250</v>
      </c>
      <c r="P1052" s="9" t="str">
        <f t="shared" ca="1" si="96"/>
        <v>ATRASADO</v>
      </c>
      <c r="Q1052" s="733" t="s">
        <v>1556</v>
      </c>
      <c r="R1052" s="732"/>
      <c r="S1052" s="9" t="str">
        <f t="shared" si="97"/>
        <v/>
      </c>
    </row>
    <row r="1053" spans="1:19" x14ac:dyDescent="0.3">
      <c r="A1053" s="10">
        <v>1049</v>
      </c>
      <c r="B1053" s="743" t="s">
        <v>346</v>
      </c>
      <c r="C1053" s="738" t="s">
        <v>3038</v>
      </c>
      <c r="D1053" s="740" t="s">
        <v>3039</v>
      </c>
      <c r="E1053" s="741">
        <v>32236</v>
      </c>
      <c r="F1053" s="9">
        <f t="shared" ca="1" si="98"/>
        <v>38</v>
      </c>
      <c r="G1053" s="740" t="s">
        <v>8</v>
      </c>
      <c r="H1053" s="740" t="s">
        <v>275</v>
      </c>
      <c r="I1053" s="742">
        <v>44884</v>
      </c>
      <c r="J1053" s="739" t="s">
        <v>275</v>
      </c>
      <c r="K1053" s="4" t="str">
        <f t="shared" si="92"/>
        <v>I</v>
      </c>
      <c r="L1053" s="7" t="str">
        <f t="shared" si="93"/>
        <v>G8</v>
      </c>
      <c r="M1053" s="7" t="str">
        <f t="shared" si="94"/>
        <v/>
      </c>
      <c r="N1053" s="62" t="str">
        <f t="shared" si="95"/>
        <v/>
      </c>
      <c r="O1053" s="8">
        <f t="shared" si="99"/>
        <v>45980</v>
      </c>
      <c r="P1053" s="9" t="str">
        <f t="shared" ca="1" si="96"/>
        <v>ATRASADO</v>
      </c>
      <c r="Q1053" s="740" t="s">
        <v>1556</v>
      </c>
      <c r="R1053" s="737"/>
      <c r="S1053" s="9" t="str">
        <f t="shared" si="97"/>
        <v/>
      </c>
    </row>
    <row r="1054" spans="1:19" x14ac:dyDescent="0.3">
      <c r="A1054" s="10">
        <v>1050</v>
      </c>
      <c r="B1054" s="743" t="s">
        <v>346</v>
      </c>
      <c r="C1054" s="738" t="s">
        <v>3040</v>
      </c>
      <c r="D1054" s="740" t="s">
        <v>3041</v>
      </c>
      <c r="E1054" s="741">
        <v>23623</v>
      </c>
      <c r="F1054" s="9">
        <f t="shared" ca="1" si="98"/>
        <v>62</v>
      </c>
      <c r="G1054" s="742">
        <v>43532</v>
      </c>
      <c r="H1054" s="740" t="s">
        <v>271</v>
      </c>
      <c r="I1054" s="742">
        <v>44893</v>
      </c>
      <c r="J1054" s="739" t="s">
        <v>271</v>
      </c>
      <c r="K1054" s="4" t="str">
        <f t="shared" si="92"/>
        <v>I</v>
      </c>
      <c r="L1054" s="7" t="str">
        <f t="shared" si="93"/>
        <v>G8</v>
      </c>
      <c r="M1054" s="7" t="str">
        <f t="shared" si="94"/>
        <v>J1</v>
      </c>
      <c r="N1054" s="62" t="str">
        <f t="shared" si="95"/>
        <v/>
      </c>
      <c r="O1054" s="8">
        <f t="shared" si="99"/>
        <v>45989</v>
      </c>
      <c r="P1054" s="9" t="str">
        <f t="shared" ca="1" si="96"/>
        <v>ATRASADO</v>
      </c>
      <c r="Q1054" s="740" t="s">
        <v>1556</v>
      </c>
      <c r="R1054" s="737"/>
      <c r="S1054" s="9" t="str">
        <f t="shared" si="97"/>
        <v/>
      </c>
    </row>
    <row r="1055" spans="1:19" x14ac:dyDescent="0.3">
      <c r="A1055" s="10">
        <v>1051</v>
      </c>
      <c r="B1055" s="743" t="s">
        <v>346</v>
      </c>
      <c r="C1055" s="738" t="s">
        <v>3042</v>
      </c>
      <c r="D1055" s="740" t="s">
        <v>3043</v>
      </c>
      <c r="E1055" s="741">
        <v>22418</v>
      </c>
      <c r="F1055" s="9">
        <f t="shared" ca="1" si="98"/>
        <v>65</v>
      </c>
      <c r="G1055" s="742">
        <v>43833</v>
      </c>
      <c r="H1055" s="740" t="s">
        <v>275</v>
      </c>
      <c r="I1055" s="742">
        <v>44887</v>
      </c>
      <c r="J1055" s="739" t="s">
        <v>327</v>
      </c>
      <c r="K1055" s="4" t="str">
        <f t="shared" si="92"/>
        <v>I</v>
      </c>
      <c r="L1055" s="7" t="str">
        <f t="shared" si="93"/>
        <v>G7</v>
      </c>
      <c r="M1055" s="7" t="str">
        <f t="shared" si="94"/>
        <v>S</v>
      </c>
      <c r="N1055" s="62" t="str">
        <f t="shared" si="95"/>
        <v/>
      </c>
      <c r="O1055" s="8">
        <f t="shared" si="99"/>
        <v>45252</v>
      </c>
      <c r="P1055" s="9" t="str">
        <f t="shared" ca="1" si="96"/>
        <v>ATRASADO</v>
      </c>
      <c r="Q1055" s="740" t="s">
        <v>1556</v>
      </c>
      <c r="R1055" s="737"/>
      <c r="S1055" s="9" t="str">
        <f t="shared" si="97"/>
        <v/>
      </c>
    </row>
    <row r="1056" spans="1:19" x14ac:dyDescent="0.3">
      <c r="A1056" s="10">
        <v>1052</v>
      </c>
      <c r="B1056" s="743" t="s">
        <v>346</v>
      </c>
      <c r="C1056" s="738" t="s">
        <v>3044</v>
      </c>
      <c r="D1056" s="740" t="s">
        <v>3045</v>
      </c>
      <c r="E1056" s="741">
        <v>26950</v>
      </c>
      <c r="F1056" s="9">
        <f t="shared" ca="1" si="98"/>
        <v>52</v>
      </c>
      <c r="G1056" s="742">
        <v>43969</v>
      </c>
      <c r="H1056" s="740" t="s">
        <v>275</v>
      </c>
      <c r="I1056" s="742">
        <v>44889</v>
      </c>
      <c r="J1056" s="739" t="s">
        <v>271</v>
      </c>
      <c r="K1056" s="4" t="str">
        <f t="shared" si="92"/>
        <v>I</v>
      </c>
      <c r="L1056" s="7" t="str">
        <f t="shared" si="93"/>
        <v>G8</v>
      </c>
      <c r="M1056" s="7" t="str">
        <f t="shared" si="94"/>
        <v>J1</v>
      </c>
      <c r="N1056" s="62" t="str">
        <f t="shared" si="95"/>
        <v/>
      </c>
      <c r="O1056" s="8">
        <f t="shared" si="99"/>
        <v>45985</v>
      </c>
      <c r="P1056" s="9" t="str">
        <f t="shared" ca="1" si="96"/>
        <v>ATRASADO</v>
      </c>
      <c r="Q1056" s="740" t="s">
        <v>1556</v>
      </c>
      <c r="R1056" s="737"/>
      <c r="S1056" s="9" t="str">
        <f t="shared" si="97"/>
        <v/>
      </c>
    </row>
    <row r="1057" spans="1:19" x14ac:dyDescent="0.3">
      <c r="A1057" s="10">
        <v>1053</v>
      </c>
      <c r="B1057" s="743" t="s">
        <v>346</v>
      </c>
      <c r="C1057" s="738" t="s">
        <v>3046</v>
      </c>
      <c r="D1057" s="740" t="s">
        <v>3047</v>
      </c>
      <c r="E1057" s="741">
        <v>28653</v>
      </c>
      <c r="F1057" s="9">
        <f t="shared" ca="1" si="98"/>
        <v>48</v>
      </c>
      <c r="G1057" s="742">
        <v>43189</v>
      </c>
      <c r="H1057" s="740" t="s">
        <v>275</v>
      </c>
      <c r="I1057" s="742">
        <v>44887</v>
      </c>
      <c r="J1057" s="739" t="s">
        <v>275</v>
      </c>
      <c r="K1057" s="4" t="str">
        <f t="shared" si="92"/>
        <v>I</v>
      </c>
      <c r="L1057" s="7" t="str">
        <f t="shared" si="93"/>
        <v>G8</v>
      </c>
      <c r="M1057" s="7" t="str">
        <f t="shared" si="94"/>
        <v/>
      </c>
      <c r="N1057" s="62" t="str">
        <f t="shared" si="95"/>
        <v/>
      </c>
      <c r="O1057" s="8">
        <f t="shared" si="99"/>
        <v>45983</v>
      </c>
      <c r="P1057" s="9" t="str">
        <f t="shared" ca="1" si="96"/>
        <v>ATRASADO</v>
      </c>
      <c r="Q1057" s="740" t="s">
        <v>1556</v>
      </c>
      <c r="R1057" s="737"/>
      <c r="S1057" s="9" t="str">
        <f t="shared" si="97"/>
        <v/>
      </c>
    </row>
    <row r="1058" spans="1:19" x14ac:dyDescent="0.3">
      <c r="A1058" s="10">
        <v>1054</v>
      </c>
      <c r="B1058" s="743" t="s">
        <v>346</v>
      </c>
      <c r="C1058" s="738" t="s">
        <v>3048</v>
      </c>
      <c r="D1058" s="740" t="s">
        <v>3049</v>
      </c>
      <c r="E1058" s="741">
        <v>27489</v>
      </c>
      <c r="F1058" s="9">
        <f t="shared" ca="1" si="98"/>
        <v>51</v>
      </c>
      <c r="G1058" s="740" t="s">
        <v>8</v>
      </c>
      <c r="H1058" s="740" t="s">
        <v>275</v>
      </c>
      <c r="I1058" s="742">
        <v>44891</v>
      </c>
      <c r="J1058" s="739" t="s">
        <v>8</v>
      </c>
      <c r="K1058" s="4" t="str">
        <f t="shared" si="92"/>
        <v>SI</v>
      </c>
      <c r="L1058" s="7" t="str">
        <f t="shared" si="93"/>
        <v xml:space="preserve">N </v>
      </c>
      <c r="M1058" s="7" t="str">
        <f t="shared" si="94"/>
        <v>RE</v>
      </c>
      <c r="N1058" s="62" t="str">
        <f t="shared" si="95"/>
        <v>GI</v>
      </c>
      <c r="O1058" s="8">
        <f t="shared" si="99"/>
        <v>45987</v>
      </c>
      <c r="P1058" s="9" t="str">
        <f t="shared" ca="1" si="96"/>
        <v>ATRASADO</v>
      </c>
      <c r="Q1058" s="740" t="s">
        <v>1556</v>
      </c>
      <c r="R1058" s="737"/>
      <c r="S1058" s="9" t="str">
        <f t="shared" si="97"/>
        <v/>
      </c>
    </row>
    <row r="1059" spans="1:19" x14ac:dyDescent="0.3">
      <c r="A1059" s="10">
        <v>1055</v>
      </c>
      <c r="B1059" s="743" t="s">
        <v>346</v>
      </c>
      <c r="C1059" s="738" t="s">
        <v>3050</v>
      </c>
      <c r="D1059" s="740" t="s">
        <v>3051</v>
      </c>
      <c r="E1059" s="741">
        <v>31772</v>
      </c>
      <c r="F1059" s="9">
        <f t="shared" ca="1" si="98"/>
        <v>39</v>
      </c>
      <c r="G1059" s="742">
        <v>43567</v>
      </c>
      <c r="H1059" s="740" t="s">
        <v>275</v>
      </c>
      <c r="I1059" s="742">
        <v>44881</v>
      </c>
      <c r="J1059" s="739" t="s">
        <v>8</v>
      </c>
      <c r="K1059" s="4" t="str">
        <f t="shared" si="92"/>
        <v>SI</v>
      </c>
      <c r="L1059" s="7" t="str">
        <f t="shared" si="93"/>
        <v xml:space="preserve">N </v>
      </c>
      <c r="M1059" s="7" t="str">
        <f t="shared" si="94"/>
        <v>RE</v>
      </c>
      <c r="N1059" s="62" t="str">
        <f t="shared" si="95"/>
        <v>GI</v>
      </c>
      <c r="O1059" s="8">
        <f t="shared" si="99"/>
        <v>45977</v>
      </c>
      <c r="P1059" s="9" t="str">
        <f t="shared" ca="1" si="96"/>
        <v>ATRASADO</v>
      </c>
      <c r="Q1059" s="740" t="s">
        <v>1556</v>
      </c>
      <c r="R1059" s="739"/>
      <c r="S1059" s="9" t="str">
        <f t="shared" si="97"/>
        <v/>
      </c>
    </row>
    <row r="1060" spans="1:19" x14ac:dyDescent="0.3">
      <c r="A1060" s="10">
        <v>1056</v>
      </c>
      <c r="B1060" s="743" t="s">
        <v>346</v>
      </c>
      <c r="C1060" s="738" t="s">
        <v>3052</v>
      </c>
      <c r="D1060" s="740" t="s">
        <v>3053</v>
      </c>
      <c r="E1060" s="741">
        <v>28947</v>
      </c>
      <c r="F1060" s="9">
        <f t="shared" ca="1" si="98"/>
        <v>47</v>
      </c>
      <c r="G1060" s="742">
        <v>43763</v>
      </c>
      <c r="H1060" s="740" t="s">
        <v>271</v>
      </c>
      <c r="I1060" s="742">
        <v>44889</v>
      </c>
      <c r="J1060" s="739" t="s">
        <v>271</v>
      </c>
      <c r="K1060" s="4" t="str">
        <f t="shared" si="92"/>
        <v>I</v>
      </c>
      <c r="L1060" s="7" t="str">
        <f t="shared" si="93"/>
        <v>G8</v>
      </c>
      <c r="M1060" s="7" t="str">
        <f t="shared" si="94"/>
        <v>J1</v>
      </c>
      <c r="N1060" s="62" t="str">
        <f t="shared" si="95"/>
        <v/>
      </c>
      <c r="O1060" s="8">
        <f t="shared" si="99"/>
        <v>45985</v>
      </c>
      <c r="P1060" s="9" t="str">
        <f t="shared" ca="1" si="96"/>
        <v>ATRASADO</v>
      </c>
      <c r="Q1060" s="740" t="s">
        <v>1556</v>
      </c>
      <c r="R1060" s="737"/>
      <c r="S1060" s="9" t="str">
        <f t="shared" si="97"/>
        <v/>
      </c>
    </row>
    <row r="1061" spans="1:19" x14ac:dyDescent="0.3">
      <c r="A1061" s="10">
        <v>1057</v>
      </c>
      <c r="B1061" s="743" t="s">
        <v>346</v>
      </c>
      <c r="C1061" s="738" t="s">
        <v>3054</v>
      </c>
      <c r="D1061" s="740" t="s">
        <v>3055</v>
      </c>
      <c r="E1061" s="741">
        <v>31759</v>
      </c>
      <c r="F1061" s="9">
        <f t="shared" ca="1" si="98"/>
        <v>39</v>
      </c>
      <c r="G1061" s="742">
        <v>43292</v>
      </c>
      <c r="H1061" s="740" t="s">
        <v>8</v>
      </c>
      <c r="I1061" s="742">
        <v>44870</v>
      </c>
      <c r="J1061" s="739" t="s">
        <v>271</v>
      </c>
      <c r="K1061" s="4" t="str">
        <f t="shared" si="92"/>
        <v>I</v>
      </c>
      <c r="L1061" s="7" t="str">
        <f t="shared" si="93"/>
        <v>G8</v>
      </c>
      <c r="M1061" s="7" t="str">
        <f t="shared" si="94"/>
        <v>J1</v>
      </c>
      <c r="N1061" s="62" t="str">
        <f t="shared" si="95"/>
        <v/>
      </c>
      <c r="O1061" s="8">
        <f t="shared" si="99"/>
        <v>45966</v>
      </c>
      <c r="P1061" s="9" t="str">
        <f t="shared" ca="1" si="96"/>
        <v>ATRASADO</v>
      </c>
      <c r="Q1061" s="740" t="s">
        <v>1556</v>
      </c>
      <c r="R1061" s="737"/>
      <c r="S1061" s="9" t="str">
        <f t="shared" si="97"/>
        <v/>
      </c>
    </row>
    <row r="1062" spans="1:19" x14ac:dyDescent="0.3">
      <c r="A1062" s="10">
        <v>1058</v>
      </c>
      <c r="B1062" s="743" t="s">
        <v>346</v>
      </c>
      <c r="C1062" s="738" t="s">
        <v>3056</v>
      </c>
      <c r="D1062" s="740" t="s">
        <v>3057</v>
      </c>
      <c r="E1062" s="741">
        <v>33095</v>
      </c>
      <c r="F1062" s="9">
        <f t="shared" ca="1" si="98"/>
        <v>36</v>
      </c>
      <c r="G1062" s="742">
        <v>44396</v>
      </c>
      <c r="H1062" s="740" t="s">
        <v>8</v>
      </c>
      <c r="I1062" s="742">
        <v>44871</v>
      </c>
      <c r="J1062" s="739" t="s">
        <v>327</v>
      </c>
      <c r="K1062" s="4" t="str">
        <f t="shared" si="92"/>
        <v>I</v>
      </c>
      <c r="L1062" s="7" t="str">
        <f t="shared" si="93"/>
        <v>G7</v>
      </c>
      <c r="M1062" s="7" t="str">
        <f t="shared" si="94"/>
        <v>S</v>
      </c>
      <c r="N1062" s="62" t="str">
        <f t="shared" si="95"/>
        <v/>
      </c>
      <c r="O1062" s="8">
        <f t="shared" si="99"/>
        <v>45236</v>
      </c>
      <c r="P1062" s="9" t="str">
        <f t="shared" ca="1" si="96"/>
        <v>ATRASADO</v>
      </c>
      <c r="Q1062" s="740" t="s">
        <v>1556</v>
      </c>
      <c r="R1062" s="737"/>
      <c r="S1062" s="9" t="str">
        <f t="shared" si="97"/>
        <v/>
      </c>
    </row>
    <row r="1063" spans="1:19" x14ac:dyDescent="0.3">
      <c r="A1063" s="10">
        <v>1059</v>
      </c>
      <c r="B1063" s="750" t="s">
        <v>111</v>
      </c>
      <c r="C1063" s="745" t="s">
        <v>3058</v>
      </c>
      <c r="D1063" s="747" t="s">
        <v>3059</v>
      </c>
      <c r="E1063" s="748">
        <v>23885</v>
      </c>
      <c r="F1063" s="9">
        <f t="shared" ca="1" si="98"/>
        <v>61</v>
      </c>
      <c r="G1063" s="749">
        <v>43724</v>
      </c>
      <c r="H1063" s="747" t="s">
        <v>8</v>
      </c>
      <c r="I1063" s="749">
        <v>44876</v>
      </c>
      <c r="J1063" s="843" t="s">
        <v>1393</v>
      </c>
      <c r="K1063" s="4" t="str">
        <f t="shared" si="92"/>
        <v>H1</v>
      </c>
      <c r="L1063" s="7" t="str">
        <f t="shared" si="93"/>
        <v>J1</v>
      </c>
      <c r="M1063" s="7" t="str">
        <f t="shared" si="94"/>
        <v>O3</v>
      </c>
      <c r="N1063" s="62" t="str">
        <f t="shared" si="95"/>
        <v/>
      </c>
      <c r="O1063" s="8">
        <f t="shared" si="99"/>
        <v>45057</v>
      </c>
      <c r="P1063" s="9" t="str">
        <f t="shared" ca="1" si="96"/>
        <v>ATRASADO</v>
      </c>
      <c r="Q1063" s="747" t="s">
        <v>1556</v>
      </c>
      <c r="R1063" s="744"/>
      <c r="S1063" s="9" t="str">
        <f t="shared" si="97"/>
        <v/>
      </c>
    </row>
    <row r="1064" spans="1:19" x14ac:dyDescent="0.3">
      <c r="A1064" s="10">
        <v>1060</v>
      </c>
      <c r="B1064" s="750" t="s">
        <v>111</v>
      </c>
      <c r="C1064" s="745" t="s">
        <v>3060</v>
      </c>
      <c r="D1064" s="747" t="s">
        <v>3061</v>
      </c>
      <c r="E1064" s="748">
        <v>29702</v>
      </c>
      <c r="F1064" s="9">
        <f t="shared" ca="1" si="98"/>
        <v>45</v>
      </c>
      <c r="G1064" s="749">
        <v>43654</v>
      </c>
      <c r="H1064" s="747" t="s">
        <v>271</v>
      </c>
      <c r="I1064" s="749">
        <v>44875</v>
      </c>
      <c r="J1064" s="746" t="s">
        <v>275</v>
      </c>
      <c r="K1064" s="4" t="str">
        <f t="shared" si="92"/>
        <v>I</v>
      </c>
      <c r="L1064" s="7" t="str">
        <f t="shared" si="93"/>
        <v>G8</v>
      </c>
      <c r="M1064" s="7" t="str">
        <f t="shared" si="94"/>
        <v/>
      </c>
      <c r="N1064" s="62" t="str">
        <f t="shared" si="95"/>
        <v/>
      </c>
      <c r="O1064" s="8">
        <f t="shared" si="99"/>
        <v>45971</v>
      </c>
      <c r="P1064" s="9" t="str">
        <f t="shared" ca="1" si="96"/>
        <v>ATRASADO</v>
      </c>
      <c r="Q1064" s="747" t="s">
        <v>1556</v>
      </c>
      <c r="R1064" s="744"/>
      <c r="S1064" s="9" t="str">
        <f t="shared" si="97"/>
        <v/>
      </c>
    </row>
    <row r="1065" spans="1:19" x14ac:dyDescent="0.3">
      <c r="A1065" s="10">
        <v>1061</v>
      </c>
      <c r="B1065" s="750" t="s">
        <v>111</v>
      </c>
      <c r="C1065" s="745" t="s">
        <v>3062</v>
      </c>
      <c r="D1065" s="747" t="s">
        <v>3063</v>
      </c>
      <c r="E1065" s="748">
        <v>26231</v>
      </c>
      <c r="F1065" s="9">
        <f t="shared" ca="1" si="98"/>
        <v>54</v>
      </c>
      <c r="G1065" s="749">
        <v>43520</v>
      </c>
      <c r="H1065" s="747" t="s">
        <v>8</v>
      </c>
      <c r="I1065" s="749">
        <v>44878</v>
      </c>
      <c r="J1065" s="746" t="s">
        <v>275</v>
      </c>
      <c r="K1065" s="4" t="str">
        <f t="shared" si="92"/>
        <v>I</v>
      </c>
      <c r="L1065" s="7" t="str">
        <f t="shared" si="93"/>
        <v>G8</v>
      </c>
      <c r="M1065" s="7" t="str">
        <f t="shared" si="94"/>
        <v/>
      </c>
      <c r="N1065" s="62" t="str">
        <f t="shared" si="95"/>
        <v/>
      </c>
      <c r="O1065" s="8">
        <f t="shared" si="99"/>
        <v>45974</v>
      </c>
      <c r="P1065" s="9" t="str">
        <f t="shared" ca="1" si="96"/>
        <v>ATRASADO</v>
      </c>
      <c r="Q1065" s="747" t="s">
        <v>1556</v>
      </c>
      <c r="R1065" s="746"/>
      <c r="S1065" s="9" t="str">
        <f t="shared" si="97"/>
        <v/>
      </c>
    </row>
    <row r="1066" spans="1:19" x14ac:dyDescent="0.3">
      <c r="A1066" s="10">
        <v>1062</v>
      </c>
      <c r="B1066" s="750" t="s">
        <v>111</v>
      </c>
      <c r="C1066" s="745" t="s">
        <v>3064</v>
      </c>
      <c r="D1066" s="747" t="s">
        <v>3065</v>
      </c>
      <c r="E1066" s="748">
        <v>34429</v>
      </c>
      <c r="F1066" s="9">
        <f t="shared" ca="1" si="98"/>
        <v>32</v>
      </c>
      <c r="G1066" s="749">
        <v>43612</v>
      </c>
      <c r="H1066" s="747" t="s">
        <v>275</v>
      </c>
      <c r="I1066" s="749">
        <v>44867</v>
      </c>
      <c r="J1066" s="746" t="s">
        <v>275</v>
      </c>
      <c r="K1066" s="4" t="str">
        <f t="shared" si="92"/>
        <v>I</v>
      </c>
      <c r="L1066" s="7" t="str">
        <f t="shared" si="93"/>
        <v>G8</v>
      </c>
      <c r="M1066" s="7" t="str">
        <f t="shared" si="94"/>
        <v/>
      </c>
      <c r="N1066" s="62" t="str">
        <f t="shared" si="95"/>
        <v/>
      </c>
      <c r="O1066" s="8">
        <f t="shared" si="99"/>
        <v>45963</v>
      </c>
      <c r="P1066" s="9" t="str">
        <f t="shared" ca="1" si="96"/>
        <v>ATRASADO</v>
      </c>
      <c r="Q1066" s="747" t="s">
        <v>1556</v>
      </c>
      <c r="R1066" s="744"/>
      <c r="S1066" s="9" t="str">
        <f t="shared" si="97"/>
        <v/>
      </c>
    </row>
    <row r="1067" spans="1:19" x14ac:dyDescent="0.3">
      <c r="A1067" s="10">
        <v>1063</v>
      </c>
      <c r="B1067" s="750" t="s">
        <v>111</v>
      </c>
      <c r="C1067" s="745" t="s">
        <v>3066</v>
      </c>
      <c r="D1067" s="747" t="s">
        <v>3067</v>
      </c>
      <c r="E1067" s="748">
        <v>25603</v>
      </c>
      <c r="F1067" s="9">
        <f t="shared" ca="1" si="98"/>
        <v>56</v>
      </c>
      <c r="G1067" s="749">
        <v>43099</v>
      </c>
      <c r="H1067" s="747" t="s">
        <v>8</v>
      </c>
      <c r="I1067" s="749">
        <v>44867</v>
      </c>
      <c r="J1067" s="843" t="s">
        <v>271</v>
      </c>
      <c r="K1067" s="4" t="str">
        <f t="shared" si="92"/>
        <v>I</v>
      </c>
      <c r="L1067" s="7" t="str">
        <f t="shared" si="93"/>
        <v>G8</v>
      </c>
      <c r="M1067" s="7" t="str">
        <f t="shared" si="94"/>
        <v>J1</v>
      </c>
      <c r="N1067" s="62" t="str">
        <f t="shared" si="95"/>
        <v/>
      </c>
      <c r="O1067" s="8">
        <f t="shared" si="99"/>
        <v>45963</v>
      </c>
      <c r="P1067" s="9" t="str">
        <f t="shared" ca="1" si="96"/>
        <v>ATRASADO</v>
      </c>
      <c r="Q1067" s="747" t="s">
        <v>1556</v>
      </c>
      <c r="R1067" s="746"/>
      <c r="S1067" s="9" t="str">
        <f t="shared" ref="S1067:S1185" si="100">IF(OR(K1067="T1",L1067="T1",M1067="T1",N1067="T1",),"LESION SOSPECHOSA A UPC",IF(OR(K1067="T2",L1067="T2",M1067="T2",N1067="T2",),"DERIVAR A UPC POR SEGUNDO ATIPICO",IF(OR(K1067="J2",L1067="J2",M1067="J2",N1067="J2",),"TRICOMONAS",IF(OR(K1067="J3",L1067="J3",M1067="J3",N1067="J3",),"HERPES SIMPLEX",IF(OR(K1067="J5",L1067="J5",M1067="J5",N1067="J5",),"CANDIDA",IF(OR(K1067="J6",L1067="J6",M1067="J6",N1067="J6",),"ACTINOMYCES",IF(OR(K1067="A1",L1067="A1",M1067="A1",N1067="A1",),"VPH",IF(OR(K1067="ASC-H",L1067="ASC-H",M1067="ASC-H",K1067="H2",K1067="H3",K1067="H4",N1067="ASC-H",K1067="AGUS",L1067="AGUS",L1067="H2",L1067="H3",L1067="H4",M1067="AGUS",M1067="H2",M1067="H3",M1067="H4",N1067="AGUS",N1067="H2",N1067="H3",N1067="H4"),"MANDAR A UPC / COLPOSCOPIA",IF(OR(K1067="A",K1067="B",K1067="C",K1067="D",K1067="D0",K1067="D1",K1067="D2",K1067="D3",K1067="E",K1067="E1",K1067="E2",K1067="K",K1067="T",L1067="A",L1067="B",L1067="C",L1067="D",L1067="D0",L1067="D1",L1067="D2",L1067="D3",L1067="E",L1067="E1",L1067="E2",L1067="K",L1067="T",M1067="A",M1067="B",M1067="C",M1067="D",M1067="D0",M1067="D1",M1067="D2",M1067="D3",M1067="E",M1067="E1",M1067="E2",M1067="K",M1067="T",N1067="A",N1067="B",N1067="C",N1067="D",N1067="D0",N1067="D1",K1067="D2",N1067="D2",N1067="D3",N1067="E",N1067="E1",N1067="E2",N1067="K",N1067="T",),"CITAR A UPC","")))))))))</f>
        <v/>
      </c>
    </row>
    <row r="1068" spans="1:19" x14ac:dyDescent="0.3">
      <c r="A1068" s="10">
        <v>1064</v>
      </c>
      <c r="B1068" s="750" t="s">
        <v>111</v>
      </c>
      <c r="C1068" s="745" t="s">
        <v>3068</v>
      </c>
      <c r="D1068" s="747" t="s">
        <v>3069</v>
      </c>
      <c r="E1068" s="748">
        <v>30460</v>
      </c>
      <c r="F1068" s="9">
        <f t="shared" ca="1" si="98"/>
        <v>43</v>
      </c>
      <c r="G1068" s="749">
        <v>44352</v>
      </c>
      <c r="H1068" s="747" t="s">
        <v>275</v>
      </c>
      <c r="I1068" s="749">
        <v>44879</v>
      </c>
      <c r="J1068" s="812" t="s">
        <v>275</v>
      </c>
      <c r="K1068" s="4" t="str">
        <f t="shared" si="92"/>
        <v>I</v>
      </c>
      <c r="L1068" s="7" t="str">
        <f t="shared" si="93"/>
        <v>G8</v>
      </c>
      <c r="M1068" s="7" t="str">
        <f t="shared" si="94"/>
        <v/>
      </c>
      <c r="N1068" s="62" t="str">
        <f t="shared" si="95"/>
        <v/>
      </c>
      <c r="O1068" s="8">
        <f t="shared" si="99"/>
        <v>45975</v>
      </c>
      <c r="P1068" s="9" t="str">
        <f t="shared" ca="1" si="96"/>
        <v>ATRASADO</v>
      </c>
      <c r="Q1068" s="747" t="s">
        <v>1556</v>
      </c>
      <c r="R1068" s="744"/>
      <c r="S1068" s="9" t="str">
        <f t="shared" si="100"/>
        <v/>
      </c>
    </row>
    <row r="1069" spans="1:19" x14ac:dyDescent="0.3">
      <c r="A1069" s="10">
        <v>1065</v>
      </c>
      <c r="B1069" s="750" t="s">
        <v>111</v>
      </c>
      <c r="C1069" s="745" t="s">
        <v>3070</v>
      </c>
      <c r="D1069" s="747" t="s">
        <v>3071</v>
      </c>
      <c r="E1069" s="748">
        <v>33532</v>
      </c>
      <c r="F1069" s="9">
        <f t="shared" ca="1" si="98"/>
        <v>34</v>
      </c>
      <c r="G1069" s="749">
        <v>43744</v>
      </c>
      <c r="H1069" s="747" t="s">
        <v>275</v>
      </c>
      <c r="I1069" s="749">
        <v>44883</v>
      </c>
      <c r="J1069" s="812" t="s">
        <v>275</v>
      </c>
      <c r="K1069" s="4" t="str">
        <f t="shared" si="92"/>
        <v>I</v>
      </c>
      <c r="L1069" s="7" t="str">
        <f t="shared" si="93"/>
        <v>G8</v>
      </c>
      <c r="M1069" s="7" t="str">
        <f t="shared" si="94"/>
        <v/>
      </c>
      <c r="N1069" s="62" t="str">
        <f t="shared" si="95"/>
        <v/>
      </c>
      <c r="O1069" s="8">
        <f t="shared" si="99"/>
        <v>45979</v>
      </c>
      <c r="P1069" s="9" t="str">
        <f t="shared" ca="1" si="96"/>
        <v>ATRASADO</v>
      </c>
      <c r="Q1069" s="747" t="s">
        <v>1556</v>
      </c>
      <c r="R1069" s="744"/>
      <c r="S1069" s="9" t="str">
        <f t="shared" si="100"/>
        <v/>
      </c>
    </row>
    <row r="1070" spans="1:19" x14ac:dyDescent="0.3">
      <c r="A1070" s="10">
        <v>1066</v>
      </c>
      <c r="B1070" s="750" t="s">
        <v>111</v>
      </c>
      <c r="C1070" s="745" t="s">
        <v>3072</v>
      </c>
      <c r="D1070" s="747" t="s">
        <v>3073</v>
      </c>
      <c r="E1070" s="748">
        <v>34721</v>
      </c>
      <c r="F1070" s="9">
        <f t="shared" ca="1" si="98"/>
        <v>31</v>
      </c>
      <c r="G1070" s="749">
        <v>43784</v>
      </c>
      <c r="H1070" s="747" t="s">
        <v>275</v>
      </c>
      <c r="I1070" s="749">
        <v>44894</v>
      </c>
      <c r="J1070" s="812" t="s">
        <v>300</v>
      </c>
      <c r="K1070" s="4" t="str">
        <f t="shared" si="92"/>
        <v>G4</v>
      </c>
      <c r="L1070" s="7" t="str">
        <f t="shared" si="93"/>
        <v>O5</v>
      </c>
      <c r="M1070" s="7" t="str">
        <f t="shared" si="94"/>
        <v/>
      </c>
      <c r="N1070" s="62" t="str">
        <f t="shared" si="95"/>
        <v/>
      </c>
      <c r="O1070" s="8">
        <f t="shared" si="99"/>
        <v>44986</v>
      </c>
      <c r="P1070" s="9" t="str">
        <f t="shared" ca="1" si="96"/>
        <v>ATRASADO</v>
      </c>
      <c r="Q1070" s="747" t="s">
        <v>1556</v>
      </c>
      <c r="R1070" s="744"/>
      <c r="S1070" s="9" t="str">
        <f t="shared" si="100"/>
        <v/>
      </c>
    </row>
    <row r="1071" spans="1:19" x14ac:dyDescent="0.3">
      <c r="A1071" s="10">
        <v>1067</v>
      </c>
      <c r="B1071" s="751" t="s">
        <v>111</v>
      </c>
      <c r="C1071" s="752" t="s">
        <v>3074</v>
      </c>
      <c r="D1071" s="9" t="s">
        <v>3075</v>
      </c>
      <c r="E1071" s="8">
        <v>22444</v>
      </c>
      <c r="F1071" s="9">
        <f t="shared" ca="1" si="98"/>
        <v>65</v>
      </c>
      <c r="G1071" s="295">
        <v>43492</v>
      </c>
      <c r="H1071" s="753" t="s">
        <v>327</v>
      </c>
      <c r="I1071" s="8">
        <v>44885</v>
      </c>
      <c r="J1071" s="818" t="s">
        <v>271</v>
      </c>
      <c r="K1071" s="755" t="str">
        <f t="shared" si="92"/>
        <v>I</v>
      </c>
      <c r="L1071" s="756" t="str">
        <f t="shared" si="93"/>
        <v>G8</v>
      </c>
      <c r="M1071" s="756" t="str">
        <f t="shared" si="94"/>
        <v>J1</v>
      </c>
      <c r="N1071" s="757" t="str">
        <f t="shared" si="95"/>
        <v/>
      </c>
      <c r="O1071" s="8">
        <f t="shared" si="99"/>
        <v>45981</v>
      </c>
      <c r="P1071" s="2" t="s">
        <v>39</v>
      </c>
      <c r="Q1071" s="753" t="s">
        <v>3076</v>
      </c>
      <c r="S1071" s="9" t="str">
        <f t="shared" si="100"/>
        <v/>
      </c>
    </row>
    <row r="1072" spans="1:19" x14ac:dyDescent="0.3">
      <c r="A1072" s="10">
        <v>1068</v>
      </c>
      <c r="B1072" s="751" t="s">
        <v>111</v>
      </c>
      <c r="C1072" s="752" t="s">
        <v>3077</v>
      </c>
      <c r="D1072" s="758" t="s">
        <v>3078</v>
      </c>
      <c r="E1072" s="8">
        <v>33726</v>
      </c>
      <c r="F1072" s="9">
        <f t="shared" ca="1" si="98"/>
        <v>34</v>
      </c>
      <c r="G1072" s="295">
        <v>43321</v>
      </c>
      <c r="H1072" s="753" t="s">
        <v>275</v>
      </c>
      <c r="I1072" s="8">
        <v>44885</v>
      </c>
      <c r="J1072" s="818" t="s">
        <v>271</v>
      </c>
      <c r="K1072" s="755" t="str">
        <f t="shared" si="92"/>
        <v>I</v>
      </c>
      <c r="L1072" s="756" t="str">
        <f t="shared" si="93"/>
        <v>G8</v>
      </c>
      <c r="M1072" s="756" t="str">
        <f t="shared" si="94"/>
        <v>J1</v>
      </c>
      <c r="N1072" s="757" t="str">
        <f t="shared" si="95"/>
        <v/>
      </c>
      <c r="O1072" s="8">
        <f t="shared" si="99"/>
        <v>45981</v>
      </c>
      <c r="P1072" s="2" t="s">
        <v>39</v>
      </c>
      <c r="Q1072" s="753" t="s">
        <v>3076</v>
      </c>
      <c r="S1072" s="9" t="str">
        <f t="shared" si="100"/>
        <v/>
      </c>
    </row>
    <row r="1073" spans="1:19" x14ac:dyDescent="0.3">
      <c r="A1073" s="10">
        <v>1069</v>
      </c>
      <c r="B1073" s="751" t="s">
        <v>111</v>
      </c>
      <c r="C1073" s="752" t="s">
        <v>3079</v>
      </c>
      <c r="D1073" s="753" t="s">
        <v>3080</v>
      </c>
      <c r="E1073" s="8">
        <v>25035</v>
      </c>
      <c r="F1073" s="9">
        <f t="shared" ca="1" si="98"/>
        <v>58</v>
      </c>
      <c r="G1073" s="295">
        <v>44212</v>
      </c>
      <c r="H1073" s="753" t="s">
        <v>271</v>
      </c>
      <c r="I1073" s="8">
        <v>44869</v>
      </c>
      <c r="J1073" s="818" t="s">
        <v>275</v>
      </c>
      <c r="K1073" s="755" t="str">
        <f t="shared" si="92"/>
        <v>I</v>
      </c>
      <c r="L1073" s="756" t="str">
        <f t="shared" si="93"/>
        <v>G8</v>
      </c>
      <c r="M1073" s="756" t="str">
        <f t="shared" si="94"/>
        <v/>
      </c>
      <c r="N1073" s="757" t="str">
        <f t="shared" si="95"/>
        <v/>
      </c>
      <c r="O1073" s="8">
        <f t="shared" si="99"/>
        <v>45965</v>
      </c>
      <c r="P1073" s="2" t="s">
        <v>39</v>
      </c>
      <c r="Q1073" s="753" t="s">
        <v>3076</v>
      </c>
      <c r="S1073" s="9" t="str">
        <f t="shared" si="100"/>
        <v/>
      </c>
    </row>
    <row r="1074" spans="1:19" x14ac:dyDescent="0.3">
      <c r="A1074" s="10">
        <v>1070</v>
      </c>
      <c r="B1074" s="751" t="s">
        <v>111</v>
      </c>
      <c r="C1074" s="752" t="s">
        <v>3081</v>
      </c>
      <c r="D1074" s="753" t="s">
        <v>3082</v>
      </c>
      <c r="E1074" s="8">
        <v>22711</v>
      </c>
      <c r="F1074" s="9">
        <f t="shared" ca="1" si="98"/>
        <v>64</v>
      </c>
      <c r="G1074" s="295">
        <v>43562</v>
      </c>
      <c r="H1074" s="753" t="s">
        <v>275</v>
      </c>
      <c r="I1074" s="8">
        <v>44870</v>
      </c>
      <c r="J1074" s="818" t="s">
        <v>8</v>
      </c>
      <c r="K1074" s="755" t="str">
        <f t="shared" si="92"/>
        <v>SI</v>
      </c>
      <c r="L1074" s="756" t="str">
        <f t="shared" si="93"/>
        <v xml:space="preserve">N </v>
      </c>
      <c r="M1074" s="756" t="str">
        <f t="shared" si="94"/>
        <v>RE</v>
      </c>
      <c r="N1074" s="757" t="str">
        <f t="shared" si="95"/>
        <v>GI</v>
      </c>
      <c r="O1074" s="8">
        <f t="shared" si="99"/>
        <v>45966</v>
      </c>
      <c r="P1074" s="2" t="s">
        <v>39</v>
      </c>
      <c r="Q1074" s="753" t="s">
        <v>3076</v>
      </c>
      <c r="S1074" s="9" t="str">
        <f t="shared" si="100"/>
        <v/>
      </c>
    </row>
    <row r="1075" spans="1:19" x14ac:dyDescent="0.3">
      <c r="A1075" s="10">
        <v>1071</v>
      </c>
      <c r="B1075" s="751" t="s">
        <v>270</v>
      </c>
      <c r="C1075" s="752" t="s">
        <v>3083</v>
      </c>
      <c r="D1075" s="753" t="s">
        <v>3084</v>
      </c>
      <c r="E1075" s="295">
        <v>26155</v>
      </c>
      <c r="F1075" s="9">
        <f t="shared" ca="1" si="98"/>
        <v>55</v>
      </c>
      <c r="G1075" s="295">
        <v>43345</v>
      </c>
      <c r="H1075" s="753" t="s">
        <v>275</v>
      </c>
      <c r="I1075" s="8">
        <v>44866</v>
      </c>
      <c r="J1075" s="828" t="s">
        <v>993</v>
      </c>
      <c r="K1075" s="755" t="str">
        <f t="shared" si="92"/>
        <v>A1</v>
      </c>
      <c r="L1075" s="756" t="str">
        <f t="shared" si="93"/>
        <v>O3</v>
      </c>
      <c r="M1075" s="756" t="str">
        <f t="shared" si="94"/>
        <v/>
      </c>
      <c r="N1075" s="757" t="str">
        <f t="shared" si="95"/>
        <v/>
      </c>
      <c r="O1075" s="8">
        <f t="shared" si="99"/>
        <v>45047</v>
      </c>
      <c r="P1075" s="2" t="s">
        <v>39</v>
      </c>
      <c r="Q1075" s="753" t="s">
        <v>3076</v>
      </c>
      <c r="S1075" s="9" t="str">
        <f t="shared" si="100"/>
        <v>VPH</v>
      </c>
    </row>
    <row r="1076" spans="1:19" ht="15.75" customHeight="1" x14ac:dyDescent="0.3">
      <c r="A1076" s="10">
        <v>1072</v>
      </c>
      <c r="B1076" s="751" t="s">
        <v>75</v>
      </c>
      <c r="C1076" s="752" t="s">
        <v>3085</v>
      </c>
      <c r="D1076" s="9" t="s">
        <v>3086</v>
      </c>
      <c r="E1076" s="8">
        <v>21085</v>
      </c>
      <c r="F1076" s="9">
        <f t="shared" ca="1" si="98"/>
        <v>69</v>
      </c>
      <c r="G1076" s="8">
        <v>43658</v>
      </c>
      <c r="H1076" s="2" t="s">
        <v>275</v>
      </c>
      <c r="I1076" s="8">
        <v>44893</v>
      </c>
      <c r="J1076" s="826" t="s">
        <v>275</v>
      </c>
      <c r="K1076" s="755" t="str">
        <f t="shared" si="92"/>
        <v>I</v>
      </c>
      <c r="L1076" s="756" t="str">
        <f t="shared" si="93"/>
        <v>G8</v>
      </c>
      <c r="M1076" s="756" t="str">
        <f t="shared" si="94"/>
        <v/>
      </c>
      <c r="N1076" s="757" t="str">
        <f t="shared" si="95"/>
        <v/>
      </c>
      <c r="O1076" s="8">
        <f t="shared" si="99"/>
        <v>45989</v>
      </c>
      <c r="P1076" s="2" t="s">
        <v>39</v>
      </c>
      <c r="Q1076" s="753" t="s">
        <v>341</v>
      </c>
      <c r="S1076" s="9" t="str">
        <f t="shared" si="100"/>
        <v/>
      </c>
    </row>
    <row r="1077" spans="1:19" ht="16.5" customHeight="1" x14ac:dyDescent="0.3">
      <c r="A1077" s="10">
        <v>1073</v>
      </c>
      <c r="B1077" s="751" t="s">
        <v>75</v>
      </c>
      <c r="C1077" s="752" t="s">
        <v>3087</v>
      </c>
      <c r="D1077" s="9" t="s">
        <v>3088</v>
      </c>
      <c r="E1077" s="8">
        <v>32467</v>
      </c>
      <c r="F1077" s="9">
        <f t="shared" ca="1" si="98"/>
        <v>37</v>
      </c>
      <c r="G1077" s="8">
        <v>44233</v>
      </c>
      <c r="H1077" s="2" t="s">
        <v>275</v>
      </c>
      <c r="I1077" s="8">
        <v>44886</v>
      </c>
      <c r="J1077" s="826" t="s">
        <v>271</v>
      </c>
      <c r="K1077" s="755" t="str">
        <f t="shared" si="92"/>
        <v>I</v>
      </c>
      <c r="L1077" s="756" t="str">
        <f t="shared" si="93"/>
        <v>G8</v>
      </c>
      <c r="M1077" s="756" t="str">
        <f t="shared" si="94"/>
        <v>J1</v>
      </c>
      <c r="N1077" s="757" t="str">
        <f t="shared" si="95"/>
        <v/>
      </c>
      <c r="O1077" s="8">
        <f t="shared" si="99"/>
        <v>45982</v>
      </c>
      <c r="P1077" s="2" t="s">
        <v>39</v>
      </c>
      <c r="Q1077" s="753" t="s">
        <v>341</v>
      </c>
      <c r="S1077" s="9" t="str">
        <f t="shared" si="100"/>
        <v/>
      </c>
    </row>
    <row r="1078" spans="1:19" ht="15" customHeight="1" x14ac:dyDescent="0.3">
      <c r="A1078" s="10">
        <v>1074</v>
      </c>
      <c r="B1078" s="751" t="s">
        <v>75</v>
      </c>
      <c r="C1078" s="752" t="s">
        <v>3089</v>
      </c>
      <c r="D1078" s="9" t="s">
        <v>3090</v>
      </c>
      <c r="E1078" s="8">
        <v>28393</v>
      </c>
      <c r="F1078" s="9">
        <f t="shared" ca="1" si="98"/>
        <v>49</v>
      </c>
      <c r="G1078" s="9" t="s">
        <v>8</v>
      </c>
      <c r="H1078" s="2" t="s">
        <v>8</v>
      </c>
      <c r="I1078" s="8">
        <v>44888</v>
      </c>
      <c r="J1078" s="826" t="s">
        <v>271</v>
      </c>
      <c r="K1078" s="755" t="str">
        <f t="shared" si="92"/>
        <v>I</v>
      </c>
      <c r="L1078" s="756" t="str">
        <f t="shared" si="93"/>
        <v>G8</v>
      </c>
      <c r="M1078" s="756" t="str">
        <f t="shared" si="94"/>
        <v>J1</v>
      </c>
      <c r="N1078" s="757" t="str">
        <f t="shared" si="95"/>
        <v/>
      </c>
      <c r="O1078" s="8">
        <f t="shared" si="99"/>
        <v>45984</v>
      </c>
      <c r="P1078" s="2" t="s">
        <v>39</v>
      </c>
      <c r="Q1078" s="753" t="s">
        <v>341</v>
      </c>
      <c r="S1078" s="9" t="str">
        <f t="shared" si="100"/>
        <v/>
      </c>
    </row>
    <row r="1079" spans="1:19" ht="15.75" customHeight="1" x14ac:dyDescent="0.3">
      <c r="A1079" s="10">
        <v>1075</v>
      </c>
      <c r="B1079" s="751" t="s">
        <v>346</v>
      </c>
      <c r="C1079" s="752" t="s">
        <v>3091</v>
      </c>
      <c r="D1079" s="9" t="s">
        <v>3092</v>
      </c>
      <c r="E1079" s="8">
        <v>25826</v>
      </c>
      <c r="F1079" s="9">
        <f t="shared" ca="1" si="98"/>
        <v>56</v>
      </c>
      <c r="G1079" s="8">
        <v>44053</v>
      </c>
      <c r="H1079" s="2" t="s">
        <v>275</v>
      </c>
      <c r="I1079" s="8">
        <v>44881</v>
      </c>
      <c r="J1079" s="826" t="s">
        <v>340</v>
      </c>
      <c r="K1079" s="755" t="str">
        <f t="shared" si="92"/>
        <v>I</v>
      </c>
      <c r="L1079" s="756" t="str">
        <f t="shared" si="93"/>
        <v>G8</v>
      </c>
      <c r="M1079" s="756" t="str">
        <f t="shared" si="94"/>
        <v>S</v>
      </c>
      <c r="N1079" s="757" t="str">
        <f t="shared" si="95"/>
        <v/>
      </c>
      <c r="O1079" s="8">
        <f t="shared" si="99"/>
        <v>45246</v>
      </c>
      <c r="P1079" s="2" t="s">
        <v>39</v>
      </c>
      <c r="Q1079" s="753" t="s">
        <v>341</v>
      </c>
      <c r="S1079" s="9" t="str">
        <f t="shared" si="100"/>
        <v/>
      </c>
    </row>
    <row r="1080" spans="1:19" ht="14.25" customHeight="1" x14ac:dyDescent="0.3">
      <c r="A1080" s="10">
        <v>1076</v>
      </c>
      <c r="B1080" s="751" t="s">
        <v>346</v>
      </c>
      <c r="C1080" s="752" t="s">
        <v>3093</v>
      </c>
      <c r="D1080" s="9" t="s">
        <v>3094</v>
      </c>
      <c r="E1080" s="8">
        <v>25370</v>
      </c>
      <c r="F1080" s="9">
        <f t="shared" ca="1" si="98"/>
        <v>57</v>
      </c>
      <c r="G1080" s="8">
        <v>43912</v>
      </c>
      <c r="H1080" s="2" t="s">
        <v>320</v>
      </c>
      <c r="I1080" s="8">
        <v>44891</v>
      </c>
      <c r="J1080" s="826" t="s">
        <v>271</v>
      </c>
      <c r="K1080" s="755" t="str">
        <f t="shared" ref="K1080:K1143" si="101">IF(OR(LEFT(J1080,2)="T1",LEFT(J1080,2)="T2",LEFT(J1080,2)="A1",LEFT(J1080,2)="D0",LEFT(J1080,2)="D1",LEFT(J1080,2)="D2",LEFT(J1080,2)="D3",LEFT(J1080,2)="E1",LEFT(J1080,2)="E2"),LEFT(J1080,2),IF(OR(LEFT(J1080,1)="A",LEFT(J1080,1)="B",LEFT(J1080,1)="C",LEFT(J1080,1)="D",LEFT(J1080,1)="I",LEFT(J1080,1)="E",LEFT(J1080,1)="K",LEFT(J1080,1)="T"),LEFT(J1080,1),LEFT(J1080,2)))</f>
        <v>I</v>
      </c>
      <c r="L1080" s="756" t="str">
        <f t="shared" ref="L1080:L1143" si="102">IF(AND(OR(LEFT(J1080,2)="A1",LEFT(J1080,2)="D0",LEFT(J1080,2)="D1",LEFT(J1080,2)="D2",LEFT(J1080,2)="D3",LEFT(J1080,2)="E1",LEFT(J1080,2)="E2",LEFT(J1080,2)="T1",LEFT(J1080,2)="T2"),OR(MID(J1080,3,1)="A",MID(J1080,3,1)="B",MID(J1080,3,1)="C",MID(J1080,3,1)="D",MID(J1080,3,1)="E",MID(J1080,3,1)="I",MID(J1080,3,1)="K",MID(J1080,3,1)="T",MID(J1080,3,1)="N",)),MID(J1080,3,1),IF(OR(LEFT(J1080,2)="A1",LEFT(J1080,2)="D0",LEFT(J1080,2)="D1",LEFT(J1080,2)="D2",LEFT(J1080,2)="D3",LEFT(J1080,2)="E1",LEFT(J1080,2)="E2",LEFT(J1080,2)="T1",LEFT(J1080,2)="T2"),MID(J1080,3,2),IF(AND(OR(LEFT(J1080,1)="A",LEFT(J1080,1)="B",LEFT(J1080,1)="C",LEFT(J1080,1)="D",LEFT(J1080,1)="E",LEFT(J1080,1)="I",LEFT(J1080,1)="K",LEFT(J1080,1)="T",LEFT(J1080,1)="N"),OR(MID(J1080,2,1)="A",MID(J1080,2,1)="B",MID(J1080,2,1)="C",MID(J1080,2,1)="D",MID(J1080,2,1)="E",MID(J1080,2,1)="I",MID(J1080,2,1)="K",MID(J1080,2,1)="T",MID(J1080,2,1)="N")),MID(J1080,2,2),IF(OR(LEFT(J1080,1)="A",LEFT(J1080,1)="B",LEFT(J1080,1)="C",LEFT(J1080,1)="D",LEFT(J1080,1)="E",LEFT(J1080,1)="I",LEFT(J1080,1)="K",LEFT(J1080,1)="T",LEFT(J1080,1)="N"),MID(J1080,2,2),MID(J1080,3,2)))))</f>
        <v>G8</v>
      </c>
      <c r="M1080" s="756" t="str">
        <f t="shared" ref="M1080:M1143" si="103">IF(AND(OR(LEFT(J1080,2)="A1",LEFT(J1080,2)="D0",LEFT(J1080,2)="D1",LEFT(J1080,2)="D2",LEFT(J1080,2)="D3",LEFT(J1080,2)="E1",LEFT(J1080,2)="E2",LEFT(J1080,2)="T1",LEFT(J1080,2)="T2"),OR(MID(J1080,3,1)="A",MID(J1080,3,1)="B",MID(J1080,3,1)="C",MID(J1080,3,1)="D",MID(J1080,3,1)="E",MID(J1080,3,1)="I",MID(J1080,3,1)="K",MID(J1080,3,1)="T",MID(J1080,3,1)="N",)),MID(J1080,4,2),IF(OR(LEFT(J1080,2)="A1",LEFT(J1080,2)="D0",LEFT(J1080,2)="D1",LEFT(J1080,2)="D2",LEFT(J1080,2)="D3",LEFT(J1080,2)="E1",LEFT(J1080,2)="E2",LEFT(J1080,2)="T1",LEFT(J1080,2)="T2"),MID(J1080,5,2),IF(AND(OR(LEFT(J1080,1)="A",LEFT(J1080,1)="B",LEFT(J1080,1)="C",LEFT(J1080,1)="D",LEFT(J1080,1)="E",LEFT(J1080,1)="I",LEFT(J1080,1)="K",LEFT(J1080,1)="T",LEFT(J1080,1)="N"),OR(MID(J1080,2,1)="A",MID(J1080,2,1)="B",MID(J1080,2,1)="C",MID(J1080,2,1)="D",MID(J1080,2,1)="E",MID(J1080,2,1)="I",MID(J1080,2,1)="K",MID(J1080,2,1)="T",MID(J1080,2,1)="N")),MID(J1080,3,2),IF(OR(LEFT(J1080,1)="A",LEFT(J1080,1)="B",LEFT(J1080,1)="C",LEFT(J1080,1)="D",LEFT(J1080,1)="E",LEFT(J1080,1)="I",LEFT(J1080,1)="K",LEFT(J1080,1)="T",LEFT(J1080,1)="N"),MID(J1080,4,2),MID(J1080,5,2)))))</f>
        <v>J1</v>
      </c>
      <c r="N1080" s="757" t="str">
        <f t="shared" ref="N1080:N1143" si="104">IF(AND(OR(LEFT(J1080,1)="I",LEFT(J1080,1)="T",LEFT(J1080,1)="A",LEFT(J1080,1)="B",LEFT(J1080,1)="C",LEFT(J1080,1)="D",LEFT(J1080,1)="E"),OR(MID(J1080,2,1)="I",MID(J1080,2,1)="T",MID(J1080,2,1)="A",MID(J1080,2,1)="B",MID(J1080,2,1)="C",MID(J1080,2,1)="D",MID(J1080,2,1)="E")),MID(J1080,5,2),IF(OR(LEFT(J1080,1)="I",LEFT(J1080,1)="T",LEFT(J1080,1)="A",LEFT(J1080,1)="B",LEFT(J1080,1)="C",LEFT(J1080,1)="D",LEFT(J1080,1)="E"),MID(J1080,6,2),MID(J1080,7,2)))</f>
        <v/>
      </c>
      <c r="O1080" s="8">
        <f t="shared" si="99"/>
        <v>45987</v>
      </c>
      <c r="P1080" s="2" t="s">
        <v>39</v>
      </c>
      <c r="Q1080" s="753" t="s">
        <v>341</v>
      </c>
      <c r="S1080" s="9" t="str">
        <f t="shared" si="100"/>
        <v/>
      </c>
    </row>
    <row r="1081" spans="1:19" x14ac:dyDescent="0.3">
      <c r="A1081" s="10">
        <v>1077</v>
      </c>
      <c r="B1081" s="751" t="s">
        <v>312</v>
      </c>
      <c r="C1081" s="759" t="s">
        <v>3095</v>
      </c>
      <c r="D1081" s="760" t="s">
        <v>3096</v>
      </c>
      <c r="E1081" s="761">
        <v>28069</v>
      </c>
      <c r="F1081" s="9">
        <f t="shared" ca="1" si="98"/>
        <v>49</v>
      </c>
      <c r="G1081" s="762">
        <v>44540</v>
      </c>
      <c r="H1081" s="760" t="s">
        <v>275</v>
      </c>
      <c r="I1081" s="762">
        <v>44889</v>
      </c>
      <c r="J1081" s="753" t="s">
        <v>300</v>
      </c>
      <c r="K1081" s="755" t="str">
        <f t="shared" si="101"/>
        <v>G4</v>
      </c>
      <c r="L1081" s="756" t="str">
        <f t="shared" si="102"/>
        <v>O5</v>
      </c>
      <c r="M1081" s="756" t="str">
        <f t="shared" si="103"/>
        <v/>
      </c>
      <c r="N1081" s="757" t="str">
        <f t="shared" si="104"/>
        <v/>
      </c>
      <c r="O1081" s="8">
        <f t="shared" si="99"/>
        <v>44981</v>
      </c>
      <c r="P1081" s="2" t="s">
        <v>39</v>
      </c>
      <c r="Q1081" s="760" t="s">
        <v>1556</v>
      </c>
      <c r="R1081" s="753"/>
      <c r="S1081" s="9" t="str">
        <f t="shared" si="100"/>
        <v/>
      </c>
    </row>
    <row r="1082" spans="1:19" x14ac:dyDescent="0.3">
      <c r="A1082" s="10">
        <v>1078</v>
      </c>
      <c r="B1082" s="751" t="s">
        <v>312</v>
      </c>
      <c r="C1082" s="759" t="s">
        <v>3097</v>
      </c>
      <c r="D1082" s="760" t="s">
        <v>3098</v>
      </c>
      <c r="E1082" s="761">
        <v>22838</v>
      </c>
      <c r="F1082" s="9">
        <f t="shared" ca="1" si="98"/>
        <v>64</v>
      </c>
      <c r="G1082" s="762">
        <v>44339</v>
      </c>
      <c r="H1082" s="760" t="s">
        <v>271</v>
      </c>
      <c r="I1082" s="762">
        <v>44894</v>
      </c>
      <c r="J1082" s="827" t="s">
        <v>275</v>
      </c>
      <c r="K1082" s="755" t="str">
        <f t="shared" si="101"/>
        <v>I</v>
      </c>
      <c r="L1082" s="756" t="str">
        <f t="shared" si="102"/>
        <v>G8</v>
      </c>
      <c r="M1082" s="756" t="str">
        <f t="shared" si="103"/>
        <v/>
      </c>
      <c r="N1082" s="757" t="str">
        <f t="shared" si="104"/>
        <v/>
      </c>
      <c r="O1082" s="8">
        <f t="shared" si="99"/>
        <v>45990</v>
      </c>
      <c r="P1082" s="2" t="s">
        <v>39</v>
      </c>
      <c r="Q1082" s="760" t="s">
        <v>1556</v>
      </c>
      <c r="R1082" s="753" t="s">
        <v>2663</v>
      </c>
      <c r="S1082" s="9" t="str">
        <f t="shared" si="100"/>
        <v/>
      </c>
    </row>
    <row r="1083" spans="1:19" x14ac:dyDescent="0.3">
      <c r="A1083" s="10">
        <v>1079</v>
      </c>
      <c r="B1083" s="751" t="s">
        <v>312</v>
      </c>
      <c r="C1083" s="759" t="s">
        <v>3099</v>
      </c>
      <c r="D1083" s="760" t="s">
        <v>3100</v>
      </c>
      <c r="E1083" s="761">
        <v>27792</v>
      </c>
      <c r="F1083" s="9">
        <f t="shared" ca="1" si="98"/>
        <v>50</v>
      </c>
      <c r="G1083" s="760" t="s">
        <v>8</v>
      </c>
      <c r="H1083" s="760" t="s">
        <v>271</v>
      </c>
      <c r="I1083" s="762">
        <v>44891</v>
      </c>
      <c r="J1083" s="827" t="s">
        <v>275</v>
      </c>
      <c r="K1083" s="755" t="str">
        <f t="shared" si="101"/>
        <v>I</v>
      </c>
      <c r="L1083" s="756" t="str">
        <f t="shared" si="102"/>
        <v>G8</v>
      </c>
      <c r="M1083" s="756" t="str">
        <f t="shared" si="103"/>
        <v/>
      </c>
      <c r="N1083" s="757" t="str">
        <f t="shared" si="104"/>
        <v/>
      </c>
      <c r="O1083" s="8">
        <f t="shared" si="99"/>
        <v>45987</v>
      </c>
      <c r="P1083" s="2" t="s">
        <v>39</v>
      </c>
      <c r="Q1083" s="760" t="s">
        <v>1556</v>
      </c>
      <c r="R1083" s="753"/>
      <c r="S1083" s="9" t="str">
        <f t="shared" si="100"/>
        <v/>
      </c>
    </row>
    <row r="1084" spans="1:19" x14ac:dyDescent="0.3">
      <c r="A1084" s="10">
        <v>1080</v>
      </c>
      <c r="B1084" s="751" t="s">
        <v>312</v>
      </c>
      <c r="C1084" s="759" t="s">
        <v>3101</v>
      </c>
      <c r="D1084" s="760" t="s">
        <v>3102</v>
      </c>
      <c r="E1084" s="761">
        <v>29935</v>
      </c>
      <c r="F1084" s="9">
        <f t="shared" ca="1" si="98"/>
        <v>44</v>
      </c>
      <c r="G1084" s="762">
        <v>43082</v>
      </c>
      <c r="H1084" s="760" t="s">
        <v>271</v>
      </c>
      <c r="I1084" s="762">
        <v>44881</v>
      </c>
      <c r="J1084" s="838" t="s">
        <v>8</v>
      </c>
      <c r="K1084" s="755" t="str">
        <f t="shared" si="101"/>
        <v>SI</v>
      </c>
      <c r="L1084" s="756" t="str">
        <f t="shared" si="102"/>
        <v xml:space="preserve">N </v>
      </c>
      <c r="M1084" s="756" t="str">
        <f t="shared" si="103"/>
        <v>RE</v>
      </c>
      <c r="N1084" s="757" t="str">
        <f t="shared" si="104"/>
        <v>GI</v>
      </c>
      <c r="O1084" s="8">
        <f t="shared" si="99"/>
        <v>45977</v>
      </c>
      <c r="P1084" s="2" t="s">
        <v>39</v>
      </c>
      <c r="Q1084" s="760" t="s">
        <v>1556</v>
      </c>
      <c r="R1084" s="752"/>
      <c r="S1084" s="9" t="str">
        <f t="shared" si="100"/>
        <v/>
      </c>
    </row>
    <row r="1085" spans="1:19" x14ac:dyDescent="0.3">
      <c r="A1085" s="10">
        <v>1081</v>
      </c>
      <c r="B1085" s="751" t="s">
        <v>45</v>
      </c>
      <c r="C1085" s="759" t="s">
        <v>3103</v>
      </c>
      <c r="D1085" s="760" t="s">
        <v>3104</v>
      </c>
      <c r="E1085" s="761">
        <v>25993</v>
      </c>
      <c r="F1085" s="9">
        <f t="shared" ref="F1085:F1185" ca="1" si="105">IF(E1085="","",DATEDIF(E1085,TODAY(),"Y"))</f>
        <v>55</v>
      </c>
      <c r="G1085" s="762">
        <v>43802</v>
      </c>
      <c r="H1085" s="760" t="s">
        <v>8</v>
      </c>
      <c r="I1085" s="762">
        <v>44895</v>
      </c>
      <c r="J1085" s="753" t="s">
        <v>275</v>
      </c>
      <c r="K1085" s="755" t="str">
        <f t="shared" si="101"/>
        <v>I</v>
      </c>
      <c r="L1085" s="756" t="str">
        <f t="shared" si="102"/>
        <v>G8</v>
      </c>
      <c r="M1085" s="756" t="str">
        <f t="shared" si="103"/>
        <v/>
      </c>
      <c r="N1085" s="757" t="str">
        <f t="shared" si="104"/>
        <v/>
      </c>
      <c r="O1085" s="8">
        <f t="shared" si="99"/>
        <v>45991</v>
      </c>
      <c r="P1085" s="2" t="s">
        <v>39</v>
      </c>
      <c r="Q1085" s="760" t="s">
        <v>1556</v>
      </c>
      <c r="R1085" s="752"/>
      <c r="S1085" s="9" t="str">
        <f t="shared" si="100"/>
        <v/>
      </c>
    </row>
    <row r="1086" spans="1:19" x14ac:dyDescent="0.3">
      <c r="A1086" s="10">
        <v>1082</v>
      </c>
      <c r="B1086" s="751" t="s">
        <v>45</v>
      </c>
      <c r="C1086" s="759" t="s">
        <v>3105</v>
      </c>
      <c r="D1086" s="760" t="s">
        <v>3106</v>
      </c>
      <c r="E1086" s="761">
        <v>31294</v>
      </c>
      <c r="F1086" s="9">
        <f t="shared" ca="1" si="105"/>
        <v>41</v>
      </c>
      <c r="G1086" s="760" t="s">
        <v>8</v>
      </c>
      <c r="H1086" s="760" t="s">
        <v>320</v>
      </c>
      <c r="I1086" s="762">
        <v>44878</v>
      </c>
      <c r="J1086" s="827" t="s">
        <v>8</v>
      </c>
      <c r="K1086" s="755" t="str">
        <f t="shared" si="101"/>
        <v>SI</v>
      </c>
      <c r="L1086" s="756" t="str">
        <f t="shared" si="102"/>
        <v xml:space="preserve">N </v>
      </c>
      <c r="M1086" s="756" t="str">
        <f t="shared" si="103"/>
        <v>RE</v>
      </c>
      <c r="N1086" s="757" t="str">
        <f t="shared" si="104"/>
        <v>GI</v>
      </c>
      <c r="O1086" s="8">
        <f t="shared" si="99"/>
        <v>45974</v>
      </c>
      <c r="P1086" s="2" t="s">
        <v>39</v>
      </c>
      <c r="Q1086" s="760" t="s">
        <v>1556</v>
      </c>
      <c r="R1086" s="752"/>
      <c r="S1086" s="9" t="str">
        <f t="shared" si="100"/>
        <v/>
      </c>
    </row>
    <row r="1087" spans="1:19" x14ac:dyDescent="0.3">
      <c r="A1087" s="10">
        <v>1083</v>
      </c>
      <c r="B1087" s="751" t="s">
        <v>45</v>
      </c>
      <c r="C1087" s="759" t="s">
        <v>3107</v>
      </c>
      <c r="D1087" s="760" t="s">
        <v>3108</v>
      </c>
      <c r="E1087" s="761">
        <v>33037</v>
      </c>
      <c r="F1087" s="9">
        <f t="shared" ca="1" si="105"/>
        <v>36</v>
      </c>
      <c r="G1087" s="762">
        <v>43227</v>
      </c>
      <c r="H1087" s="760" t="s">
        <v>275</v>
      </c>
      <c r="I1087" s="762">
        <v>44877</v>
      </c>
      <c r="J1087" s="753" t="s">
        <v>275</v>
      </c>
      <c r="K1087" s="755" t="str">
        <f t="shared" si="101"/>
        <v>I</v>
      </c>
      <c r="L1087" s="756" t="str">
        <f t="shared" si="102"/>
        <v>G8</v>
      </c>
      <c r="M1087" s="756" t="str">
        <f t="shared" si="103"/>
        <v/>
      </c>
      <c r="N1087" s="757" t="str">
        <f t="shared" si="104"/>
        <v/>
      </c>
      <c r="O1087" s="8">
        <f t="shared" si="99"/>
        <v>45973</v>
      </c>
      <c r="P1087" s="2" t="s">
        <v>39</v>
      </c>
      <c r="Q1087" s="760" t="s">
        <v>1556</v>
      </c>
      <c r="R1087" s="753"/>
      <c r="S1087" s="9" t="str">
        <f t="shared" si="100"/>
        <v/>
      </c>
    </row>
    <row r="1088" spans="1:19" x14ac:dyDescent="0.3">
      <c r="A1088" s="10">
        <v>1084</v>
      </c>
      <c r="B1088" s="751" t="s">
        <v>45</v>
      </c>
      <c r="C1088" s="759" t="s">
        <v>3109</v>
      </c>
      <c r="D1088" s="760" t="s">
        <v>3110</v>
      </c>
      <c r="E1088" s="761">
        <v>31060</v>
      </c>
      <c r="F1088" s="9">
        <f t="shared" ca="1" si="105"/>
        <v>41</v>
      </c>
      <c r="G1088" s="760" t="s">
        <v>8</v>
      </c>
      <c r="H1088" s="760" t="s">
        <v>271</v>
      </c>
      <c r="I1088" s="762">
        <v>44868</v>
      </c>
      <c r="J1088" s="753" t="s">
        <v>3426</v>
      </c>
      <c r="K1088" s="755" t="str">
        <f t="shared" si="101"/>
        <v>I</v>
      </c>
      <c r="L1088" s="756" t="str">
        <f t="shared" si="102"/>
        <v>G8</v>
      </c>
      <c r="M1088" s="756" t="str">
        <f t="shared" si="103"/>
        <v>J6</v>
      </c>
      <c r="N1088" s="757" t="str">
        <f t="shared" si="104"/>
        <v>S</v>
      </c>
      <c r="O1088" s="8">
        <f t="shared" si="99"/>
        <v>45233</v>
      </c>
      <c r="P1088" s="2" t="s">
        <v>39</v>
      </c>
      <c r="Q1088" s="760" t="s">
        <v>1556</v>
      </c>
      <c r="R1088" s="752"/>
      <c r="S1088" s="9" t="str">
        <f t="shared" si="100"/>
        <v>ACTINOMYCES</v>
      </c>
    </row>
    <row r="1089" spans="1:19" x14ac:dyDescent="0.3">
      <c r="A1089" s="10">
        <v>1085</v>
      </c>
      <c r="B1089" s="751" t="s">
        <v>45</v>
      </c>
      <c r="C1089" s="759" t="s">
        <v>3111</v>
      </c>
      <c r="D1089" s="760" t="s">
        <v>3112</v>
      </c>
      <c r="E1089" s="761">
        <v>36168</v>
      </c>
      <c r="F1089" s="9">
        <f t="shared" ca="1" si="105"/>
        <v>27</v>
      </c>
      <c r="G1089" s="762">
        <v>43301</v>
      </c>
      <c r="H1089" s="760" t="s">
        <v>735</v>
      </c>
      <c r="I1089" s="762">
        <v>44885</v>
      </c>
      <c r="J1089" s="753" t="s">
        <v>271</v>
      </c>
      <c r="K1089" s="755" t="str">
        <f t="shared" si="101"/>
        <v>I</v>
      </c>
      <c r="L1089" s="756" t="str">
        <f t="shared" si="102"/>
        <v>G8</v>
      </c>
      <c r="M1089" s="756" t="str">
        <f t="shared" si="103"/>
        <v>J1</v>
      </c>
      <c r="N1089" s="757" t="str">
        <f t="shared" si="104"/>
        <v/>
      </c>
      <c r="O1089" s="8">
        <f t="shared" si="99"/>
        <v>45981</v>
      </c>
      <c r="P1089" s="2" t="s">
        <v>39</v>
      </c>
      <c r="Q1089" s="760" t="s">
        <v>1556</v>
      </c>
      <c r="R1089" s="752"/>
      <c r="S1089" s="9" t="str">
        <f t="shared" si="100"/>
        <v/>
      </c>
    </row>
    <row r="1090" spans="1:19" x14ac:dyDescent="0.3">
      <c r="A1090" s="10">
        <v>1086</v>
      </c>
      <c r="B1090" s="751" t="s">
        <v>579</v>
      </c>
      <c r="C1090" s="759" t="s">
        <v>3113</v>
      </c>
      <c r="D1090" s="760" t="s">
        <v>3114</v>
      </c>
      <c r="E1090" s="761">
        <v>34820</v>
      </c>
      <c r="F1090" s="9">
        <f t="shared" ca="1" si="105"/>
        <v>31</v>
      </c>
      <c r="G1090" s="762">
        <v>43435</v>
      </c>
      <c r="H1090" s="760" t="s">
        <v>275</v>
      </c>
      <c r="I1090" s="762">
        <v>44881</v>
      </c>
      <c r="J1090" s="753" t="s">
        <v>8</v>
      </c>
      <c r="K1090" s="755" t="str">
        <f t="shared" si="101"/>
        <v>SI</v>
      </c>
      <c r="L1090" s="756" t="str">
        <f t="shared" si="102"/>
        <v xml:space="preserve">N </v>
      </c>
      <c r="M1090" s="756" t="str">
        <f t="shared" si="103"/>
        <v>RE</v>
      </c>
      <c r="N1090" s="757" t="str">
        <f t="shared" si="104"/>
        <v>GI</v>
      </c>
      <c r="O1090" s="8">
        <f t="shared" si="99"/>
        <v>45977</v>
      </c>
      <c r="P1090" s="2" t="s">
        <v>39</v>
      </c>
      <c r="Q1090" s="760" t="s">
        <v>1556</v>
      </c>
      <c r="R1090" s="752"/>
      <c r="S1090" s="9" t="str">
        <f t="shared" si="100"/>
        <v/>
      </c>
    </row>
    <row r="1091" spans="1:19" x14ac:dyDescent="0.3">
      <c r="A1091" s="10">
        <v>1087</v>
      </c>
      <c r="B1091" s="751" t="s">
        <v>45</v>
      </c>
      <c r="C1091" s="759" t="s">
        <v>3115</v>
      </c>
      <c r="D1091" s="760" t="s">
        <v>3116</v>
      </c>
      <c r="E1091" s="761">
        <v>35362</v>
      </c>
      <c r="F1091" s="9">
        <f t="shared" ca="1" si="105"/>
        <v>29</v>
      </c>
      <c r="G1091" s="762">
        <v>43274</v>
      </c>
      <c r="H1091" s="760" t="s">
        <v>275</v>
      </c>
      <c r="I1091" s="762">
        <v>44885</v>
      </c>
      <c r="J1091" s="753" t="s">
        <v>271</v>
      </c>
      <c r="K1091" s="755" t="str">
        <f t="shared" si="101"/>
        <v>I</v>
      </c>
      <c r="L1091" s="756" t="str">
        <f t="shared" si="102"/>
        <v>G8</v>
      </c>
      <c r="M1091" s="756" t="str">
        <f t="shared" si="103"/>
        <v>J1</v>
      </c>
      <c r="N1091" s="757" t="str">
        <f t="shared" si="104"/>
        <v/>
      </c>
      <c r="O1091" s="8">
        <f t="shared" si="99"/>
        <v>45981</v>
      </c>
      <c r="P1091" s="2" t="s">
        <v>39</v>
      </c>
      <c r="Q1091" s="760" t="s">
        <v>1556</v>
      </c>
      <c r="R1091" s="753"/>
      <c r="S1091" s="9" t="str">
        <f t="shared" si="100"/>
        <v/>
      </c>
    </row>
    <row r="1092" spans="1:19" x14ac:dyDescent="0.3">
      <c r="A1092" s="10">
        <v>1088</v>
      </c>
      <c r="B1092" s="751" t="s">
        <v>45</v>
      </c>
      <c r="C1092" s="759" t="s">
        <v>3117</v>
      </c>
      <c r="D1092" s="760" t="s">
        <v>3118</v>
      </c>
      <c r="E1092" s="761">
        <v>35258</v>
      </c>
      <c r="F1092" s="9">
        <f t="shared" ca="1" si="105"/>
        <v>30</v>
      </c>
      <c r="G1092" s="762">
        <v>43434</v>
      </c>
      <c r="H1092" s="760" t="s">
        <v>275</v>
      </c>
      <c r="I1092" s="762">
        <v>44876</v>
      </c>
      <c r="J1092" s="753" t="s">
        <v>271</v>
      </c>
      <c r="K1092" s="755" t="str">
        <f t="shared" si="101"/>
        <v>I</v>
      </c>
      <c r="L1092" s="756" t="str">
        <f t="shared" si="102"/>
        <v>G8</v>
      </c>
      <c r="M1092" s="756" t="str">
        <f t="shared" si="103"/>
        <v>J1</v>
      </c>
      <c r="N1092" s="757" t="str">
        <f t="shared" si="104"/>
        <v/>
      </c>
      <c r="O1092" s="8">
        <f t="shared" si="99"/>
        <v>45972</v>
      </c>
      <c r="P1092" s="2" t="s">
        <v>39</v>
      </c>
      <c r="Q1092" s="760" t="s">
        <v>1556</v>
      </c>
      <c r="R1092" s="752"/>
      <c r="S1092" s="9" t="str">
        <f t="shared" si="100"/>
        <v/>
      </c>
    </row>
    <row r="1093" spans="1:19" x14ac:dyDescent="0.3">
      <c r="A1093" s="10">
        <v>1089</v>
      </c>
      <c r="B1093" s="751" t="s">
        <v>56</v>
      </c>
      <c r="C1093" s="759" t="s">
        <v>3119</v>
      </c>
      <c r="D1093" s="760" t="s">
        <v>3120</v>
      </c>
      <c r="E1093" s="761">
        <v>23514</v>
      </c>
      <c r="F1093" s="9">
        <f t="shared" ca="1" si="105"/>
        <v>62</v>
      </c>
      <c r="G1093" s="762">
        <v>44266</v>
      </c>
      <c r="H1093" s="760" t="s">
        <v>271</v>
      </c>
      <c r="I1093" s="762">
        <v>44878</v>
      </c>
      <c r="J1093" s="753" t="s">
        <v>275</v>
      </c>
      <c r="K1093" s="755" t="str">
        <f t="shared" si="101"/>
        <v>I</v>
      </c>
      <c r="L1093" s="756" t="str">
        <f t="shared" si="102"/>
        <v>G8</v>
      </c>
      <c r="M1093" s="756" t="str">
        <f t="shared" si="103"/>
        <v/>
      </c>
      <c r="N1093" s="757" t="str">
        <f t="shared" si="104"/>
        <v/>
      </c>
      <c r="O1093" s="8">
        <f t="shared" si="99"/>
        <v>45974</v>
      </c>
      <c r="P1093" s="2" t="s">
        <v>39</v>
      </c>
      <c r="Q1093" s="760" t="s">
        <v>1556</v>
      </c>
      <c r="R1093" s="753"/>
      <c r="S1093" s="9" t="str">
        <f t="shared" si="100"/>
        <v/>
      </c>
    </row>
    <row r="1094" spans="1:19" x14ac:dyDescent="0.3">
      <c r="A1094" s="10">
        <v>1090</v>
      </c>
      <c r="B1094" s="751" t="s">
        <v>56</v>
      </c>
      <c r="C1094" s="759" t="s">
        <v>3121</v>
      </c>
      <c r="D1094" s="760" t="s">
        <v>3122</v>
      </c>
      <c r="E1094" s="761">
        <v>28744</v>
      </c>
      <c r="F1094" s="9">
        <f t="shared" ca="1" si="105"/>
        <v>48</v>
      </c>
      <c r="G1094" s="760" t="s">
        <v>8</v>
      </c>
      <c r="H1094" s="760" t="s">
        <v>271</v>
      </c>
      <c r="I1094" s="762">
        <v>44878</v>
      </c>
      <c r="J1094" s="753" t="s">
        <v>275</v>
      </c>
      <c r="K1094" s="755" t="str">
        <f t="shared" si="101"/>
        <v>I</v>
      </c>
      <c r="L1094" s="756" t="str">
        <f t="shared" si="102"/>
        <v>G8</v>
      </c>
      <c r="M1094" s="756" t="str">
        <f t="shared" si="103"/>
        <v/>
      </c>
      <c r="N1094" s="757" t="str">
        <f t="shared" si="104"/>
        <v/>
      </c>
      <c r="O1094" s="8">
        <f t="shared" si="99"/>
        <v>45974</v>
      </c>
      <c r="P1094" s="2" t="s">
        <v>39</v>
      </c>
      <c r="Q1094" s="760" t="s">
        <v>1556</v>
      </c>
      <c r="R1094" s="753"/>
      <c r="S1094" s="9" t="str">
        <f t="shared" si="100"/>
        <v/>
      </c>
    </row>
    <row r="1095" spans="1:19" x14ac:dyDescent="0.3">
      <c r="A1095" s="10">
        <v>1091</v>
      </c>
      <c r="B1095" s="751" t="s">
        <v>56</v>
      </c>
      <c r="C1095" s="759" t="s">
        <v>3123</v>
      </c>
      <c r="D1095" s="760" t="s">
        <v>3124</v>
      </c>
      <c r="E1095" s="761">
        <v>26424</v>
      </c>
      <c r="F1095" s="9">
        <f t="shared" ca="1" si="105"/>
        <v>54</v>
      </c>
      <c r="G1095" s="762">
        <v>43255</v>
      </c>
      <c r="H1095" s="760" t="s">
        <v>275</v>
      </c>
      <c r="I1095" s="762">
        <v>44890</v>
      </c>
      <c r="J1095" s="753" t="s">
        <v>275</v>
      </c>
      <c r="K1095" s="755" t="str">
        <f t="shared" si="101"/>
        <v>I</v>
      </c>
      <c r="L1095" s="756" t="str">
        <f t="shared" si="102"/>
        <v>G8</v>
      </c>
      <c r="M1095" s="756" t="str">
        <f t="shared" si="103"/>
        <v/>
      </c>
      <c r="N1095" s="757" t="str">
        <f t="shared" si="104"/>
        <v/>
      </c>
      <c r="O1095" s="8">
        <f t="shared" si="99"/>
        <v>45986</v>
      </c>
      <c r="P1095" s="2" t="s">
        <v>39</v>
      </c>
      <c r="Q1095" s="760" t="s">
        <v>1556</v>
      </c>
      <c r="R1095" s="752"/>
      <c r="S1095" s="9" t="str">
        <f t="shared" si="100"/>
        <v/>
      </c>
    </row>
    <row r="1096" spans="1:19" x14ac:dyDescent="0.3">
      <c r="A1096" s="10">
        <v>1092</v>
      </c>
      <c r="B1096" s="751" t="s">
        <v>56</v>
      </c>
      <c r="C1096" s="759" t="s">
        <v>3125</v>
      </c>
      <c r="D1096" s="760" t="s">
        <v>3126</v>
      </c>
      <c r="E1096" s="761">
        <v>30486</v>
      </c>
      <c r="F1096" s="9">
        <f t="shared" ca="1" si="105"/>
        <v>43</v>
      </c>
      <c r="G1096" s="762">
        <v>43810</v>
      </c>
      <c r="H1096" s="760" t="s">
        <v>271</v>
      </c>
      <c r="I1096" s="762">
        <v>44871</v>
      </c>
      <c r="J1096" s="753" t="s">
        <v>271</v>
      </c>
      <c r="K1096" s="755" t="str">
        <f t="shared" si="101"/>
        <v>I</v>
      </c>
      <c r="L1096" s="756" t="str">
        <f t="shared" si="102"/>
        <v>G8</v>
      </c>
      <c r="M1096" s="756" t="str">
        <f t="shared" si="103"/>
        <v>J1</v>
      </c>
      <c r="N1096" s="757" t="str">
        <f t="shared" si="104"/>
        <v/>
      </c>
      <c r="O1096" s="8">
        <f t="shared" si="99"/>
        <v>45967</v>
      </c>
      <c r="P1096" s="2" t="s">
        <v>39</v>
      </c>
      <c r="Q1096" s="760" t="s">
        <v>1556</v>
      </c>
      <c r="R1096" s="752"/>
      <c r="S1096" s="9" t="str">
        <f t="shared" si="100"/>
        <v/>
      </c>
    </row>
    <row r="1097" spans="1:19" x14ac:dyDescent="0.3">
      <c r="A1097" s="10">
        <v>1093</v>
      </c>
      <c r="B1097" s="751" t="s">
        <v>56</v>
      </c>
      <c r="C1097" s="759" t="s">
        <v>3127</v>
      </c>
      <c r="D1097" s="760" t="s">
        <v>3128</v>
      </c>
      <c r="E1097" s="761">
        <v>33580</v>
      </c>
      <c r="F1097" s="9">
        <f t="shared" ca="1" si="105"/>
        <v>34</v>
      </c>
      <c r="G1097" s="760" t="s">
        <v>8</v>
      </c>
      <c r="H1097" s="760" t="s">
        <v>275</v>
      </c>
      <c r="I1097" s="762">
        <v>44873</v>
      </c>
      <c r="J1097" s="753" t="s">
        <v>271</v>
      </c>
      <c r="K1097" s="755" t="str">
        <f t="shared" si="101"/>
        <v>I</v>
      </c>
      <c r="L1097" s="756" t="str">
        <f t="shared" si="102"/>
        <v>G8</v>
      </c>
      <c r="M1097" s="756" t="str">
        <f t="shared" si="103"/>
        <v>J1</v>
      </c>
      <c r="N1097" s="757" t="str">
        <f t="shared" si="104"/>
        <v/>
      </c>
      <c r="O1097" s="8">
        <f t="shared" si="99"/>
        <v>45969</v>
      </c>
      <c r="P1097" s="2" t="s">
        <v>39</v>
      </c>
      <c r="Q1097" s="760" t="s">
        <v>1556</v>
      </c>
      <c r="R1097" s="752"/>
      <c r="S1097" s="9" t="str">
        <f t="shared" si="100"/>
        <v/>
      </c>
    </row>
    <row r="1098" spans="1:19" x14ac:dyDescent="0.3">
      <c r="A1098" s="10">
        <v>1094</v>
      </c>
      <c r="B1098" s="751" t="s">
        <v>56</v>
      </c>
      <c r="C1098" s="759" t="s">
        <v>3129</v>
      </c>
      <c r="D1098" s="760" t="s">
        <v>3130</v>
      </c>
      <c r="E1098" s="761">
        <v>23318</v>
      </c>
      <c r="F1098" s="9">
        <f t="shared" ca="1" si="105"/>
        <v>62</v>
      </c>
      <c r="G1098" s="762">
        <v>43407</v>
      </c>
      <c r="H1098" s="760" t="s">
        <v>275</v>
      </c>
      <c r="I1098" s="762">
        <v>44876</v>
      </c>
      <c r="J1098" s="753" t="s">
        <v>275</v>
      </c>
      <c r="K1098" s="755" t="str">
        <f t="shared" si="101"/>
        <v>I</v>
      </c>
      <c r="L1098" s="756" t="str">
        <f t="shared" si="102"/>
        <v>G8</v>
      </c>
      <c r="M1098" s="756" t="str">
        <f t="shared" si="103"/>
        <v/>
      </c>
      <c r="N1098" s="757" t="str">
        <f t="shared" si="104"/>
        <v/>
      </c>
      <c r="O1098" s="8">
        <f t="shared" si="99"/>
        <v>45972</v>
      </c>
      <c r="P1098" s="2" t="s">
        <v>39</v>
      </c>
      <c r="Q1098" s="760" t="s">
        <v>1556</v>
      </c>
      <c r="R1098" s="752"/>
      <c r="S1098" s="9" t="str">
        <f t="shared" si="100"/>
        <v/>
      </c>
    </row>
    <row r="1099" spans="1:19" x14ac:dyDescent="0.3">
      <c r="A1099" s="10">
        <v>1095</v>
      </c>
      <c r="B1099" s="751" t="s">
        <v>56</v>
      </c>
      <c r="C1099" s="759" t="s">
        <v>3131</v>
      </c>
      <c r="D1099" s="760" t="s">
        <v>3132</v>
      </c>
      <c r="E1099" s="761">
        <v>30086</v>
      </c>
      <c r="F1099" s="9">
        <f t="shared" ca="1" si="105"/>
        <v>44</v>
      </c>
      <c r="G1099" s="762">
        <v>43971</v>
      </c>
      <c r="H1099" s="760" t="s">
        <v>320</v>
      </c>
      <c r="I1099" s="762">
        <v>44895</v>
      </c>
      <c r="J1099" s="753" t="s">
        <v>275</v>
      </c>
      <c r="K1099" s="755" t="str">
        <f t="shared" si="101"/>
        <v>I</v>
      </c>
      <c r="L1099" s="756" t="str">
        <f t="shared" si="102"/>
        <v>G8</v>
      </c>
      <c r="M1099" s="756" t="str">
        <f t="shared" si="103"/>
        <v/>
      </c>
      <c r="N1099" s="757" t="str">
        <f t="shared" si="104"/>
        <v/>
      </c>
      <c r="O1099" s="8">
        <f t="shared" si="99"/>
        <v>45991</v>
      </c>
      <c r="P1099" s="2" t="s">
        <v>39</v>
      </c>
      <c r="Q1099" s="760" t="s">
        <v>1556</v>
      </c>
      <c r="R1099" s="752"/>
      <c r="S1099" s="9" t="str">
        <f t="shared" si="100"/>
        <v/>
      </c>
    </row>
    <row r="1100" spans="1:19" x14ac:dyDescent="0.3">
      <c r="A1100" s="10">
        <v>1096</v>
      </c>
      <c r="B1100" s="774" t="s">
        <v>579</v>
      </c>
      <c r="C1100" s="769" t="s">
        <v>3133</v>
      </c>
      <c r="D1100" s="771" t="s">
        <v>3134</v>
      </c>
      <c r="E1100" s="772">
        <v>32747</v>
      </c>
      <c r="F1100" s="9">
        <f t="shared" ca="1" si="105"/>
        <v>37</v>
      </c>
      <c r="G1100" s="773">
        <v>44301</v>
      </c>
      <c r="H1100" s="771" t="s">
        <v>8</v>
      </c>
      <c r="I1100" s="772">
        <v>44913</v>
      </c>
      <c r="J1100" s="583" t="s">
        <v>8</v>
      </c>
      <c r="K1100" s="755" t="str">
        <f t="shared" si="101"/>
        <v>SI</v>
      </c>
      <c r="L1100" s="756" t="str">
        <f t="shared" si="102"/>
        <v xml:space="preserve">N </v>
      </c>
      <c r="M1100" s="756" t="str">
        <f t="shared" si="103"/>
        <v>RE</v>
      </c>
      <c r="N1100" s="757" t="str">
        <f t="shared" si="104"/>
        <v>GI</v>
      </c>
      <c r="O1100" s="8">
        <f t="shared" si="99"/>
        <v>46009</v>
      </c>
      <c r="P1100" s="2" t="s">
        <v>39</v>
      </c>
      <c r="Q1100" s="771" t="s">
        <v>1556</v>
      </c>
      <c r="R1100" s="768"/>
      <c r="S1100" s="9" t="str">
        <f t="shared" si="100"/>
        <v/>
      </c>
    </row>
    <row r="1101" spans="1:19" x14ac:dyDescent="0.3">
      <c r="A1101" s="10">
        <v>1097</v>
      </c>
      <c r="B1101" s="774" t="s">
        <v>579</v>
      </c>
      <c r="C1101" s="769" t="s">
        <v>3135</v>
      </c>
      <c r="D1101" s="771" t="s">
        <v>3136</v>
      </c>
      <c r="E1101" s="772">
        <v>29891</v>
      </c>
      <c r="F1101" s="9">
        <f t="shared" ca="1" si="105"/>
        <v>44</v>
      </c>
      <c r="G1101" s="773">
        <v>43494</v>
      </c>
      <c r="H1101" s="771" t="s">
        <v>275</v>
      </c>
      <c r="I1101" s="772">
        <v>44920</v>
      </c>
      <c r="J1101" s="583" t="s">
        <v>275</v>
      </c>
      <c r="K1101" s="755" t="str">
        <f t="shared" si="101"/>
        <v>I</v>
      </c>
      <c r="L1101" s="756" t="str">
        <f t="shared" si="102"/>
        <v>G8</v>
      </c>
      <c r="M1101" s="756" t="str">
        <f t="shared" si="103"/>
        <v/>
      </c>
      <c r="N1101" s="757" t="str">
        <f t="shared" si="104"/>
        <v/>
      </c>
      <c r="O1101" s="8">
        <f t="shared" ref="O1101:O1164" si="106">IF(I1101="","",IF(OR(K1101="S",L1101="S",M1101="S",N1101="S",K1101="G7",L1101="G7",M1101="G7",N1101="G7",),DATE(YEAR(I1101)+1,MONTH(I1101),DAY(I1101)),IF(OR(K1101="O3",L1101="O3",M1101="O3",N1101="O3",K1101="ASCUS",L1101="ASCUS",M1101="ASCUS",N1101="ASCUS"),DATE(YEAR(I1101),MONTH(I1101)+6,DAY(I1101)),IF(OR(K1101="O5",L1101="O5",M1101="O5",N1101="O5"),DATE(YEAR(I1101),MONTH(I1101)+3,DAY(I1101)),IF(OR(K1101="T",L1101="T",M1101="T",N1101="T"),DATE(YEAR(I1101),MONTH(I1101)+1,DAY(I1101)+10),DATE(YEAR(I1101)+3,MONTH(I1101),DAY(I1101)))))))</f>
        <v>46016</v>
      </c>
      <c r="P1101" s="2" t="s">
        <v>39</v>
      </c>
      <c r="Q1101" s="771" t="s">
        <v>1556</v>
      </c>
      <c r="R1101" s="768"/>
      <c r="S1101" s="9" t="str">
        <f t="shared" si="100"/>
        <v/>
      </c>
    </row>
    <row r="1102" spans="1:19" x14ac:dyDescent="0.3">
      <c r="A1102" s="10">
        <v>1098</v>
      </c>
      <c r="B1102" s="774" t="s">
        <v>579</v>
      </c>
      <c r="C1102" s="769" t="s">
        <v>3137</v>
      </c>
      <c r="D1102" s="771" t="s">
        <v>3138</v>
      </c>
      <c r="E1102" s="772">
        <v>32867</v>
      </c>
      <c r="F1102" s="9">
        <f t="shared" ca="1" si="105"/>
        <v>36</v>
      </c>
      <c r="G1102" s="773">
        <v>43210</v>
      </c>
      <c r="H1102" s="771" t="s">
        <v>8</v>
      </c>
      <c r="I1102" s="772">
        <v>44918</v>
      </c>
      <c r="J1102" s="583" t="s">
        <v>275</v>
      </c>
      <c r="K1102" s="755" t="str">
        <f t="shared" si="101"/>
        <v>I</v>
      </c>
      <c r="L1102" s="756" t="str">
        <f t="shared" si="102"/>
        <v>G8</v>
      </c>
      <c r="M1102" s="756" t="str">
        <f t="shared" si="103"/>
        <v/>
      </c>
      <c r="N1102" s="757" t="str">
        <f t="shared" si="104"/>
        <v/>
      </c>
      <c r="O1102" s="8">
        <f t="shared" si="106"/>
        <v>46014</v>
      </c>
      <c r="P1102" s="2" t="s">
        <v>39</v>
      </c>
      <c r="Q1102" s="771" t="s">
        <v>1556</v>
      </c>
      <c r="R1102" s="770" t="s">
        <v>2315</v>
      </c>
      <c r="S1102" s="9" t="str">
        <f t="shared" si="100"/>
        <v/>
      </c>
    </row>
    <row r="1103" spans="1:19" x14ac:dyDescent="0.3">
      <c r="A1103" s="10">
        <v>1099</v>
      </c>
      <c r="B1103" s="774" t="s">
        <v>579</v>
      </c>
      <c r="C1103" s="769" t="s">
        <v>3139</v>
      </c>
      <c r="D1103" s="771" t="s">
        <v>3140</v>
      </c>
      <c r="E1103" s="772">
        <v>24510</v>
      </c>
      <c r="F1103" s="9">
        <f t="shared" ca="1" si="105"/>
        <v>59</v>
      </c>
      <c r="G1103" s="773">
        <v>44367</v>
      </c>
      <c r="H1103" s="771" t="s">
        <v>321</v>
      </c>
      <c r="I1103" s="772">
        <v>44905</v>
      </c>
      <c r="J1103" s="583" t="s">
        <v>271</v>
      </c>
      <c r="K1103" s="755" t="str">
        <f t="shared" si="101"/>
        <v>I</v>
      </c>
      <c r="L1103" s="756" t="str">
        <f t="shared" si="102"/>
        <v>G8</v>
      </c>
      <c r="M1103" s="756" t="str">
        <f t="shared" si="103"/>
        <v>J1</v>
      </c>
      <c r="N1103" s="757" t="str">
        <f t="shared" si="104"/>
        <v/>
      </c>
      <c r="O1103" s="8">
        <f t="shared" si="106"/>
        <v>46001</v>
      </c>
      <c r="P1103" s="2" t="s">
        <v>39</v>
      </c>
      <c r="Q1103" s="771" t="s">
        <v>1556</v>
      </c>
      <c r="R1103" s="770"/>
      <c r="S1103" s="9" t="str">
        <f t="shared" si="100"/>
        <v/>
      </c>
    </row>
    <row r="1104" spans="1:19" x14ac:dyDescent="0.3">
      <c r="A1104" s="10">
        <v>1100</v>
      </c>
      <c r="B1104" s="774" t="s">
        <v>579</v>
      </c>
      <c r="C1104" s="769" t="s">
        <v>3141</v>
      </c>
      <c r="D1104" s="771" t="s">
        <v>3142</v>
      </c>
      <c r="E1104" s="772">
        <v>27283</v>
      </c>
      <c r="F1104" s="9">
        <f t="shared" ca="1" si="105"/>
        <v>52</v>
      </c>
      <c r="G1104" s="773">
        <v>43391</v>
      </c>
      <c r="H1104" s="771" t="s">
        <v>317</v>
      </c>
      <c r="I1104" s="772">
        <v>44913</v>
      </c>
      <c r="J1104" s="583" t="s">
        <v>8</v>
      </c>
      <c r="K1104" s="755" t="str">
        <f t="shared" si="101"/>
        <v>SI</v>
      </c>
      <c r="L1104" s="756" t="str">
        <f t="shared" si="102"/>
        <v xml:space="preserve">N </v>
      </c>
      <c r="M1104" s="756" t="str">
        <f t="shared" si="103"/>
        <v>RE</v>
      </c>
      <c r="N1104" s="757" t="str">
        <f t="shared" si="104"/>
        <v>GI</v>
      </c>
      <c r="O1104" s="8">
        <f t="shared" si="106"/>
        <v>46009</v>
      </c>
      <c r="P1104" s="2" t="s">
        <v>39</v>
      </c>
      <c r="Q1104" s="771" t="s">
        <v>1556</v>
      </c>
      <c r="R1104" s="770"/>
      <c r="S1104" s="9" t="str">
        <f t="shared" si="100"/>
        <v/>
      </c>
    </row>
    <row r="1105" spans="1:19" x14ac:dyDescent="0.3">
      <c r="A1105" s="10">
        <v>1101</v>
      </c>
      <c r="B1105" s="774" t="s">
        <v>579</v>
      </c>
      <c r="C1105" s="769" t="s">
        <v>3143</v>
      </c>
      <c r="D1105" s="771" t="s">
        <v>3144</v>
      </c>
      <c r="E1105" s="772">
        <v>30525</v>
      </c>
      <c r="F1105" s="9">
        <f t="shared" ca="1" si="105"/>
        <v>43</v>
      </c>
      <c r="G1105" s="773">
        <v>44214</v>
      </c>
      <c r="H1105" s="771" t="s">
        <v>271</v>
      </c>
      <c r="I1105" s="772">
        <v>44902</v>
      </c>
      <c r="J1105" s="583" t="s">
        <v>271</v>
      </c>
      <c r="K1105" s="755" t="str">
        <f t="shared" si="101"/>
        <v>I</v>
      </c>
      <c r="L1105" s="756" t="str">
        <f t="shared" si="102"/>
        <v>G8</v>
      </c>
      <c r="M1105" s="756" t="str">
        <f t="shared" si="103"/>
        <v>J1</v>
      </c>
      <c r="N1105" s="757" t="str">
        <f t="shared" si="104"/>
        <v/>
      </c>
      <c r="O1105" s="8">
        <f t="shared" si="106"/>
        <v>45998</v>
      </c>
      <c r="P1105" s="2" t="s">
        <v>39</v>
      </c>
      <c r="Q1105" s="771" t="s">
        <v>1556</v>
      </c>
      <c r="R1105" s="768"/>
      <c r="S1105" s="9" t="str">
        <f t="shared" si="100"/>
        <v/>
      </c>
    </row>
    <row r="1106" spans="1:19" x14ac:dyDescent="0.3">
      <c r="A1106" s="10">
        <v>1102</v>
      </c>
      <c r="B1106" s="774" t="s">
        <v>579</v>
      </c>
      <c r="C1106" s="769" t="s">
        <v>3145</v>
      </c>
      <c r="D1106" s="771" t="s">
        <v>3146</v>
      </c>
      <c r="E1106" s="772">
        <v>27523</v>
      </c>
      <c r="F1106" s="9">
        <f t="shared" ca="1" si="105"/>
        <v>51</v>
      </c>
      <c r="G1106" s="773">
        <v>43135</v>
      </c>
      <c r="H1106" s="771" t="s">
        <v>271</v>
      </c>
      <c r="I1106" s="772">
        <v>44903</v>
      </c>
      <c r="J1106" s="583" t="s">
        <v>275</v>
      </c>
      <c r="K1106" s="755" t="str">
        <f t="shared" si="101"/>
        <v>I</v>
      </c>
      <c r="L1106" s="756" t="str">
        <f t="shared" si="102"/>
        <v>G8</v>
      </c>
      <c r="M1106" s="756" t="str">
        <f t="shared" si="103"/>
        <v/>
      </c>
      <c r="N1106" s="757" t="str">
        <f t="shared" si="104"/>
        <v/>
      </c>
      <c r="O1106" s="8">
        <f t="shared" si="106"/>
        <v>45999</v>
      </c>
      <c r="P1106" s="2" t="s">
        <v>39</v>
      </c>
      <c r="Q1106" s="771" t="s">
        <v>1556</v>
      </c>
      <c r="R1106" s="768"/>
      <c r="S1106" s="9" t="str">
        <f t="shared" si="100"/>
        <v/>
      </c>
    </row>
    <row r="1107" spans="1:19" x14ac:dyDescent="0.3">
      <c r="A1107" s="10">
        <v>1103</v>
      </c>
      <c r="B1107" s="774" t="s">
        <v>579</v>
      </c>
      <c r="C1107" s="769" t="s">
        <v>3147</v>
      </c>
      <c r="D1107" s="771" t="s">
        <v>3148</v>
      </c>
      <c r="E1107" s="772">
        <v>35598</v>
      </c>
      <c r="F1107" s="9">
        <f t="shared" ca="1" si="105"/>
        <v>29</v>
      </c>
      <c r="G1107" s="773">
        <v>43597</v>
      </c>
      <c r="H1107" s="771" t="s">
        <v>275</v>
      </c>
      <c r="I1107" s="772">
        <v>44910</v>
      </c>
      <c r="J1107" s="583" t="s">
        <v>20</v>
      </c>
      <c r="K1107" s="755" t="str">
        <f t="shared" si="101"/>
        <v>RX</v>
      </c>
      <c r="L1107" s="756" t="str">
        <f t="shared" si="102"/>
        <v xml:space="preserve"> C</v>
      </c>
      <c r="M1107" s="756" t="str">
        <f t="shared" si="103"/>
        <v>OM</v>
      </c>
      <c r="N1107" s="757" t="str">
        <f t="shared" si="104"/>
        <v xml:space="preserve">P </v>
      </c>
      <c r="O1107" s="8">
        <f t="shared" si="106"/>
        <v>46006</v>
      </c>
      <c r="P1107" s="2" t="s">
        <v>39</v>
      </c>
      <c r="Q1107" s="771" t="s">
        <v>1556</v>
      </c>
      <c r="R1107" s="770"/>
      <c r="S1107" s="9" t="str">
        <f t="shared" si="100"/>
        <v/>
      </c>
    </row>
    <row r="1108" spans="1:19" x14ac:dyDescent="0.3">
      <c r="A1108" s="10">
        <v>1104</v>
      </c>
      <c r="B1108" s="774" t="s">
        <v>579</v>
      </c>
      <c r="C1108" s="769" t="s">
        <v>3149</v>
      </c>
      <c r="D1108" s="771" t="s">
        <v>3150</v>
      </c>
      <c r="E1108" s="772">
        <v>33698</v>
      </c>
      <c r="F1108" s="9">
        <f t="shared" ca="1" si="105"/>
        <v>34</v>
      </c>
      <c r="G1108" s="773">
        <v>44034</v>
      </c>
      <c r="H1108" s="771" t="s">
        <v>275</v>
      </c>
      <c r="I1108" s="772">
        <v>44908</v>
      </c>
      <c r="J1108" s="583" t="s">
        <v>8</v>
      </c>
      <c r="K1108" s="755" t="str">
        <f t="shared" si="101"/>
        <v>SI</v>
      </c>
      <c r="L1108" s="756" t="str">
        <f t="shared" si="102"/>
        <v xml:space="preserve">N </v>
      </c>
      <c r="M1108" s="756" t="str">
        <f t="shared" si="103"/>
        <v>RE</v>
      </c>
      <c r="N1108" s="757" t="str">
        <f t="shared" si="104"/>
        <v>GI</v>
      </c>
      <c r="O1108" s="8">
        <f t="shared" si="106"/>
        <v>46004</v>
      </c>
      <c r="P1108" s="2" t="s">
        <v>39</v>
      </c>
      <c r="Q1108" s="771" t="s">
        <v>1556</v>
      </c>
      <c r="R1108" s="768"/>
      <c r="S1108" s="9" t="str">
        <f t="shared" si="100"/>
        <v/>
      </c>
    </row>
    <row r="1109" spans="1:19" x14ac:dyDescent="0.3">
      <c r="A1109" s="10">
        <v>1105</v>
      </c>
      <c r="B1109" s="774" t="s">
        <v>579</v>
      </c>
      <c r="C1109" s="769" t="s">
        <v>3151</v>
      </c>
      <c r="D1109" s="771" t="s">
        <v>3152</v>
      </c>
      <c r="E1109" s="772">
        <v>33031</v>
      </c>
      <c r="F1109" s="9">
        <f t="shared" ca="1" si="105"/>
        <v>36</v>
      </c>
      <c r="G1109" s="773">
        <v>43415</v>
      </c>
      <c r="H1109" s="771" t="s">
        <v>271</v>
      </c>
      <c r="I1109" s="772">
        <v>44904</v>
      </c>
      <c r="J1109" s="583" t="s">
        <v>271</v>
      </c>
      <c r="K1109" s="755" t="str">
        <f t="shared" si="101"/>
        <v>I</v>
      </c>
      <c r="L1109" s="756" t="str">
        <f t="shared" si="102"/>
        <v>G8</v>
      </c>
      <c r="M1109" s="756" t="str">
        <f t="shared" si="103"/>
        <v>J1</v>
      </c>
      <c r="N1109" s="757" t="str">
        <f t="shared" si="104"/>
        <v/>
      </c>
      <c r="O1109" s="8">
        <f t="shared" si="106"/>
        <v>46000</v>
      </c>
      <c r="P1109" s="2" t="s">
        <v>39</v>
      </c>
      <c r="Q1109" s="771" t="s">
        <v>1556</v>
      </c>
      <c r="R1109" s="768"/>
      <c r="S1109" s="9" t="str">
        <f t="shared" si="100"/>
        <v/>
      </c>
    </row>
    <row r="1110" spans="1:19" x14ac:dyDescent="0.3">
      <c r="A1110" s="10">
        <v>1106</v>
      </c>
      <c r="B1110" s="774" t="s">
        <v>579</v>
      </c>
      <c r="C1110" s="769" t="s">
        <v>3153</v>
      </c>
      <c r="D1110" s="771" t="s">
        <v>3154</v>
      </c>
      <c r="E1110" s="772">
        <v>26066</v>
      </c>
      <c r="F1110" s="9">
        <f t="shared" ca="1" si="105"/>
        <v>55</v>
      </c>
      <c r="G1110" s="773">
        <v>43561</v>
      </c>
      <c r="H1110" s="771" t="s">
        <v>324</v>
      </c>
      <c r="I1110" s="772">
        <v>44899</v>
      </c>
      <c r="J1110" s="583" t="s">
        <v>275</v>
      </c>
      <c r="K1110" s="755" t="str">
        <f t="shared" si="101"/>
        <v>I</v>
      </c>
      <c r="L1110" s="756" t="str">
        <f t="shared" si="102"/>
        <v>G8</v>
      </c>
      <c r="M1110" s="756" t="str">
        <f t="shared" si="103"/>
        <v/>
      </c>
      <c r="N1110" s="757" t="str">
        <f t="shared" si="104"/>
        <v/>
      </c>
      <c r="O1110" s="8">
        <f t="shared" si="106"/>
        <v>45995</v>
      </c>
      <c r="P1110" s="2" t="s">
        <v>39</v>
      </c>
      <c r="Q1110" s="771" t="s">
        <v>1556</v>
      </c>
      <c r="R1110" s="768"/>
      <c r="S1110" s="9" t="str">
        <f t="shared" si="100"/>
        <v/>
      </c>
    </row>
    <row r="1111" spans="1:19" x14ac:dyDescent="0.3">
      <c r="A1111" s="10">
        <v>1107</v>
      </c>
      <c r="B1111" s="774" t="s">
        <v>579</v>
      </c>
      <c r="C1111" s="769" t="s">
        <v>3155</v>
      </c>
      <c r="D1111" s="771" t="s">
        <v>3156</v>
      </c>
      <c r="E1111" s="772">
        <v>33939</v>
      </c>
      <c r="F1111" s="9">
        <f t="shared" ca="1" si="105"/>
        <v>33</v>
      </c>
      <c r="G1111" s="773">
        <v>43575</v>
      </c>
      <c r="H1111" s="771" t="s">
        <v>271</v>
      </c>
      <c r="I1111" s="772">
        <v>44907</v>
      </c>
      <c r="J1111" s="583" t="s">
        <v>340</v>
      </c>
      <c r="K1111" s="755" t="str">
        <f t="shared" si="101"/>
        <v>I</v>
      </c>
      <c r="L1111" s="756" t="str">
        <f t="shared" si="102"/>
        <v>G8</v>
      </c>
      <c r="M1111" s="756" t="str">
        <f t="shared" si="103"/>
        <v>S</v>
      </c>
      <c r="N1111" s="757" t="str">
        <f t="shared" si="104"/>
        <v/>
      </c>
      <c r="O1111" s="8">
        <f t="shared" si="106"/>
        <v>45272</v>
      </c>
      <c r="P1111" s="2" t="s">
        <v>39</v>
      </c>
      <c r="Q1111" s="771" t="s">
        <v>1556</v>
      </c>
      <c r="R1111" s="768"/>
      <c r="S1111" s="9" t="str">
        <f t="shared" si="100"/>
        <v/>
      </c>
    </row>
    <row r="1112" spans="1:19" x14ac:dyDescent="0.3">
      <c r="A1112" s="10">
        <v>1108</v>
      </c>
      <c r="B1112" s="774" t="s">
        <v>579</v>
      </c>
      <c r="C1112" s="769" t="s">
        <v>3157</v>
      </c>
      <c r="D1112" s="771" t="s">
        <v>3158</v>
      </c>
      <c r="E1112" s="772">
        <v>33762</v>
      </c>
      <c r="F1112" s="9">
        <f t="shared" ca="1" si="105"/>
        <v>34</v>
      </c>
      <c r="G1112" s="773">
        <v>43321</v>
      </c>
      <c r="H1112" s="771" t="s">
        <v>271</v>
      </c>
      <c r="I1112" s="772">
        <v>44911</v>
      </c>
      <c r="J1112" s="583" t="s">
        <v>275</v>
      </c>
      <c r="K1112" s="755" t="str">
        <f t="shared" si="101"/>
        <v>I</v>
      </c>
      <c r="L1112" s="756" t="str">
        <f t="shared" si="102"/>
        <v>G8</v>
      </c>
      <c r="M1112" s="756" t="str">
        <f t="shared" si="103"/>
        <v/>
      </c>
      <c r="N1112" s="757" t="str">
        <f t="shared" si="104"/>
        <v/>
      </c>
      <c r="O1112" s="8">
        <f t="shared" si="106"/>
        <v>46007</v>
      </c>
      <c r="P1112" s="2" t="s">
        <v>39</v>
      </c>
      <c r="Q1112" s="771" t="s">
        <v>1556</v>
      </c>
      <c r="R1112" s="768"/>
      <c r="S1112" s="9" t="str">
        <f t="shared" si="100"/>
        <v/>
      </c>
    </row>
    <row r="1113" spans="1:19" x14ac:dyDescent="0.3">
      <c r="A1113" s="10">
        <v>1109</v>
      </c>
      <c r="B1113" s="774" t="s">
        <v>579</v>
      </c>
      <c r="C1113" s="769" t="s">
        <v>3159</v>
      </c>
      <c r="D1113" s="771" t="s">
        <v>3160</v>
      </c>
      <c r="E1113" s="772">
        <v>27745</v>
      </c>
      <c r="F1113" s="9">
        <f t="shared" ca="1" si="105"/>
        <v>50</v>
      </c>
      <c r="G1113" s="773">
        <v>43883</v>
      </c>
      <c r="H1113" s="771" t="s">
        <v>275</v>
      </c>
      <c r="I1113" s="772">
        <v>44923</v>
      </c>
      <c r="J1113" s="583" t="s">
        <v>8</v>
      </c>
      <c r="K1113" s="755" t="str">
        <f t="shared" si="101"/>
        <v>SI</v>
      </c>
      <c r="L1113" s="756" t="str">
        <f t="shared" si="102"/>
        <v xml:space="preserve">N </v>
      </c>
      <c r="M1113" s="756" t="str">
        <f t="shared" si="103"/>
        <v>RE</v>
      </c>
      <c r="N1113" s="757" t="str">
        <f t="shared" si="104"/>
        <v>GI</v>
      </c>
      <c r="O1113" s="8">
        <f t="shared" si="106"/>
        <v>46019</v>
      </c>
      <c r="P1113" s="2" t="s">
        <v>39</v>
      </c>
      <c r="Q1113" s="771" t="s">
        <v>1556</v>
      </c>
      <c r="R1113" s="768"/>
      <c r="S1113" s="9" t="str">
        <f t="shared" si="100"/>
        <v/>
      </c>
    </row>
    <row r="1114" spans="1:19" x14ac:dyDescent="0.3">
      <c r="A1114" s="10">
        <v>1110</v>
      </c>
      <c r="B1114" s="774" t="s">
        <v>56</v>
      </c>
      <c r="C1114" s="769" t="s">
        <v>3161</v>
      </c>
      <c r="D1114" s="771" t="s">
        <v>3162</v>
      </c>
      <c r="E1114" s="772">
        <v>23901</v>
      </c>
      <c r="F1114" s="9">
        <f t="shared" ca="1" si="105"/>
        <v>61</v>
      </c>
      <c r="G1114" s="773">
        <v>43787</v>
      </c>
      <c r="H1114" s="771" t="s">
        <v>271</v>
      </c>
      <c r="I1114" s="772">
        <v>44924</v>
      </c>
      <c r="J1114" s="876" t="s">
        <v>275</v>
      </c>
      <c r="K1114" s="755" t="str">
        <f t="shared" si="101"/>
        <v>I</v>
      </c>
      <c r="L1114" s="756" t="str">
        <f t="shared" si="102"/>
        <v>G8</v>
      </c>
      <c r="M1114" s="756" t="str">
        <f t="shared" si="103"/>
        <v/>
      </c>
      <c r="N1114" s="757" t="str">
        <f t="shared" si="104"/>
        <v/>
      </c>
      <c r="O1114" s="8">
        <f t="shared" si="106"/>
        <v>46020</v>
      </c>
      <c r="P1114" s="2" t="s">
        <v>39</v>
      </c>
      <c r="Q1114" s="771" t="s">
        <v>1556</v>
      </c>
      <c r="R1114" s="768"/>
      <c r="S1114" s="9" t="str">
        <f t="shared" si="100"/>
        <v/>
      </c>
    </row>
    <row r="1115" spans="1:19" x14ac:dyDescent="0.3">
      <c r="A1115" s="10">
        <v>1111</v>
      </c>
      <c r="B1115" s="774" t="s">
        <v>56</v>
      </c>
      <c r="C1115" s="769" t="s">
        <v>3163</v>
      </c>
      <c r="D1115" s="771" t="s">
        <v>3164</v>
      </c>
      <c r="E1115" s="772">
        <v>23565</v>
      </c>
      <c r="F1115" s="9">
        <f t="shared" ca="1" si="105"/>
        <v>62</v>
      </c>
      <c r="G1115" s="773">
        <v>44390</v>
      </c>
      <c r="H1115" s="771" t="s">
        <v>275</v>
      </c>
      <c r="I1115" s="772">
        <v>44905</v>
      </c>
      <c r="J1115" s="877" t="s">
        <v>271</v>
      </c>
      <c r="K1115" s="755" t="str">
        <f t="shared" si="101"/>
        <v>I</v>
      </c>
      <c r="L1115" s="756" t="str">
        <f t="shared" si="102"/>
        <v>G8</v>
      </c>
      <c r="M1115" s="756" t="str">
        <f t="shared" si="103"/>
        <v>J1</v>
      </c>
      <c r="N1115" s="757" t="str">
        <f t="shared" si="104"/>
        <v/>
      </c>
      <c r="O1115" s="8">
        <f t="shared" si="106"/>
        <v>46001</v>
      </c>
      <c r="P1115" s="2" t="s">
        <v>39</v>
      </c>
      <c r="Q1115" s="771" t="s">
        <v>1556</v>
      </c>
      <c r="R1115" s="770"/>
      <c r="S1115" s="9" t="str">
        <f t="shared" si="100"/>
        <v/>
      </c>
    </row>
    <row r="1116" spans="1:19" x14ac:dyDescent="0.3">
      <c r="A1116" s="10">
        <v>1112</v>
      </c>
      <c r="B1116" s="774" t="s">
        <v>78</v>
      </c>
      <c r="C1116" s="769" t="s">
        <v>3165</v>
      </c>
      <c r="D1116" s="771" t="s">
        <v>3166</v>
      </c>
      <c r="E1116" s="772">
        <v>21601</v>
      </c>
      <c r="F1116" s="9">
        <f t="shared" ca="1" si="105"/>
        <v>67</v>
      </c>
      <c r="G1116" s="773">
        <v>44116</v>
      </c>
      <c r="H1116" s="771" t="s">
        <v>271</v>
      </c>
      <c r="I1116" s="772">
        <v>44900</v>
      </c>
      <c r="J1116" s="583" t="s">
        <v>327</v>
      </c>
      <c r="K1116" s="755" t="str">
        <f t="shared" si="101"/>
        <v>I</v>
      </c>
      <c r="L1116" s="756" t="str">
        <f t="shared" si="102"/>
        <v>G7</v>
      </c>
      <c r="M1116" s="756" t="str">
        <f t="shared" si="103"/>
        <v>S</v>
      </c>
      <c r="N1116" s="757" t="str">
        <f t="shared" si="104"/>
        <v/>
      </c>
      <c r="O1116" s="8">
        <f t="shared" si="106"/>
        <v>45265</v>
      </c>
      <c r="P1116" s="2" t="s">
        <v>39</v>
      </c>
      <c r="Q1116" s="771" t="s">
        <v>1556</v>
      </c>
      <c r="R1116" s="768"/>
      <c r="S1116" s="9" t="str">
        <f t="shared" si="100"/>
        <v/>
      </c>
    </row>
    <row r="1117" spans="1:19" x14ac:dyDescent="0.3">
      <c r="A1117" s="10">
        <v>1113</v>
      </c>
      <c r="B1117" s="774" t="s">
        <v>78</v>
      </c>
      <c r="C1117" s="769" t="s">
        <v>3167</v>
      </c>
      <c r="D1117" s="771" t="s">
        <v>3168</v>
      </c>
      <c r="E1117" s="772">
        <v>25294</v>
      </c>
      <c r="F1117" s="9">
        <f t="shared" ca="1" si="105"/>
        <v>57</v>
      </c>
      <c r="G1117" s="773">
        <v>44021</v>
      </c>
      <c r="H1117" s="771" t="s">
        <v>271</v>
      </c>
      <c r="I1117" s="772">
        <v>44910</v>
      </c>
      <c r="J1117" s="583" t="s">
        <v>271</v>
      </c>
      <c r="K1117" s="755" t="str">
        <f t="shared" si="101"/>
        <v>I</v>
      </c>
      <c r="L1117" s="756" t="str">
        <f t="shared" si="102"/>
        <v>G8</v>
      </c>
      <c r="M1117" s="756" t="str">
        <f t="shared" si="103"/>
        <v>J1</v>
      </c>
      <c r="N1117" s="757" t="str">
        <f t="shared" si="104"/>
        <v/>
      </c>
      <c r="O1117" s="8">
        <f t="shared" si="106"/>
        <v>46006</v>
      </c>
      <c r="P1117" s="2" t="s">
        <v>39</v>
      </c>
      <c r="Q1117" s="771" t="s">
        <v>1556</v>
      </c>
      <c r="R1117" s="768"/>
      <c r="S1117" s="9" t="str">
        <f t="shared" si="100"/>
        <v/>
      </c>
    </row>
    <row r="1118" spans="1:19" x14ac:dyDescent="0.3">
      <c r="A1118" s="10">
        <v>1114</v>
      </c>
      <c r="B1118" s="774" t="s">
        <v>78</v>
      </c>
      <c r="C1118" s="769" t="s">
        <v>3169</v>
      </c>
      <c r="D1118" s="771" t="s">
        <v>3170</v>
      </c>
      <c r="E1118" s="772">
        <v>25623</v>
      </c>
      <c r="F1118" s="9">
        <f t="shared" ca="1" si="105"/>
        <v>56</v>
      </c>
      <c r="G1118" s="773">
        <v>44191</v>
      </c>
      <c r="H1118" s="771" t="s">
        <v>271</v>
      </c>
      <c r="I1118" s="772">
        <v>44913</v>
      </c>
      <c r="J1118" s="866" t="s">
        <v>275</v>
      </c>
      <c r="K1118" s="755" t="str">
        <f t="shared" si="101"/>
        <v>I</v>
      </c>
      <c r="L1118" s="756" t="str">
        <f t="shared" si="102"/>
        <v>G8</v>
      </c>
      <c r="M1118" s="756" t="str">
        <f t="shared" si="103"/>
        <v/>
      </c>
      <c r="N1118" s="757" t="str">
        <f t="shared" si="104"/>
        <v/>
      </c>
      <c r="O1118" s="8">
        <f t="shared" si="106"/>
        <v>46009</v>
      </c>
      <c r="P1118" s="2" t="s">
        <v>39</v>
      </c>
      <c r="Q1118" s="771" t="s">
        <v>1556</v>
      </c>
      <c r="R1118" s="768"/>
      <c r="S1118" s="9" t="str">
        <f t="shared" si="100"/>
        <v/>
      </c>
    </row>
    <row r="1119" spans="1:19" x14ac:dyDescent="0.3">
      <c r="A1119" s="10">
        <v>1115</v>
      </c>
      <c r="B1119" s="774" t="s">
        <v>78</v>
      </c>
      <c r="C1119" s="769" t="s">
        <v>3171</v>
      </c>
      <c r="D1119" s="771" t="s">
        <v>3172</v>
      </c>
      <c r="E1119" s="772">
        <v>32950</v>
      </c>
      <c r="F1119" s="9">
        <f t="shared" ca="1" si="105"/>
        <v>36</v>
      </c>
      <c r="G1119" s="773">
        <v>44063</v>
      </c>
      <c r="H1119" s="771" t="s">
        <v>275</v>
      </c>
      <c r="I1119" s="772">
        <v>44925</v>
      </c>
      <c r="J1119" s="583" t="s">
        <v>271</v>
      </c>
      <c r="K1119" s="755" t="str">
        <f t="shared" si="101"/>
        <v>I</v>
      </c>
      <c r="L1119" s="756" t="str">
        <f t="shared" si="102"/>
        <v>G8</v>
      </c>
      <c r="M1119" s="756" t="str">
        <f t="shared" si="103"/>
        <v>J1</v>
      </c>
      <c r="N1119" s="757" t="str">
        <f t="shared" si="104"/>
        <v/>
      </c>
      <c r="O1119" s="8">
        <f t="shared" si="106"/>
        <v>46021</v>
      </c>
      <c r="P1119" s="2" t="s">
        <v>39</v>
      </c>
      <c r="Q1119" s="771" t="s">
        <v>1556</v>
      </c>
      <c r="R1119" s="770"/>
      <c r="S1119" s="9" t="str">
        <f t="shared" si="100"/>
        <v/>
      </c>
    </row>
    <row r="1120" spans="1:19" x14ac:dyDescent="0.3">
      <c r="A1120" s="10">
        <v>1116</v>
      </c>
      <c r="B1120" s="774" t="s">
        <v>78</v>
      </c>
      <c r="C1120" s="769" t="s">
        <v>3173</v>
      </c>
      <c r="D1120" s="771" t="s">
        <v>3174</v>
      </c>
      <c r="E1120" s="772">
        <v>20506</v>
      </c>
      <c r="F1120" s="9">
        <f t="shared" ca="1" si="105"/>
        <v>70</v>
      </c>
      <c r="G1120" s="773">
        <v>43318</v>
      </c>
      <c r="H1120" s="771" t="s">
        <v>271</v>
      </c>
      <c r="I1120" s="772">
        <v>44913</v>
      </c>
      <c r="J1120" s="583" t="s">
        <v>275</v>
      </c>
      <c r="K1120" s="755" t="str">
        <f t="shared" si="101"/>
        <v>I</v>
      </c>
      <c r="L1120" s="756" t="str">
        <f t="shared" si="102"/>
        <v>G8</v>
      </c>
      <c r="M1120" s="756" t="str">
        <f t="shared" si="103"/>
        <v/>
      </c>
      <c r="N1120" s="757" t="str">
        <f t="shared" si="104"/>
        <v/>
      </c>
      <c r="O1120" s="8">
        <f t="shared" si="106"/>
        <v>46009</v>
      </c>
      <c r="P1120" s="2" t="s">
        <v>39</v>
      </c>
      <c r="Q1120" s="771" t="s">
        <v>1556</v>
      </c>
      <c r="R1120" s="768"/>
      <c r="S1120" s="9" t="str">
        <f t="shared" si="100"/>
        <v/>
      </c>
    </row>
    <row r="1121" spans="1:19" x14ac:dyDescent="0.3">
      <c r="A1121" s="10">
        <v>1117</v>
      </c>
      <c r="B1121" s="774" t="s">
        <v>78</v>
      </c>
      <c r="C1121" s="769" t="s">
        <v>3175</v>
      </c>
      <c r="D1121" s="771" t="s">
        <v>3176</v>
      </c>
      <c r="E1121" s="772">
        <v>27367</v>
      </c>
      <c r="F1121" s="9">
        <f t="shared" ca="1" si="105"/>
        <v>51</v>
      </c>
      <c r="G1121" s="771" t="s">
        <v>8</v>
      </c>
      <c r="H1121" s="771" t="s">
        <v>275</v>
      </c>
      <c r="I1121" s="772">
        <v>44910</v>
      </c>
      <c r="J1121" s="583" t="s">
        <v>271</v>
      </c>
      <c r="K1121" s="755" t="str">
        <f t="shared" si="101"/>
        <v>I</v>
      </c>
      <c r="L1121" s="756" t="str">
        <f t="shared" si="102"/>
        <v>G8</v>
      </c>
      <c r="M1121" s="756" t="str">
        <f t="shared" si="103"/>
        <v>J1</v>
      </c>
      <c r="N1121" s="757" t="str">
        <f t="shared" si="104"/>
        <v/>
      </c>
      <c r="O1121" s="8">
        <f t="shared" si="106"/>
        <v>46006</v>
      </c>
      <c r="P1121" s="2" t="s">
        <v>39</v>
      </c>
      <c r="Q1121" s="771" t="s">
        <v>1556</v>
      </c>
      <c r="R1121" s="768"/>
      <c r="S1121" s="9" t="str">
        <f t="shared" si="100"/>
        <v/>
      </c>
    </row>
    <row r="1122" spans="1:19" x14ac:dyDescent="0.3">
      <c r="A1122" s="10">
        <v>1118</v>
      </c>
      <c r="B1122" s="774" t="s">
        <v>78</v>
      </c>
      <c r="C1122" s="769" t="s">
        <v>3177</v>
      </c>
      <c r="D1122" s="771" t="s">
        <v>3178</v>
      </c>
      <c r="E1122" s="772">
        <v>30576</v>
      </c>
      <c r="F1122" s="9">
        <f t="shared" ca="1" si="105"/>
        <v>43</v>
      </c>
      <c r="G1122" s="773">
        <v>43710</v>
      </c>
      <c r="H1122" s="771" t="s">
        <v>271</v>
      </c>
      <c r="I1122" s="772">
        <v>44915</v>
      </c>
      <c r="J1122" s="583" t="s">
        <v>275</v>
      </c>
      <c r="K1122" s="755" t="str">
        <f t="shared" si="101"/>
        <v>I</v>
      </c>
      <c r="L1122" s="756" t="str">
        <f t="shared" si="102"/>
        <v>G8</v>
      </c>
      <c r="M1122" s="756" t="str">
        <f t="shared" si="103"/>
        <v/>
      </c>
      <c r="N1122" s="757" t="str">
        <f t="shared" si="104"/>
        <v/>
      </c>
      <c r="O1122" s="8">
        <f t="shared" si="106"/>
        <v>46011</v>
      </c>
      <c r="P1122" s="2" t="s">
        <v>39</v>
      </c>
      <c r="Q1122" s="771" t="s">
        <v>1556</v>
      </c>
      <c r="R1122" s="768"/>
      <c r="S1122" s="9" t="str">
        <f t="shared" si="100"/>
        <v/>
      </c>
    </row>
    <row r="1123" spans="1:19" x14ac:dyDescent="0.3">
      <c r="A1123" s="10">
        <v>1119</v>
      </c>
      <c r="B1123" s="774" t="s">
        <v>78</v>
      </c>
      <c r="C1123" s="769" t="s">
        <v>3179</v>
      </c>
      <c r="D1123" s="771" t="s">
        <v>3180</v>
      </c>
      <c r="E1123" s="772">
        <v>22379</v>
      </c>
      <c r="F1123" s="9">
        <f t="shared" ca="1" si="105"/>
        <v>65</v>
      </c>
      <c r="G1123" s="773">
        <v>44342</v>
      </c>
      <c r="H1123" s="771" t="s">
        <v>271</v>
      </c>
      <c r="I1123" s="772">
        <v>44926</v>
      </c>
      <c r="J1123" s="583" t="s">
        <v>340</v>
      </c>
      <c r="K1123" s="755" t="str">
        <f t="shared" si="101"/>
        <v>I</v>
      </c>
      <c r="L1123" s="756" t="str">
        <f t="shared" si="102"/>
        <v>G8</v>
      </c>
      <c r="M1123" s="756" t="str">
        <f t="shared" si="103"/>
        <v>S</v>
      </c>
      <c r="N1123" s="757" t="str">
        <f t="shared" si="104"/>
        <v/>
      </c>
      <c r="O1123" s="8">
        <f t="shared" si="106"/>
        <v>45291</v>
      </c>
      <c r="P1123" s="2" t="s">
        <v>39</v>
      </c>
      <c r="Q1123" s="771" t="s">
        <v>1556</v>
      </c>
      <c r="R1123" s="770" t="s">
        <v>1842</v>
      </c>
      <c r="S1123" s="9" t="str">
        <f t="shared" si="100"/>
        <v/>
      </c>
    </row>
    <row r="1124" spans="1:19" x14ac:dyDescent="0.3">
      <c r="A1124" s="10">
        <v>1120</v>
      </c>
      <c r="B1124" s="774" t="s">
        <v>78</v>
      </c>
      <c r="C1124" s="769" t="s">
        <v>3181</v>
      </c>
      <c r="D1124" s="771" t="s">
        <v>3182</v>
      </c>
      <c r="E1124" s="772">
        <v>23947</v>
      </c>
      <c r="F1124" s="9">
        <f t="shared" ca="1" si="105"/>
        <v>61</v>
      </c>
      <c r="G1124" s="773">
        <v>44077</v>
      </c>
      <c r="H1124" s="771" t="s">
        <v>275</v>
      </c>
      <c r="I1124" s="772">
        <v>44923</v>
      </c>
      <c r="J1124" s="866" t="s">
        <v>275</v>
      </c>
      <c r="K1124" s="755" t="str">
        <f t="shared" si="101"/>
        <v>I</v>
      </c>
      <c r="L1124" s="756" t="str">
        <f t="shared" si="102"/>
        <v>G8</v>
      </c>
      <c r="M1124" s="756" t="str">
        <f t="shared" si="103"/>
        <v/>
      </c>
      <c r="N1124" s="757" t="str">
        <f t="shared" si="104"/>
        <v/>
      </c>
      <c r="O1124" s="8">
        <f t="shared" si="106"/>
        <v>46019</v>
      </c>
      <c r="P1124" s="2" t="s">
        <v>39</v>
      </c>
      <c r="Q1124" s="771" t="s">
        <v>1556</v>
      </c>
      <c r="R1124" s="768"/>
      <c r="S1124" s="9" t="str">
        <f t="shared" si="100"/>
        <v/>
      </c>
    </row>
    <row r="1125" spans="1:19" x14ac:dyDescent="0.3">
      <c r="A1125" s="10">
        <v>1121</v>
      </c>
      <c r="B1125" s="774" t="s">
        <v>78</v>
      </c>
      <c r="C1125" s="769" t="s">
        <v>3183</v>
      </c>
      <c r="D1125" s="771" t="s">
        <v>3184</v>
      </c>
      <c r="E1125" s="772">
        <v>32886</v>
      </c>
      <c r="F1125" s="9">
        <f t="shared" ca="1" si="105"/>
        <v>36</v>
      </c>
      <c r="G1125" s="773">
        <v>43885</v>
      </c>
      <c r="H1125" s="771" t="s">
        <v>528</v>
      </c>
      <c r="I1125" s="772">
        <v>44923</v>
      </c>
      <c r="J1125" s="583" t="s">
        <v>275</v>
      </c>
      <c r="K1125" s="755" t="str">
        <f t="shared" si="101"/>
        <v>I</v>
      </c>
      <c r="L1125" s="756" t="str">
        <f t="shared" si="102"/>
        <v>G8</v>
      </c>
      <c r="M1125" s="756" t="str">
        <f t="shared" si="103"/>
        <v/>
      </c>
      <c r="N1125" s="757" t="str">
        <f t="shared" si="104"/>
        <v/>
      </c>
      <c r="O1125" s="8">
        <f t="shared" si="106"/>
        <v>46019</v>
      </c>
      <c r="P1125" s="2" t="s">
        <v>39</v>
      </c>
      <c r="Q1125" s="771" t="s">
        <v>1556</v>
      </c>
      <c r="R1125" s="768"/>
      <c r="S1125" s="9" t="str">
        <f t="shared" si="100"/>
        <v/>
      </c>
    </row>
    <row r="1126" spans="1:19" x14ac:dyDescent="0.3">
      <c r="A1126" s="10">
        <v>1122</v>
      </c>
      <c r="B1126" s="774" t="s">
        <v>78</v>
      </c>
      <c r="C1126" s="769" t="s">
        <v>3185</v>
      </c>
      <c r="D1126" s="771" t="s">
        <v>3186</v>
      </c>
      <c r="E1126" s="772">
        <v>29178</v>
      </c>
      <c r="F1126" s="9">
        <f t="shared" ca="1" si="105"/>
        <v>46</v>
      </c>
      <c r="G1126" s="773">
        <v>43207</v>
      </c>
      <c r="H1126" s="771" t="s">
        <v>8</v>
      </c>
      <c r="I1126" s="772">
        <v>44900</v>
      </c>
      <c r="J1126" s="583" t="s">
        <v>275</v>
      </c>
      <c r="K1126" s="755" t="str">
        <f t="shared" si="101"/>
        <v>I</v>
      </c>
      <c r="L1126" s="756" t="str">
        <f t="shared" si="102"/>
        <v>G8</v>
      </c>
      <c r="M1126" s="756" t="str">
        <f t="shared" si="103"/>
        <v/>
      </c>
      <c r="N1126" s="757" t="str">
        <f t="shared" si="104"/>
        <v/>
      </c>
      <c r="O1126" s="8">
        <f t="shared" si="106"/>
        <v>45996</v>
      </c>
      <c r="P1126" s="2" t="s">
        <v>39</v>
      </c>
      <c r="Q1126" s="771" t="s">
        <v>1556</v>
      </c>
      <c r="R1126" s="770" t="s">
        <v>2663</v>
      </c>
      <c r="S1126" s="9" t="str">
        <f t="shared" si="100"/>
        <v/>
      </c>
    </row>
    <row r="1127" spans="1:19" x14ac:dyDescent="0.3">
      <c r="A1127" s="10">
        <v>1123</v>
      </c>
      <c r="B1127" s="774" t="s">
        <v>78</v>
      </c>
      <c r="C1127" s="769" t="s">
        <v>3187</v>
      </c>
      <c r="D1127" s="771" t="s">
        <v>3188</v>
      </c>
      <c r="E1127" s="772">
        <v>22340</v>
      </c>
      <c r="F1127" s="9">
        <f t="shared" ca="1" si="105"/>
        <v>65</v>
      </c>
      <c r="G1127" s="773">
        <v>43716</v>
      </c>
      <c r="H1127" s="771" t="s">
        <v>8</v>
      </c>
      <c r="I1127" s="772">
        <v>44907</v>
      </c>
      <c r="J1127" s="868" t="s">
        <v>275</v>
      </c>
      <c r="K1127" s="755" t="str">
        <f t="shared" si="101"/>
        <v>I</v>
      </c>
      <c r="L1127" s="756" t="str">
        <f t="shared" si="102"/>
        <v>G8</v>
      </c>
      <c r="M1127" s="756" t="str">
        <f t="shared" si="103"/>
        <v/>
      </c>
      <c r="N1127" s="757" t="str">
        <f t="shared" si="104"/>
        <v/>
      </c>
      <c r="O1127" s="8">
        <f t="shared" si="106"/>
        <v>46003</v>
      </c>
      <c r="P1127" s="2" t="s">
        <v>39</v>
      </c>
      <c r="Q1127" s="771" t="s">
        <v>1556</v>
      </c>
      <c r="R1127" s="768"/>
      <c r="S1127" s="9" t="str">
        <f t="shared" si="100"/>
        <v/>
      </c>
    </row>
    <row r="1128" spans="1:19" x14ac:dyDescent="0.3">
      <c r="A1128" s="10">
        <v>1124</v>
      </c>
      <c r="B1128" s="774" t="s">
        <v>78</v>
      </c>
      <c r="C1128" s="769" t="s">
        <v>3189</v>
      </c>
      <c r="D1128" s="771" t="s">
        <v>3190</v>
      </c>
      <c r="E1128" s="772">
        <v>28474</v>
      </c>
      <c r="F1128" s="9">
        <f t="shared" ca="1" si="105"/>
        <v>48</v>
      </c>
      <c r="G1128" s="773">
        <v>43825</v>
      </c>
      <c r="H1128" s="771" t="s">
        <v>291</v>
      </c>
      <c r="I1128" s="772">
        <v>44909</v>
      </c>
      <c r="J1128" s="583" t="s">
        <v>271</v>
      </c>
      <c r="K1128" s="755" t="str">
        <f t="shared" si="101"/>
        <v>I</v>
      </c>
      <c r="L1128" s="756" t="str">
        <f t="shared" si="102"/>
        <v>G8</v>
      </c>
      <c r="M1128" s="756" t="str">
        <f t="shared" si="103"/>
        <v>J1</v>
      </c>
      <c r="N1128" s="757" t="str">
        <f t="shared" si="104"/>
        <v/>
      </c>
      <c r="O1128" s="8">
        <f t="shared" si="106"/>
        <v>46005</v>
      </c>
      <c r="P1128" s="2" t="s">
        <v>39</v>
      </c>
      <c r="Q1128" s="771" t="s">
        <v>1556</v>
      </c>
      <c r="R1128" s="770"/>
      <c r="S1128" s="9" t="str">
        <f t="shared" si="100"/>
        <v/>
      </c>
    </row>
    <row r="1129" spans="1:19" x14ac:dyDescent="0.3">
      <c r="A1129" s="10">
        <v>1125</v>
      </c>
      <c r="B1129" s="774" t="s">
        <v>78</v>
      </c>
      <c r="C1129" s="769" t="s">
        <v>3191</v>
      </c>
      <c r="D1129" s="771" t="s">
        <v>3192</v>
      </c>
      <c r="E1129" s="772">
        <v>25905</v>
      </c>
      <c r="F1129" s="9">
        <f t="shared" ca="1" si="105"/>
        <v>55</v>
      </c>
      <c r="G1129" s="773">
        <v>43302</v>
      </c>
      <c r="H1129" s="771" t="s">
        <v>271</v>
      </c>
      <c r="I1129" s="772">
        <v>44901</v>
      </c>
      <c r="J1129" s="583" t="s">
        <v>271</v>
      </c>
      <c r="K1129" s="755" t="str">
        <f t="shared" si="101"/>
        <v>I</v>
      </c>
      <c r="L1129" s="756" t="str">
        <f t="shared" si="102"/>
        <v>G8</v>
      </c>
      <c r="M1129" s="756" t="str">
        <f t="shared" si="103"/>
        <v>J1</v>
      </c>
      <c r="N1129" s="757" t="str">
        <f t="shared" si="104"/>
        <v/>
      </c>
      <c r="O1129" s="8">
        <f t="shared" si="106"/>
        <v>45997</v>
      </c>
      <c r="P1129" s="2" t="s">
        <v>39</v>
      </c>
      <c r="Q1129" s="771" t="s">
        <v>1556</v>
      </c>
      <c r="R1129" s="770"/>
      <c r="S1129" s="9" t="str">
        <f t="shared" si="100"/>
        <v/>
      </c>
    </row>
    <row r="1130" spans="1:19" x14ac:dyDescent="0.3">
      <c r="A1130" s="10">
        <v>1126</v>
      </c>
      <c r="B1130" s="774" t="s">
        <v>78</v>
      </c>
      <c r="C1130" s="769" t="s">
        <v>3193</v>
      </c>
      <c r="D1130" s="771" t="s">
        <v>3194</v>
      </c>
      <c r="E1130" s="772">
        <v>26346</v>
      </c>
      <c r="F1130" s="9">
        <f t="shared" ca="1" si="105"/>
        <v>54</v>
      </c>
      <c r="G1130" s="773">
        <v>44191</v>
      </c>
      <c r="H1130" s="771" t="s">
        <v>275</v>
      </c>
      <c r="I1130" s="772">
        <v>44904</v>
      </c>
      <c r="J1130" s="583" t="s">
        <v>271</v>
      </c>
      <c r="K1130" s="755" t="str">
        <f t="shared" si="101"/>
        <v>I</v>
      </c>
      <c r="L1130" s="756" t="str">
        <f t="shared" si="102"/>
        <v>G8</v>
      </c>
      <c r="M1130" s="756" t="str">
        <f t="shared" si="103"/>
        <v>J1</v>
      </c>
      <c r="N1130" s="757" t="str">
        <f t="shared" si="104"/>
        <v/>
      </c>
      <c r="O1130" s="8">
        <f t="shared" si="106"/>
        <v>46000</v>
      </c>
      <c r="P1130" s="2" t="s">
        <v>39</v>
      </c>
      <c r="Q1130" s="771" t="s">
        <v>1556</v>
      </c>
      <c r="R1130" s="768"/>
      <c r="S1130" s="9" t="str">
        <f t="shared" si="100"/>
        <v/>
      </c>
    </row>
    <row r="1131" spans="1:19" x14ac:dyDescent="0.3">
      <c r="A1131" s="10">
        <v>1127</v>
      </c>
      <c r="B1131" s="774" t="s">
        <v>78</v>
      </c>
      <c r="C1131" s="769" t="s">
        <v>3195</v>
      </c>
      <c r="D1131" s="771" t="s">
        <v>3196</v>
      </c>
      <c r="E1131" s="772">
        <v>22420</v>
      </c>
      <c r="F1131" s="9">
        <f t="shared" ca="1" si="105"/>
        <v>65</v>
      </c>
      <c r="G1131" s="773">
        <v>43318</v>
      </c>
      <c r="H1131" s="771" t="s">
        <v>300</v>
      </c>
      <c r="I1131" s="772">
        <v>44920</v>
      </c>
      <c r="J1131" s="583" t="s">
        <v>8</v>
      </c>
      <c r="K1131" s="755" t="str">
        <f t="shared" si="101"/>
        <v>SI</v>
      </c>
      <c r="L1131" s="756" t="str">
        <f t="shared" si="102"/>
        <v xml:space="preserve">N </v>
      </c>
      <c r="M1131" s="756" t="str">
        <f t="shared" si="103"/>
        <v>RE</v>
      </c>
      <c r="N1131" s="757" t="str">
        <f t="shared" si="104"/>
        <v>GI</v>
      </c>
      <c r="O1131" s="8">
        <f t="shared" si="106"/>
        <v>46016</v>
      </c>
      <c r="P1131" s="2" t="s">
        <v>39</v>
      </c>
      <c r="Q1131" s="771" t="s">
        <v>1556</v>
      </c>
      <c r="R1131" s="768"/>
      <c r="S1131" s="9" t="str">
        <f t="shared" si="100"/>
        <v/>
      </c>
    </row>
    <row r="1132" spans="1:19" x14ac:dyDescent="0.3">
      <c r="A1132" s="10">
        <v>1128</v>
      </c>
      <c r="B1132" s="774" t="s">
        <v>78</v>
      </c>
      <c r="C1132" s="769" t="s">
        <v>3197</v>
      </c>
      <c r="D1132" s="771" t="s">
        <v>3198</v>
      </c>
      <c r="E1132" s="772">
        <v>32248</v>
      </c>
      <c r="F1132" s="9">
        <f t="shared" ca="1" si="105"/>
        <v>38</v>
      </c>
      <c r="G1132" s="773">
        <v>44153</v>
      </c>
      <c r="H1132" s="771" t="s">
        <v>275</v>
      </c>
      <c r="I1132" s="772">
        <v>44916</v>
      </c>
      <c r="J1132" s="583" t="s">
        <v>340</v>
      </c>
      <c r="K1132" s="755" t="str">
        <f t="shared" si="101"/>
        <v>I</v>
      </c>
      <c r="L1132" s="756" t="str">
        <f t="shared" si="102"/>
        <v>G8</v>
      </c>
      <c r="M1132" s="756" t="str">
        <f t="shared" si="103"/>
        <v>S</v>
      </c>
      <c r="N1132" s="757" t="str">
        <f t="shared" si="104"/>
        <v/>
      </c>
      <c r="O1132" s="8">
        <f t="shared" si="106"/>
        <v>45281</v>
      </c>
      <c r="P1132" s="2" t="s">
        <v>39</v>
      </c>
      <c r="Q1132" s="771" t="s">
        <v>1556</v>
      </c>
      <c r="R1132" s="768"/>
      <c r="S1132" s="9" t="str">
        <f t="shared" si="100"/>
        <v/>
      </c>
    </row>
    <row r="1133" spans="1:19" x14ac:dyDescent="0.3">
      <c r="A1133" s="10">
        <v>1129</v>
      </c>
      <c r="B1133" s="774" t="s">
        <v>78</v>
      </c>
      <c r="C1133" s="769" t="s">
        <v>3199</v>
      </c>
      <c r="D1133" s="867" t="s">
        <v>3200</v>
      </c>
      <c r="E1133" s="772">
        <v>28300</v>
      </c>
      <c r="F1133" s="9">
        <f t="shared" ca="1" si="105"/>
        <v>49</v>
      </c>
      <c r="G1133" s="773">
        <v>43198</v>
      </c>
      <c r="H1133" s="771" t="s">
        <v>275</v>
      </c>
      <c r="I1133" s="772">
        <v>44905</v>
      </c>
      <c r="J1133" s="583" t="s">
        <v>8</v>
      </c>
      <c r="K1133" s="755" t="str">
        <f t="shared" si="101"/>
        <v>SI</v>
      </c>
      <c r="L1133" s="756" t="str">
        <f t="shared" si="102"/>
        <v xml:space="preserve">N </v>
      </c>
      <c r="M1133" s="756" t="str">
        <f t="shared" si="103"/>
        <v>RE</v>
      </c>
      <c r="N1133" s="757" t="str">
        <f t="shared" si="104"/>
        <v>GI</v>
      </c>
      <c r="O1133" s="8">
        <f t="shared" si="106"/>
        <v>46001</v>
      </c>
      <c r="P1133" s="2" t="s">
        <v>39</v>
      </c>
      <c r="Q1133" s="771" t="s">
        <v>1556</v>
      </c>
      <c r="R1133" s="768"/>
      <c r="S1133" s="9" t="str">
        <f t="shared" si="100"/>
        <v/>
      </c>
    </row>
    <row r="1134" spans="1:19" x14ac:dyDescent="0.3">
      <c r="A1134" s="10">
        <v>1130</v>
      </c>
      <c r="B1134" s="774" t="s">
        <v>78</v>
      </c>
      <c r="C1134" s="769" t="s">
        <v>3201</v>
      </c>
      <c r="D1134" s="771" t="s">
        <v>3202</v>
      </c>
      <c r="E1134" s="772">
        <v>24973</v>
      </c>
      <c r="F1134" s="9">
        <f t="shared" ca="1" si="105"/>
        <v>58</v>
      </c>
      <c r="G1134" s="773">
        <v>43293</v>
      </c>
      <c r="H1134" s="771" t="s">
        <v>275</v>
      </c>
      <c r="I1134" s="772">
        <v>44925</v>
      </c>
      <c r="J1134" s="583" t="s">
        <v>735</v>
      </c>
      <c r="K1134" s="755" t="str">
        <f t="shared" si="101"/>
        <v>G3</v>
      </c>
      <c r="L1134" s="756" t="str">
        <f t="shared" si="102"/>
        <v>O5</v>
      </c>
      <c r="M1134" s="756" t="str">
        <f t="shared" si="103"/>
        <v/>
      </c>
      <c r="N1134" s="757" t="str">
        <f t="shared" si="104"/>
        <v/>
      </c>
      <c r="O1134" s="8">
        <f t="shared" si="106"/>
        <v>45015</v>
      </c>
      <c r="P1134" s="2" t="s">
        <v>39</v>
      </c>
      <c r="Q1134" s="771" t="s">
        <v>1556</v>
      </c>
      <c r="R1134" s="768"/>
      <c r="S1134" s="9" t="str">
        <f t="shared" si="100"/>
        <v/>
      </c>
    </row>
    <row r="1135" spans="1:19" x14ac:dyDescent="0.3">
      <c r="A1135" s="10">
        <v>1131</v>
      </c>
      <c r="B1135" s="774" t="s">
        <v>78</v>
      </c>
      <c r="C1135" s="769" t="s">
        <v>3203</v>
      </c>
      <c r="D1135" s="771" t="s">
        <v>3204</v>
      </c>
      <c r="E1135" s="772">
        <v>31691</v>
      </c>
      <c r="F1135" s="9">
        <f t="shared" ca="1" si="105"/>
        <v>39</v>
      </c>
      <c r="G1135" s="773">
        <v>43397</v>
      </c>
      <c r="H1135" s="771" t="s">
        <v>271</v>
      </c>
      <c r="I1135" s="772">
        <v>44925</v>
      </c>
      <c r="J1135" s="583" t="s">
        <v>275</v>
      </c>
      <c r="K1135" s="755" t="str">
        <f t="shared" si="101"/>
        <v>I</v>
      </c>
      <c r="L1135" s="756" t="str">
        <f t="shared" si="102"/>
        <v>G8</v>
      </c>
      <c r="M1135" s="756" t="str">
        <f t="shared" si="103"/>
        <v/>
      </c>
      <c r="N1135" s="757" t="str">
        <f t="shared" si="104"/>
        <v/>
      </c>
      <c r="O1135" s="8">
        <f t="shared" si="106"/>
        <v>46021</v>
      </c>
      <c r="P1135" s="2" t="s">
        <v>39</v>
      </c>
      <c r="Q1135" s="771" t="s">
        <v>1556</v>
      </c>
      <c r="R1135" s="770" t="s">
        <v>2024</v>
      </c>
      <c r="S1135" s="9" t="str">
        <f t="shared" si="100"/>
        <v/>
      </c>
    </row>
    <row r="1136" spans="1:19" x14ac:dyDescent="0.3">
      <c r="A1136" s="10">
        <v>1132</v>
      </c>
      <c r="B1136" s="774" t="s">
        <v>78</v>
      </c>
      <c r="C1136" s="769" t="s">
        <v>3205</v>
      </c>
      <c r="D1136" s="771" t="s">
        <v>3206</v>
      </c>
      <c r="E1136" s="772">
        <v>32084</v>
      </c>
      <c r="F1136" s="9">
        <f t="shared" ca="1" si="105"/>
        <v>38</v>
      </c>
      <c r="G1136" s="773">
        <v>44362</v>
      </c>
      <c r="H1136" s="771" t="s">
        <v>340</v>
      </c>
      <c r="I1136" s="772">
        <v>44903</v>
      </c>
      <c r="J1136" s="583" t="s">
        <v>275</v>
      </c>
      <c r="K1136" s="755" t="str">
        <f t="shared" si="101"/>
        <v>I</v>
      </c>
      <c r="L1136" s="756" t="str">
        <f t="shared" si="102"/>
        <v>G8</v>
      </c>
      <c r="M1136" s="756" t="str">
        <f t="shared" si="103"/>
        <v/>
      </c>
      <c r="N1136" s="757" t="str">
        <f t="shared" si="104"/>
        <v/>
      </c>
      <c r="O1136" s="8">
        <f t="shared" si="106"/>
        <v>45999</v>
      </c>
      <c r="P1136" s="2" t="s">
        <v>39</v>
      </c>
      <c r="Q1136" s="771" t="s">
        <v>1556</v>
      </c>
      <c r="R1136" s="768"/>
      <c r="S1136" s="9" t="str">
        <f t="shared" si="100"/>
        <v/>
      </c>
    </row>
    <row r="1137" spans="1:19" x14ac:dyDescent="0.3">
      <c r="A1137" s="10">
        <v>1133</v>
      </c>
      <c r="B1137" s="774" t="s">
        <v>78</v>
      </c>
      <c r="C1137" s="769" t="s">
        <v>3207</v>
      </c>
      <c r="D1137" s="771" t="s">
        <v>3208</v>
      </c>
      <c r="E1137" s="772">
        <v>31640</v>
      </c>
      <c r="F1137" s="9">
        <f t="shared" ca="1" si="105"/>
        <v>40</v>
      </c>
      <c r="G1137" s="773">
        <v>44181</v>
      </c>
      <c r="H1137" s="771" t="s">
        <v>271</v>
      </c>
      <c r="I1137" s="772">
        <v>44919</v>
      </c>
      <c r="J1137" s="583" t="s">
        <v>275</v>
      </c>
      <c r="K1137" s="755" t="str">
        <f t="shared" si="101"/>
        <v>I</v>
      </c>
      <c r="L1137" s="756" t="str">
        <f t="shared" si="102"/>
        <v>G8</v>
      </c>
      <c r="M1137" s="756" t="str">
        <f t="shared" si="103"/>
        <v/>
      </c>
      <c r="N1137" s="757" t="str">
        <f t="shared" si="104"/>
        <v/>
      </c>
      <c r="O1137" s="8">
        <f t="shared" si="106"/>
        <v>46015</v>
      </c>
      <c r="P1137" s="2" t="s">
        <v>39</v>
      </c>
      <c r="Q1137" s="771" t="s">
        <v>1556</v>
      </c>
      <c r="R1137" s="770"/>
      <c r="S1137" s="9" t="str">
        <f t="shared" si="100"/>
        <v/>
      </c>
    </row>
    <row r="1138" spans="1:19" x14ac:dyDescent="0.3">
      <c r="A1138" s="10">
        <v>1134</v>
      </c>
      <c r="B1138" s="774" t="s">
        <v>78</v>
      </c>
      <c r="C1138" s="769" t="s">
        <v>3209</v>
      </c>
      <c r="D1138" s="771" t="s">
        <v>3210</v>
      </c>
      <c r="E1138" s="772">
        <v>31217</v>
      </c>
      <c r="F1138" s="9">
        <f t="shared" ca="1" si="105"/>
        <v>41</v>
      </c>
      <c r="G1138" s="773">
        <v>44124</v>
      </c>
      <c r="H1138" s="771" t="s">
        <v>275</v>
      </c>
      <c r="I1138" s="772">
        <v>44903</v>
      </c>
      <c r="J1138" s="583" t="s">
        <v>275</v>
      </c>
      <c r="K1138" s="755" t="str">
        <f t="shared" si="101"/>
        <v>I</v>
      </c>
      <c r="L1138" s="756" t="str">
        <f t="shared" si="102"/>
        <v>G8</v>
      </c>
      <c r="M1138" s="756" t="str">
        <f t="shared" si="103"/>
        <v/>
      </c>
      <c r="N1138" s="757" t="str">
        <f t="shared" si="104"/>
        <v/>
      </c>
      <c r="O1138" s="8">
        <f t="shared" si="106"/>
        <v>45999</v>
      </c>
      <c r="P1138" s="2" t="s">
        <v>39</v>
      </c>
      <c r="Q1138" s="771" t="s">
        <v>1556</v>
      </c>
      <c r="R1138" s="770"/>
      <c r="S1138" s="9" t="str">
        <f t="shared" si="100"/>
        <v/>
      </c>
    </row>
    <row r="1139" spans="1:19" x14ac:dyDescent="0.3">
      <c r="A1139" s="10">
        <v>1135</v>
      </c>
      <c r="B1139" s="774" t="s">
        <v>78</v>
      </c>
      <c r="C1139" s="769" t="s">
        <v>3211</v>
      </c>
      <c r="D1139" s="771" t="s">
        <v>3212</v>
      </c>
      <c r="E1139" s="772">
        <v>29295</v>
      </c>
      <c r="F1139" s="9">
        <f t="shared" ca="1" si="105"/>
        <v>46</v>
      </c>
      <c r="G1139" s="773">
        <v>43327</v>
      </c>
      <c r="H1139" s="771" t="s">
        <v>271</v>
      </c>
      <c r="I1139" s="772">
        <v>44904</v>
      </c>
      <c r="J1139" s="583" t="s">
        <v>275</v>
      </c>
      <c r="K1139" s="755" t="str">
        <f t="shared" si="101"/>
        <v>I</v>
      </c>
      <c r="L1139" s="756" t="str">
        <f t="shared" si="102"/>
        <v>G8</v>
      </c>
      <c r="M1139" s="756" t="str">
        <f t="shared" si="103"/>
        <v/>
      </c>
      <c r="N1139" s="757" t="str">
        <f t="shared" si="104"/>
        <v/>
      </c>
      <c r="O1139" s="8">
        <f t="shared" si="106"/>
        <v>46000</v>
      </c>
      <c r="P1139" s="2" t="s">
        <v>39</v>
      </c>
      <c r="Q1139" s="771" t="s">
        <v>1556</v>
      </c>
      <c r="R1139" s="770"/>
      <c r="S1139" s="9" t="str">
        <f t="shared" si="100"/>
        <v/>
      </c>
    </row>
    <row r="1140" spans="1:19" x14ac:dyDescent="0.3">
      <c r="A1140" s="10">
        <v>1136</v>
      </c>
      <c r="B1140" s="774" t="s">
        <v>78</v>
      </c>
      <c r="C1140" s="769" t="s">
        <v>3213</v>
      </c>
      <c r="D1140" s="771" t="s">
        <v>3214</v>
      </c>
      <c r="E1140" s="772">
        <v>25092</v>
      </c>
      <c r="F1140" s="9">
        <f t="shared" ca="1" si="105"/>
        <v>58</v>
      </c>
      <c r="G1140" s="773">
        <v>44589</v>
      </c>
      <c r="H1140" s="771" t="s">
        <v>624</v>
      </c>
      <c r="I1140" s="772">
        <v>44923</v>
      </c>
      <c r="J1140" s="583" t="s">
        <v>275</v>
      </c>
      <c r="K1140" s="755" t="str">
        <f t="shared" si="101"/>
        <v>I</v>
      </c>
      <c r="L1140" s="756" t="str">
        <f t="shared" si="102"/>
        <v>G8</v>
      </c>
      <c r="M1140" s="756" t="str">
        <f t="shared" si="103"/>
        <v/>
      </c>
      <c r="N1140" s="757" t="str">
        <f t="shared" si="104"/>
        <v/>
      </c>
      <c r="O1140" s="8">
        <f t="shared" si="106"/>
        <v>46019</v>
      </c>
      <c r="P1140" s="2" t="s">
        <v>39</v>
      </c>
      <c r="Q1140" s="771" t="s">
        <v>1556</v>
      </c>
      <c r="R1140" s="768"/>
      <c r="S1140" s="9" t="str">
        <f t="shared" si="100"/>
        <v/>
      </c>
    </row>
    <row r="1141" spans="1:19" x14ac:dyDescent="0.3">
      <c r="A1141" s="10">
        <v>1137</v>
      </c>
      <c r="B1141" s="774" t="s">
        <v>78</v>
      </c>
      <c r="C1141" s="769" t="s">
        <v>3215</v>
      </c>
      <c r="D1141" s="771" t="s">
        <v>3216</v>
      </c>
      <c r="E1141" s="772">
        <v>29720</v>
      </c>
      <c r="F1141" s="9">
        <f t="shared" ca="1" si="105"/>
        <v>45</v>
      </c>
      <c r="G1141" s="771" t="s">
        <v>8</v>
      </c>
      <c r="H1141" s="771" t="s">
        <v>8</v>
      </c>
      <c r="I1141" s="772">
        <v>44903</v>
      </c>
      <c r="J1141" s="583" t="s">
        <v>275</v>
      </c>
      <c r="K1141" s="755" t="str">
        <f t="shared" si="101"/>
        <v>I</v>
      </c>
      <c r="L1141" s="756" t="str">
        <f t="shared" si="102"/>
        <v>G8</v>
      </c>
      <c r="M1141" s="756" t="str">
        <f t="shared" si="103"/>
        <v/>
      </c>
      <c r="N1141" s="757" t="str">
        <f t="shared" si="104"/>
        <v/>
      </c>
      <c r="O1141" s="8">
        <f t="shared" si="106"/>
        <v>45999</v>
      </c>
      <c r="P1141" s="2" t="s">
        <v>39</v>
      </c>
      <c r="Q1141" s="771" t="s">
        <v>1556</v>
      </c>
      <c r="R1141" s="768"/>
      <c r="S1141" s="9" t="str">
        <f t="shared" si="100"/>
        <v/>
      </c>
    </row>
    <row r="1142" spans="1:19" x14ac:dyDescent="0.3">
      <c r="A1142" s="10">
        <v>1138</v>
      </c>
      <c r="B1142" s="774" t="s">
        <v>78</v>
      </c>
      <c r="C1142" s="769" t="s">
        <v>3217</v>
      </c>
      <c r="D1142" s="771" t="s">
        <v>3218</v>
      </c>
      <c r="E1142" s="772">
        <v>31331</v>
      </c>
      <c r="F1142" s="9">
        <f t="shared" ca="1" si="105"/>
        <v>40</v>
      </c>
      <c r="G1142" s="771" t="s">
        <v>8</v>
      </c>
      <c r="H1142" s="771" t="s">
        <v>8</v>
      </c>
      <c r="I1142" s="772">
        <v>44912</v>
      </c>
      <c r="J1142" s="583" t="s">
        <v>271</v>
      </c>
      <c r="K1142" s="755" t="str">
        <f t="shared" si="101"/>
        <v>I</v>
      </c>
      <c r="L1142" s="756" t="str">
        <f t="shared" si="102"/>
        <v>G8</v>
      </c>
      <c r="M1142" s="756" t="str">
        <f t="shared" si="103"/>
        <v>J1</v>
      </c>
      <c r="N1142" s="757" t="str">
        <f t="shared" si="104"/>
        <v/>
      </c>
      <c r="O1142" s="8">
        <f t="shared" si="106"/>
        <v>46008</v>
      </c>
      <c r="P1142" s="2" t="s">
        <v>39</v>
      </c>
      <c r="Q1142" s="771" t="s">
        <v>1556</v>
      </c>
      <c r="R1142" s="768"/>
      <c r="S1142" s="9" t="str">
        <f t="shared" si="100"/>
        <v/>
      </c>
    </row>
    <row r="1143" spans="1:19" x14ac:dyDescent="0.3">
      <c r="A1143" s="10">
        <v>1139</v>
      </c>
      <c r="B1143" s="774" t="s">
        <v>78</v>
      </c>
      <c r="C1143" s="769" t="s">
        <v>3219</v>
      </c>
      <c r="D1143" s="771" t="s">
        <v>3220</v>
      </c>
      <c r="E1143" s="772">
        <v>25946</v>
      </c>
      <c r="F1143" s="9">
        <f t="shared" ca="1" si="105"/>
        <v>55</v>
      </c>
      <c r="G1143" s="773">
        <v>44318</v>
      </c>
      <c r="H1143" s="771" t="s">
        <v>275</v>
      </c>
      <c r="I1143" s="772">
        <v>44898</v>
      </c>
      <c r="J1143" s="583" t="s">
        <v>271</v>
      </c>
      <c r="K1143" s="755" t="str">
        <f t="shared" si="101"/>
        <v>I</v>
      </c>
      <c r="L1143" s="756" t="str">
        <f t="shared" si="102"/>
        <v>G8</v>
      </c>
      <c r="M1143" s="756" t="str">
        <f t="shared" si="103"/>
        <v>J1</v>
      </c>
      <c r="N1143" s="757" t="str">
        <f t="shared" si="104"/>
        <v/>
      </c>
      <c r="O1143" s="8">
        <f t="shared" si="106"/>
        <v>45994</v>
      </c>
      <c r="P1143" s="2" t="s">
        <v>39</v>
      </c>
      <c r="Q1143" s="771" t="s">
        <v>1556</v>
      </c>
      <c r="R1143" s="770"/>
      <c r="S1143" s="9" t="str">
        <f t="shared" si="100"/>
        <v/>
      </c>
    </row>
    <row r="1144" spans="1:19" x14ac:dyDescent="0.3">
      <c r="A1144" s="10">
        <v>1140</v>
      </c>
      <c r="B1144" s="781" t="s">
        <v>56</v>
      </c>
      <c r="C1144" s="777" t="s">
        <v>3221</v>
      </c>
      <c r="D1144" s="778" t="s">
        <v>3222</v>
      </c>
      <c r="E1144" s="779">
        <v>27274</v>
      </c>
      <c r="F1144" s="9">
        <f t="shared" ca="1" si="105"/>
        <v>52</v>
      </c>
      <c r="G1144" s="780">
        <v>43569</v>
      </c>
      <c r="H1144" s="778" t="s">
        <v>275</v>
      </c>
      <c r="I1144" s="779">
        <v>44904</v>
      </c>
      <c r="J1144" s="877" t="s">
        <v>291</v>
      </c>
      <c r="K1144" s="755" t="str">
        <f t="shared" ref="K1144:K1185" si="107">IF(OR(LEFT(J1144,2)="T1",LEFT(J1144,2)="T2",LEFT(J1144,2)="A1",LEFT(J1144,2)="D0",LEFT(J1144,2)="D1",LEFT(J1144,2)="D2",LEFT(J1144,2)="D3",LEFT(J1144,2)="E1",LEFT(J1144,2)="E2"),LEFT(J1144,2),IF(OR(LEFT(J1144,1)="A",LEFT(J1144,1)="B",LEFT(J1144,1)="C",LEFT(J1144,1)="D",LEFT(J1144,1)="I",LEFT(J1144,1)="E",LEFT(J1144,1)="K",LEFT(J1144,1)="T"),LEFT(J1144,1),LEFT(J1144,2)))</f>
        <v>I</v>
      </c>
      <c r="L1144" s="756" t="str">
        <f t="shared" ref="L1144:L1185" si="108">IF(AND(OR(LEFT(J1144,2)="A1",LEFT(J1144,2)="D0",LEFT(J1144,2)="D1",LEFT(J1144,2)="D2",LEFT(J1144,2)="D3",LEFT(J1144,2)="E1",LEFT(J1144,2)="E2",LEFT(J1144,2)="T1",LEFT(J1144,2)="T2"),OR(MID(J1144,3,1)="A",MID(J1144,3,1)="B",MID(J1144,3,1)="C",MID(J1144,3,1)="D",MID(J1144,3,1)="E",MID(J1144,3,1)="I",MID(J1144,3,1)="K",MID(J1144,3,1)="T",MID(J1144,3,1)="N",)),MID(J1144,3,1),IF(OR(LEFT(J1144,2)="A1",LEFT(J1144,2)="D0",LEFT(J1144,2)="D1",LEFT(J1144,2)="D2",LEFT(J1144,2)="D3",LEFT(J1144,2)="E1",LEFT(J1144,2)="E2",LEFT(J1144,2)="T1",LEFT(J1144,2)="T2"),MID(J1144,3,2),IF(AND(OR(LEFT(J1144,1)="A",LEFT(J1144,1)="B",LEFT(J1144,1)="C",LEFT(J1144,1)="D",LEFT(J1144,1)="E",LEFT(J1144,1)="I",LEFT(J1144,1)="K",LEFT(J1144,1)="T",LEFT(J1144,1)="N"),OR(MID(J1144,2,1)="A",MID(J1144,2,1)="B",MID(J1144,2,1)="C",MID(J1144,2,1)="D",MID(J1144,2,1)="E",MID(J1144,2,1)="I",MID(J1144,2,1)="K",MID(J1144,2,1)="T",MID(J1144,2,1)="N")),MID(J1144,2,2),IF(OR(LEFT(J1144,1)="A",LEFT(J1144,1)="B",LEFT(J1144,1)="C",LEFT(J1144,1)="D",LEFT(J1144,1)="E",LEFT(J1144,1)="I",LEFT(J1144,1)="K",LEFT(J1144,1)="T",LEFT(J1144,1)="N"),MID(J1144,2,2),MID(J1144,3,2)))))</f>
        <v>G8</v>
      </c>
      <c r="M1144" s="756" t="str">
        <f t="shared" ref="M1144:M1185" si="109">IF(AND(OR(LEFT(J1144,2)="A1",LEFT(J1144,2)="D0",LEFT(J1144,2)="D1",LEFT(J1144,2)="D2",LEFT(J1144,2)="D3",LEFT(J1144,2)="E1",LEFT(J1144,2)="E2",LEFT(J1144,2)="T1",LEFT(J1144,2)="T2"),OR(MID(J1144,3,1)="A",MID(J1144,3,1)="B",MID(J1144,3,1)="C",MID(J1144,3,1)="D",MID(J1144,3,1)="E",MID(J1144,3,1)="I",MID(J1144,3,1)="K",MID(J1144,3,1)="T",MID(J1144,3,1)="N",)),MID(J1144,4,2),IF(OR(LEFT(J1144,2)="A1",LEFT(J1144,2)="D0",LEFT(J1144,2)="D1",LEFT(J1144,2)="D2",LEFT(J1144,2)="D3",LEFT(J1144,2)="E1",LEFT(J1144,2)="E2",LEFT(J1144,2)="T1",LEFT(J1144,2)="T2"),MID(J1144,5,2),IF(AND(OR(LEFT(J1144,1)="A",LEFT(J1144,1)="B",LEFT(J1144,1)="C",LEFT(J1144,1)="D",LEFT(J1144,1)="E",LEFT(J1144,1)="I",LEFT(J1144,1)="K",LEFT(J1144,1)="T",LEFT(J1144,1)="N"),OR(MID(J1144,2,1)="A",MID(J1144,2,1)="B",MID(J1144,2,1)="C",MID(J1144,2,1)="D",MID(J1144,2,1)="E",MID(J1144,2,1)="I",MID(J1144,2,1)="K",MID(J1144,2,1)="T",MID(J1144,2,1)="N")),MID(J1144,3,2),IF(OR(LEFT(J1144,1)="A",LEFT(J1144,1)="B",LEFT(J1144,1)="C",LEFT(J1144,1)="D",LEFT(J1144,1)="E",LEFT(J1144,1)="I",LEFT(J1144,1)="K",LEFT(J1144,1)="T",LEFT(J1144,1)="N"),MID(J1144,4,2),MID(J1144,5,2)))))</f>
        <v>J5</v>
      </c>
      <c r="N1144" s="757" t="str">
        <f t="shared" ref="N1144:N1185" si="110">IF(AND(OR(LEFT(J1144,1)="I",LEFT(J1144,1)="T",LEFT(J1144,1)="A",LEFT(J1144,1)="B",LEFT(J1144,1)="C",LEFT(J1144,1)="D",LEFT(J1144,1)="E"),OR(MID(J1144,2,1)="I",MID(J1144,2,1)="T",MID(J1144,2,1)="A",MID(J1144,2,1)="B",MID(J1144,2,1)="C",MID(J1144,2,1)="D",MID(J1144,2,1)="E")),MID(J1144,5,2),IF(OR(LEFT(J1144,1)="I",LEFT(J1144,1)="T",LEFT(J1144,1)="A",LEFT(J1144,1)="B",LEFT(J1144,1)="C",LEFT(J1144,1)="D",LEFT(J1144,1)="E"),MID(J1144,6,2),MID(J1144,7,2)))</f>
        <v/>
      </c>
      <c r="O1144" s="8">
        <f t="shared" si="106"/>
        <v>46000</v>
      </c>
      <c r="P1144" s="2" t="s">
        <v>39</v>
      </c>
      <c r="Q1144" s="778" t="s">
        <v>1556</v>
      </c>
      <c r="R1144" s="776"/>
      <c r="S1144" s="9" t="str">
        <f t="shared" si="100"/>
        <v>CANDIDA</v>
      </c>
    </row>
    <row r="1145" spans="1:19" x14ac:dyDescent="0.3">
      <c r="A1145" s="10">
        <v>1141</v>
      </c>
      <c r="B1145" s="781" t="s">
        <v>78</v>
      </c>
      <c r="C1145" s="777" t="s">
        <v>3223</v>
      </c>
      <c r="D1145" s="778" t="s">
        <v>3224</v>
      </c>
      <c r="E1145" s="779">
        <v>34739</v>
      </c>
      <c r="F1145" s="9">
        <f t="shared" ca="1" si="105"/>
        <v>31</v>
      </c>
      <c r="G1145" s="780">
        <v>44121</v>
      </c>
      <c r="H1145" s="778" t="s">
        <v>275</v>
      </c>
      <c r="I1145" s="779">
        <v>44916</v>
      </c>
      <c r="J1145" s="583" t="s">
        <v>735</v>
      </c>
      <c r="K1145" s="755" t="str">
        <f t="shared" si="107"/>
        <v>G3</v>
      </c>
      <c r="L1145" s="756" t="str">
        <f t="shared" si="108"/>
        <v>O5</v>
      </c>
      <c r="M1145" s="756" t="str">
        <f t="shared" si="109"/>
        <v/>
      </c>
      <c r="N1145" s="757" t="str">
        <f t="shared" si="110"/>
        <v/>
      </c>
      <c r="O1145" s="8">
        <f t="shared" si="106"/>
        <v>45006</v>
      </c>
      <c r="P1145" s="2" t="s">
        <v>39</v>
      </c>
      <c r="Q1145" s="778" t="s">
        <v>1556</v>
      </c>
      <c r="R1145" s="776"/>
      <c r="S1145" s="9" t="str">
        <f t="shared" si="100"/>
        <v/>
      </c>
    </row>
    <row r="1146" spans="1:19" x14ac:dyDescent="0.3">
      <c r="A1146" s="10">
        <v>1142</v>
      </c>
      <c r="B1146" s="781" t="s">
        <v>78</v>
      </c>
      <c r="C1146" s="777" t="s">
        <v>3225</v>
      </c>
      <c r="D1146" s="778" t="s">
        <v>3226</v>
      </c>
      <c r="E1146" s="779">
        <v>27034</v>
      </c>
      <c r="F1146" s="9">
        <f t="shared" ca="1" si="105"/>
        <v>52</v>
      </c>
      <c r="G1146" s="780">
        <v>44078</v>
      </c>
      <c r="H1146" s="778" t="s">
        <v>8</v>
      </c>
      <c r="I1146" s="779">
        <v>44916</v>
      </c>
      <c r="J1146" s="583" t="s">
        <v>271</v>
      </c>
      <c r="K1146" s="755" t="str">
        <f t="shared" si="107"/>
        <v>I</v>
      </c>
      <c r="L1146" s="756" t="str">
        <f t="shared" si="108"/>
        <v>G8</v>
      </c>
      <c r="M1146" s="756" t="str">
        <f t="shared" si="109"/>
        <v>J1</v>
      </c>
      <c r="N1146" s="757" t="str">
        <f t="shared" si="110"/>
        <v/>
      </c>
      <c r="O1146" s="8">
        <f t="shared" si="106"/>
        <v>46012</v>
      </c>
      <c r="P1146" s="2" t="s">
        <v>39</v>
      </c>
      <c r="Q1146" s="778" t="s">
        <v>1556</v>
      </c>
      <c r="R1146" s="776"/>
      <c r="S1146" s="9" t="str">
        <f t="shared" si="100"/>
        <v/>
      </c>
    </row>
    <row r="1147" spans="1:19" x14ac:dyDescent="0.3">
      <c r="A1147" s="10">
        <v>1143</v>
      </c>
      <c r="B1147" s="781" t="s">
        <v>78</v>
      </c>
      <c r="C1147" s="777" t="s">
        <v>3227</v>
      </c>
      <c r="D1147" s="778" t="s">
        <v>3228</v>
      </c>
      <c r="E1147" s="779">
        <v>25747</v>
      </c>
      <c r="F1147" s="9">
        <f t="shared" ca="1" si="105"/>
        <v>56</v>
      </c>
      <c r="G1147" s="780">
        <v>43954</v>
      </c>
      <c r="H1147" s="778" t="s">
        <v>8</v>
      </c>
      <c r="I1147" s="779">
        <v>44923</v>
      </c>
      <c r="J1147" s="583" t="s">
        <v>291</v>
      </c>
      <c r="K1147" s="755" t="str">
        <f t="shared" si="107"/>
        <v>I</v>
      </c>
      <c r="L1147" s="756" t="str">
        <f t="shared" si="108"/>
        <v>G8</v>
      </c>
      <c r="M1147" s="756" t="str">
        <f t="shared" si="109"/>
        <v>J5</v>
      </c>
      <c r="N1147" s="757" t="str">
        <f t="shared" si="110"/>
        <v/>
      </c>
      <c r="O1147" s="8">
        <f t="shared" si="106"/>
        <v>46019</v>
      </c>
      <c r="P1147" s="2" t="s">
        <v>39</v>
      </c>
      <c r="Q1147" s="778" t="s">
        <v>1556</v>
      </c>
      <c r="R1147" s="775"/>
      <c r="S1147" s="9" t="str">
        <f t="shared" si="100"/>
        <v>CANDIDA</v>
      </c>
    </row>
    <row r="1148" spans="1:19" x14ac:dyDescent="0.3">
      <c r="A1148" s="10">
        <v>1144</v>
      </c>
      <c r="B1148" s="781" t="s">
        <v>78</v>
      </c>
      <c r="C1148" s="777" t="s">
        <v>3229</v>
      </c>
      <c r="D1148" s="778" t="s">
        <v>3230</v>
      </c>
      <c r="E1148" s="779">
        <v>34121</v>
      </c>
      <c r="F1148" s="9">
        <f t="shared" ca="1" si="105"/>
        <v>33</v>
      </c>
      <c r="G1148" s="780">
        <v>44045</v>
      </c>
      <c r="H1148" s="778" t="s">
        <v>594</v>
      </c>
      <c r="I1148" s="779">
        <v>44901</v>
      </c>
      <c r="J1148" s="583" t="s">
        <v>275</v>
      </c>
      <c r="K1148" s="755" t="str">
        <f t="shared" si="107"/>
        <v>I</v>
      </c>
      <c r="L1148" s="756" t="str">
        <f t="shared" si="108"/>
        <v>G8</v>
      </c>
      <c r="M1148" s="756" t="str">
        <f t="shared" si="109"/>
        <v/>
      </c>
      <c r="N1148" s="757" t="str">
        <f t="shared" si="110"/>
        <v/>
      </c>
      <c r="O1148" s="8">
        <f t="shared" si="106"/>
        <v>45997</v>
      </c>
      <c r="P1148" s="2" t="s">
        <v>39</v>
      </c>
      <c r="Q1148" s="778" t="s">
        <v>1556</v>
      </c>
      <c r="R1148" s="776"/>
      <c r="S1148" s="9" t="str">
        <f t="shared" si="100"/>
        <v/>
      </c>
    </row>
    <row r="1149" spans="1:19" x14ac:dyDescent="0.3">
      <c r="A1149" s="10">
        <v>1145</v>
      </c>
      <c r="B1149" s="781" t="s">
        <v>78</v>
      </c>
      <c r="C1149" s="777" t="s">
        <v>3231</v>
      </c>
      <c r="D1149" s="778" t="s">
        <v>3232</v>
      </c>
      <c r="E1149" s="779">
        <v>27322</v>
      </c>
      <c r="F1149" s="9">
        <f t="shared" ca="1" si="105"/>
        <v>51</v>
      </c>
      <c r="G1149" s="780">
        <v>43794</v>
      </c>
      <c r="H1149" s="778" t="s">
        <v>735</v>
      </c>
      <c r="I1149" s="779">
        <v>44908</v>
      </c>
      <c r="J1149" s="583" t="s">
        <v>271</v>
      </c>
      <c r="K1149" s="755" t="str">
        <f t="shared" si="107"/>
        <v>I</v>
      </c>
      <c r="L1149" s="756" t="str">
        <f t="shared" si="108"/>
        <v>G8</v>
      </c>
      <c r="M1149" s="756" t="str">
        <f t="shared" si="109"/>
        <v>J1</v>
      </c>
      <c r="N1149" s="757" t="str">
        <f t="shared" si="110"/>
        <v/>
      </c>
      <c r="O1149" s="8">
        <f t="shared" si="106"/>
        <v>46004</v>
      </c>
      <c r="P1149" s="2" t="s">
        <v>39</v>
      </c>
      <c r="Q1149" s="778" t="s">
        <v>1556</v>
      </c>
      <c r="R1149" s="776"/>
      <c r="S1149" s="9" t="str">
        <f t="shared" si="100"/>
        <v/>
      </c>
    </row>
    <row r="1150" spans="1:19" x14ac:dyDescent="0.3">
      <c r="A1150" s="10">
        <v>1146</v>
      </c>
      <c r="B1150" s="781" t="s">
        <v>78</v>
      </c>
      <c r="C1150" s="777" t="s">
        <v>3233</v>
      </c>
      <c r="D1150" s="778" t="s">
        <v>3234</v>
      </c>
      <c r="E1150" s="779">
        <v>28547</v>
      </c>
      <c r="F1150" s="9">
        <f t="shared" ca="1" si="105"/>
        <v>48</v>
      </c>
      <c r="G1150" s="780">
        <v>43511</v>
      </c>
      <c r="H1150" s="778" t="s">
        <v>271</v>
      </c>
      <c r="I1150" s="779">
        <v>44901</v>
      </c>
      <c r="J1150" s="583" t="s">
        <v>275</v>
      </c>
      <c r="K1150" s="755" t="str">
        <f t="shared" si="107"/>
        <v>I</v>
      </c>
      <c r="L1150" s="756" t="str">
        <f t="shared" si="108"/>
        <v>G8</v>
      </c>
      <c r="M1150" s="756" t="str">
        <f t="shared" si="109"/>
        <v/>
      </c>
      <c r="N1150" s="757" t="str">
        <f t="shared" si="110"/>
        <v/>
      </c>
      <c r="O1150" s="8">
        <f t="shared" si="106"/>
        <v>45997</v>
      </c>
      <c r="P1150" s="2" t="s">
        <v>39</v>
      </c>
      <c r="Q1150" s="778" t="s">
        <v>1556</v>
      </c>
      <c r="R1150" s="775"/>
      <c r="S1150" s="9" t="str">
        <f t="shared" si="100"/>
        <v/>
      </c>
    </row>
    <row r="1151" spans="1:19" x14ac:dyDescent="0.3">
      <c r="A1151" s="10">
        <v>1147</v>
      </c>
      <c r="B1151" s="781" t="s">
        <v>78</v>
      </c>
      <c r="C1151" s="777" t="s">
        <v>3235</v>
      </c>
      <c r="D1151" s="778" t="s">
        <v>3236</v>
      </c>
      <c r="E1151" s="779">
        <v>27797</v>
      </c>
      <c r="F1151" s="9">
        <f t="shared" ca="1" si="105"/>
        <v>50</v>
      </c>
      <c r="G1151" s="780">
        <v>44060</v>
      </c>
      <c r="H1151" s="778" t="s">
        <v>271</v>
      </c>
      <c r="I1151" s="779">
        <v>44920</v>
      </c>
      <c r="J1151" s="583" t="s">
        <v>275</v>
      </c>
      <c r="K1151" s="755" t="str">
        <f t="shared" si="107"/>
        <v>I</v>
      </c>
      <c r="L1151" s="756" t="str">
        <f t="shared" si="108"/>
        <v>G8</v>
      </c>
      <c r="M1151" s="756" t="str">
        <f t="shared" si="109"/>
        <v/>
      </c>
      <c r="N1151" s="757" t="str">
        <f t="shared" si="110"/>
        <v/>
      </c>
      <c r="O1151" s="8">
        <f t="shared" si="106"/>
        <v>46016</v>
      </c>
      <c r="P1151" s="2" t="s">
        <v>39</v>
      </c>
      <c r="Q1151" s="778" t="s">
        <v>1556</v>
      </c>
      <c r="R1151" s="776"/>
      <c r="S1151" s="9" t="str">
        <f t="shared" si="100"/>
        <v/>
      </c>
    </row>
    <row r="1152" spans="1:19" x14ac:dyDescent="0.3">
      <c r="A1152" s="10">
        <v>1148</v>
      </c>
      <c r="B1152" s="781" t="s">
        <v>78</v>
      </c>
      <c r="C1152" s="777" t="s">
        <v>3237</v>
      </c>
      <c r="D1152" s="778" t="s">
        <v>3238</v>
      </c>
      <c r="E1152" s="779">
        <v>29663</v>
      </c>
      <c r="F1152" s="9">
        <f t="shared" ca="1" si="105"/>
        <v>45</v>
      </c>
      <c r="G1152" s="780">
        <v>43704</v>
      </c>
      <c r="H1152" s="778" t="s">
        <v>271</v>
      </c>
      <c r="I1152" s="779">
        <v>44925</v>
      </c>
      <c r="J1152" s="583" t="s">
        <v>271</v>
      </c>
      <c r="K1152" s="755" t="str">
        <f t="shared" si="107"/>
        <v>I</v>
      </c>
      <c r="L1152" s="756" t="str">
        <f t="shared" si="108"/>
        <v>G8</v>
      </c>
      <c r="M1152" s="756" t="str">
        <f t="shared" si="109"/>
        <v>J1</v>
      </c>
      <c r="N1152" s="757" t="str">
        <f t="shared" si="110"/>
        <v/>
      </c>
      <c r="O1152" s="8">
        <f t="shared" si="106"/>
        <v>46021</v>
      </c>
      <c r="P1152" s="2" t="s">
        <v>39</v>
      </c>
      <c r="Q1152" s="778" t="s">
        <v>1556</v>
      </c>
      <c r="R1152" s="776"/>
      <c r="S1152" s="9" t="str">
        <f t="shared" si="100"/>
        <v/>
      </c>
    </row>
    <row r="1153" spans="1:19" x14ac:dyDescent="0.3">
      <c r="A1153" s="10">
        <v>1149</v>
      </c>
      <c r="B1153" s="781" t="s">
        <v>78</v>
      </c>
      <c r="C1153" s="777" t="s">
        <v>3239</v>
      </c>
      <c r="D1153" s="778" t="s">
        <v>3240</v>
      </c>
      <c r="E1153" s="779">
        <v>24863</v>
      </c>
      <c r="F1153" s="9">
        <f t="shared" ca="1" si="105"/>
        <v>58</v>
      </c>
      <c r="G1153" s="780">
        <v>43948</v>
      </c>
      <c r="H1153" s="778" t="s">
        <v>327</v>
      </c>
      <c r="I1153" s="779">
        <v>44909</v>
      </c>
      <c r="J1153" s="583" t="s">
        <v>275</v>
      </c>
      <c r="K1153" s="755" t="str">
        <f t="shared" si="107"/>
        <v>I</v>
      </c>
      <c r="L1153" s="756" t="str">
        <f t="shared" si="108"/>
        <v>G8</v>
      </c>
      <c r="M1153" s="756" t="str">
        <f t="shared" si="109"/>
        <v/>
      </c>
      <c r="N1153" s="757" t="str">
        <f t="shared" si="110"/>
        <v/>
      </c>
      <c r="O1153" s="8">
        <f t="shared" si="106"/>
        <v>46005</v>
      </c>
      <c r="P1153" s="2" t="s">
        <v>39</v>
      </c>
      <c r="Q1153" s="778" t="s">
        <v>1556</v>
      </c>
      <c r="R1153" s="775"/>
      <c r="S1153" s="9" t="str">
        <f t="shared" si="100"/>
        <v/>
      </c>
    </row>
    <row r="1154" spans="1:19" x14ac:dyDescent="0.3">
      <c r="A1154" s="10">
        <v>1150</v>
      </c>
      <c r="B1154" s="789" t="s">
        <v>56</v>
      </c>
      <c r="C1154" s="786" t="s">
        <v>3241</v>
      </c>
      <c r="D1154" s="783" t="s">
        <v>3242</v>
      </c>
      <c r="E1154" s="787">
        <v>27300</v>
      </c>
      <c r="F1154" s="9">
        <f t="shared" ca="1" si="105"/>
        <v>52</v>
      </c>
      <c r="G1154" s="788">
        <v>44068</v>
      </c>
      <c r="H1154" s="783" t="s">
        <v>271</v>
      </c>
      <c r="I1154" s="787">
        <v>44910</v>
      </c>
      <c r="J1154" s="887" t="s">
        <v>275</v>
      </c>
      <c r="K1154" s="755" t="str">
        <f t="shared" si="107"/>
        <v>I</v>
      </c>
      <c r="L1154" s="756" t="str">
        <f t="shared" si="108"/>
        <v>G8</v>
      </c>
      <c r="M1154" s="756" t="str">
        <f t="shared" si="109"/>
        <v/>
      </c>
      <c r="N1154" s="757" t="str">
        <f t="shared" si="110"/>
        <v/>
      </c>
      <c r="O1154" s="8">
        <f t="shared" si="106"/>
        <v>46006</v>
      </c>
      <c r="P1154" s="2" t="s">
        <v>39</v>
      </c>
      <c r="Q1154" s="783" t="s">
        <v>1556</v>
      </c>
      <c r="R1154" s="785"/>
      <c r="S1154" s="9" t="str">
        <f t="shared" si="100"/>
        <v/>
      </c>
    </row>
    <row r="1155" spans="1:19" x14ac:dyDescent="0.3">
      <c r="A1155" s="10">
        <v>1151</v>
      </c>
      <c r="B1155" s="795" t="s">
        <v>312</v>
      </c>
      <c r="C1155" s="791" t="s">
        <v>3243</v>
      </c>
      <c r="D1155" s="886" t="s">
        <v>3244</v>
      </c>
      <c r="E1155" s="793">
        <v>34886</v>
      </c>
      <c r="F1155" s="9">
        <f t="shared" ca="1" si="105"/>
        <v>31</v>
      </c>
      <c r="G1155" s="794">
        <v>43988</v>
      </c>
      <c r="H1155" s="792" t="s">
        <v>275</v>
      </c>
      <c r="I1155" s="793">
        <v>44896</v>
      </c>
      <c r="J1155" s="916" t="s">
        <v>275</v>
      </c>
      <c r="K1155" s="755" t="str">
        <f t="shared" si="107"/>
        <v>I</v>
      </c>
      <c r="L1155" s="756" t="str">
        <f t="shared" si="108"/>
        <v>G8</v>
      </c>
      <c r="M1155" s="756" t="str">
        <f t="shared" si="109"/>
        <v/>
      </c>
      <c r="N1155" s="757" t="str">
        <f t="shared" si="110"/>
        <v/>
      </c>
      <c r="O1155" s="8">
        <f t="shared" si="106"/>
        <v>45992</v>
      </c>
      <c r="P1155" s="2" t="s">
        <v>39</v>
      </c>
      <c r="Q1155" s="792" t="s">
        <v>1556</v>
      </c>
      <c r="R1155" s="790"/>
      <c r="S1155" s="9" t="str">
        <f t="shared" si="100"/>
        <v/>
      </c>
    </row>
    <row r="1156" spans="1:19" x14ac:dyDescent="0.3">
      <c r="A1156" s="10">
        <v>1152</v>
      </c>
      <c r="B1156" s="795" t="s">
        <v>312</v>
      </c>
      <c r="C1156" s="791" t="s">
        <v>3245</v>
      </c>
      <c r="D1156" s="792" t="s">
        <v>3246</v>
      </c>
      <c r="E1156" s="793">
        <v>29669</v>
      </c>
      <c r="F1156" s="9">
        <f t="shared" ca="1" si="105"/>
        <v>45</v>
      </c>
      <c r="G1156" s="794">
        <v>43911</v>
      </c>
      <c r="H1156" s="792" t="s">
        <v>271</v>
      </c>
      <c r="I1156" s="793">
        <v>44920</v>
      </c>
      <c r="J1156" s="887" t="s">
        <v>275</v>
      </c>
      <c r="K1156" s="755" t="str">
        <f t="shared" si="107"/>
        <v>I</v>
      </c>
      <c r="L1156" s="756" t="str">
        <f t="shared" si="108"/>
        <v>G8</v>
      </c>
      <c r="M1156" s="756" t="str">
        <f t="shared" si="109"/>
        <v/>
      </c>
      <c r="N1156" s="757" t="str">
        <f t="shared" si="110"/>
        <v/>
      </c>
      <c r="O1156" s="8">
        <f t="shared" si="106"/>
        <v>46016</v>
      </c>
      <c r="P1156" s="2" t="s">
        <v>39</v>
      </c>
      <c r="Q1156" s="792" t="s">
        <v>1556</v>
      </c>
      <c r="R1156" s="790"/>
      <c r="S1156" s="9" t="str">
        <f t="shared" si="100"/>
        <v/>
      </c>
    </row>
    <row r="1157" spans="1:19" x14ac:dyDescent="0.3">
      <c r="A1157" s="10">
        <v>1153</v>
      </c>
      <c r="B1157" s="795" t="s">
        <v>312</v>
      </c>
      <c r="C1157" s="791" t="s">
        <v>3247</v>
      </c>
      <c r="D1157" s="792" t="s">
        <v>3248</v>
      </c>
      <c r="E1157" s="793">
        <v>23901</v>
      </c>
      <c r="F1157" s="9">
        <f t="shared" ca="1" si="105"/>
        <v>61</v>
      </c>
      <c r="G1157" s="794">
        <v>43724</v>
      </c>
      <c r="H1157" s="792" t="s">
        <v>275</v>
      </c>
      <c r="I1157" s="793">
        <v>44908</v>
      </c>
      <c r="J1157" s="583" t="s">
        <v>275</v>
      </c>
      <c r="K1157" s="755" t="str">
        <f t="shared" si="107"/>
        <v>I</v>
      </c>
      <c r="L1157" s="756" t="str">
        <f t="shared" si="108"/>
        <v>G8</v>
      </c>
      <c r="M1157" s="756" t="str">
        <f t="shared" si="109"/>
        <v/>
      </c>
      <c r="N1157" s="757" t="str">
        <f t="shared" si="110"/>
        <v/>
      </c>
      <c r="O1157" s="8">
        <f t="shared" si="106"/>
        <v>46004</v>
      </c>
      <c r="P1157" s="2" t="s">
        <v>39</v>
      </c>
      <c r="Q1157" s="792" t="s">
        <v>1556</v>
      </c>
      <c r="R1157" s="790"/>
      <c r="S1157" s="9" t="str">
        <f t="shared" si="100"/>
        <v/>
      </c>
    </row>
    <row r="1158" spans="1:19" x14ac:dyDescent="0.3">
      <c r="A1158" s="10">
        <v>1154</v>
      </c>
      <c r="B1158" s="795" t="s">
        <v>312</v>
      </c>
      <c r="C1158" s="791" t="s">
        <v>3249</v>
      </c>
      <c r="D1158" s="792" t="s">
        <v>3250</v>
      </c>
      <c r="E1158" s="793">
        <v>33503</v>
      </c>
      <c r="F1158" s="9">
        <f t="shared" ca="1" si="105"/>
        <v>35</v>
      </c>
      <c r="G1158" s="794">
        <v>43498</v>
      </c>
      <c r="H1158" s="792" t="s">
        <v>275</v>
      </c>
      <c r="I1158" s="793">
        <v>44919</v>
      </c>
      <c r="J1158" s="583" t="s">
        <v>8</v>
      </c>
      <c r="K1158" s="755" t="str">
        <f t="shared" si="107"/>
        <v>SI</v>
      </c>
      <c r="L1158" s="756" t="str">
        <f t="shared" si="108"/>
        <v xml:space="preserve">N </v>
      </c>
      <c r="M1158" s="756" t="str">
        <f t="shared" si="109"/>
        <v>RE</v>
      </c>
      <c r="N1158" s="757" t="str">
        <f t="shared" si="110"/>
        <v>GI</v>
      </c>
      <c r="O1158" s="8">
        <f t="shared" si="106"/>
        <v>46015</v>
      </c>
      <c r="P1158" s="2" t="s">
        <v>39</v>
      </c>
      <c r="Q1158" s="792" t="s">
        <v>1556</v>
      </c>
      <c r="R1158" s="790"/>
      <c r="S1158" s="9" t="str">
        <f t="shared" si="100"/>
        <v/>
      </c>
    </row>
    <row r="1159" spans="1:19" x14ac:dyDescent="0.3">
      <c r="A1159" s="10">
        <v>1155</v>
      </c>
      <c r="B1159" s="795" t="s">
        <v>312</v>
      </c>
      <c r="C1159" s="791" t="s">
        <v>3251</v>
      </c>
      <c r="D1159" s="792" t="s">
        <v>3252</v>
      </c>
      <c r="E1159" s="793">
        <v>20890</v>
      </c>
      <c r="F1159" s="9">
        <f t="shared" ca="1" si="105"/>
        <v>69</v>
      </c>
      <c r="G1159" s="794">
        <v>44218</v>
      </c>
      <c r="H1159" s="792" t="s">
        <v>271</v>
      </c>
      <c r="I1159" s="793">
        <v>44897</v>
      </c>
      <c r="J1159" s="583" t="s">
        <v>275</v>
      </c>
      <c r="K1159" s="755" t="str">
        <f t="shared" si="107"/>
        <v>I</v>
      </c>
      <c r="L1159" s="756" t="str">
        <f t="shared" si="108"/>
        <v>G8</v>
      </c>
      <c r="M1159" s="756" t="str">
        <f t="shared" si="109"/>
        <v/>
      </c>
      <c r="N1159" s="757" t="str">
        <f t="shared" si="110"/>
        <v/>
      </c>
      <c r="O1159" s="8">
        <f t="shared" si="106"/>
        <v>45993</v>
      </c>
      <c r="P1159" s="2" t="s">
        <v>39</v>
      </c>
      <c r="Q1159" s="792" t="s">
        <v>1556</v>
      </c>
      <c r="R1159" s="790"/>
      <c r="S1159" s="9" t="str">
        <f t="shared" si="100"/>
        <v/>
      </c>
    </row>
    <row r="1160" spans="1:19" x14ac:dyDescent="0.3">
      <c r="A1160" s="10">
        <v>1156</v>
      </c>
      <c r="B1160" s="801" t="s">
        <v>346</v>
      </c>
      <c r="C1160" s="798" t="s">
        <v>3253</v>
      </c>
      <c r="D1160" s="799" t="s">
        <v>3254</v>
      </c>
      <c r="E1160" s="800">
        <v>32245</v>
      </c>
      <c r="F1160" s="9">
        <f t="shared" ca="1" si="105"/>
        <v>38</v>
      </c>
      <c r="G1160" s="799" t="s">
        <v>8</v>
      </c>
      <c r="H1160" s="799" t="s">
        <v>8</v>
      </c>
      <c r="I1160" s="800">
        <v>44916</v>
      </c>
      <c r="J1160" s="583" t="s">
        <v>275</v>
      </c>
      <c r="K1160" s="755" t="str">
        <f t="shared" si="107"/>
        <v>I</v>
      </c>
      <c r="L1160" s="756" t="str">
        <f t="shared" si="108"/>
        <v>G8</v>
      </c>
      <c r="M1160" s="756" t="str">
        <f t="shared" si="109"/>
        <v/>
      </c>
      <c r="N1160" s="757" t="str">
        <f t="shared" si="110"/>
        <v/>
      </c>
      <c r="O1160" s="8">
        <f t="shared" si="106"/>
        <v>46012</v>
      </c>
      <c r="P1160" s="2" t="s">
        <v>39</v>
      </c>
      <c r="Q1160" s="799" t="s">
        <v>1556</v>
      </c>
      <c r="R1160" s="797"/>
      <c r="S1160" s="9" t="str">
        <f t="shared" si="100"/>
        <v/>
      </c>
    </row>
    <row r="1161" spans="1:19" x14ac:dyDescent="0.3">
      <c r="A1161" s="10">
        <v>1157</v>
      </c>
      <c r="B1161" s="801" t="s">
        <v>346</v>
      </c>
      <c r="C1161" s="798" t="s">
        <v>3255</v>
      </c>
      <c r="D1161" s="799" t="s">
        <v>3256</v>
      </c>
      <c r="E1161" s="800">
        <v>24049</v>
      </c>
      <c r="F1161" s="9">
        <f t="shared" ca="1" si="105"/>
        <v>60</v>
      </c>
      <c r="G1161" s="799" t="s">
        <v>8</v>
      </c>
      <c r="H1161" s="799" t="s">
        <v>271</v>
      </c>
      <c r="I1161" s="800">
        <v>44902</v>
      </c>
      <c r="J1161" s="583" t="s">
        <v>275</v>
      </c>
      <c r="K1161" s="755" t="str">
        <f t="shared" si="107"/>
        <v>I</v>
      </c>
      <c r="L1161" s="756" t="str">
        <f t="shared" si="108"/>
        <v>G8</v>
      </c>
      <c r="M1161" s="756" t="str">
        <f t="shared" si="109"/>
        <v/>
      </c>
      <c r="N1161" s="757" t="str">
        <f t="shared" si="110"/>
        <v/>
      </c>
      <c r="O1161" s="8">
        <f t="shared" si="106"/>
        <v>45998</v>
      </c>
      <c r="P1161" s="2" t="s">
        <v>39</v>
      </c>
      <c r="Q1161" s="799" t="s">
        <v>1556</v>
      </c>
      <c r="R1161" s="797"/>
      <c r="S1161" s="9" t="str">
        <f t="shared" si="100"/>
        <v/>
      </c>
    </row>
    <row r="1162" spans="1:19" x14ac:dyDescent="0.3">
      <c r="A1162" s="10">
        <v>1158</v>
      </c>
      <c r="B1162" s="801" t="s">
        <v>346</v>
      </c>
      <c r="C1162" s="798" t="s">
        <v>3257</v>
      </c>
      <c r="D1162" s="799" t="s">
        <v>3258</v>
      </c>
      <c r="E1162" s="800">
        <v>31296</v>
      </c>
      <c r="F1162" s="9">
        <f t="shared" ca="1" si="105"/>
        <v>41</v>
      </c>
      <c r="G1162" s="802">
        <v>43153</v>
      </c>
      <c r="H1162" s="799" t="s">
        <v>275</v>
      </c>
      <c r="I1162" s="800">
        <v>44922</v>
      </c>
      <c r="J1162" s="583" t="s">
        <v>8</v>
      </c>
      <c r="K1162" s="755" t="str">
        <f t="shared" si="107"/>
        <v>SI</v>
      </c>
      <c r="L1162" s="756" t="str">
        <f t="shared" si="108"/>
        <v xml:space="preserve">N </v>
      </c>
      <c r="M1162" s="756" t="str">
        <f t="shared" si="109"/>
        <v>RE</v>
      </c>
      <c r="N1162" s="757" t="str">
        <f t="shared" si="110"/>
        <v>GI</v>
      </c>
      <c r="O1162" s="8">
        <f t="shared" si="106"/>
        <v>46018</v>
      </c>
      <c r="P1162" s="2" t="s">
        <v>39</v>
      </c>
      <c r="Q1162" s="799" t="s">
        <v>1556</v>
      </c>
      <c r="R1162" s="797"/>
      <c r="S1162" s="9" t="str">
        <f t="shared" si="100"/>
        <v/>
      </c>
    </row>
    <row r="1163" spans="1:19" x14ac:dyDescent="0.3">
      <c r="A1163" s="10">
        <v>1159</v>
      </c>
      <c r="B1163" s="801" t="s">
        <v>346</v>
      </c>
      <c r="C1163" s="798" t="s">
        <v>3259</v>
      </c>
      <c r="D1163" s="799" t="s">
        <v>3260</v>
      </c>
      <c r="E1163" s="800">
        <v>34479</v>
      </c>
      <c r="F1163" s="9">
        <f t="shared" ca="1" si="105"/>
        <v>32</v>
      </c>
      <c r="G1163" s="802">
        <v>44477</v>
      </c>
      <c r="H1163" s="799" t="s">
        <v>275</v>
      </c>
      <c r="I1163" s="800">
        <v>44901</v>
      </c>
      <c r="J1163" s="583" t="s">
        <v>275</v>
      </c>
      <c r="K1163" s="755" t="str">
        <f t="shared" si="107"/>
        <v>I</v>
      </c>
      <c r="L1163" s="756" t="str">
        <f t="shared" si="108"/>
        <v>G8</v>
      </c>
      <c r="M1163" s="756" t="str">
        <f t="shared" si="109"/>
        <v/>
      </c>
      <c r="N1163" s="757" t="str">
        <f t="shared" si="110"/>
        <v/>
      </c>
      <c r="O1163" s="8">
        <f t="shared" si="106"/>
        <v>45997</v>
      </c>
      <c r="P1163" s="2" t="s">
        <v>39</v>
      </c>
      <c r="Q1163" s="799" t="s">
        <v>1556</v>
      </c>
      <c r="R1163" s="803"/>
      <c r="S1163" s="9" t="str">
        <f t="shared" si="100"/>
        <v/>
      </c>
    </row>
    <row r="1164" spans="1:19" x14ac:dyDescent="0.3">
      <c r="A1164" s="10">
        <v>1160</v>
      </c>
      <c r="B1164" s="801" t="s">
        <v>346</v>
      </c>
      <c r="C1164" s="798" t="s">
        <v>3261</v>
      </c>
      <c r="D1164" s="799" t="s">
        <v>3262</v>
      </c>
      <c r="E1164" s="800">
        <v>24310</v>
      </c>
      <c r="F1164" s="9">
        <f t="shared" ca="1" si="105"/>
        <v>60</v>
      </c>
      <c r="G1164" s="802">
        <v>43567</v>
      </c>
      <c r="H1164" s="799" t="s">
        <v>271</v>
      </c>
      <c r="I1164" s="800">
        <v>44916</v>
      </c>
      <c r="J1164" s="583" t="s">
        <v>271</v>
      </c>
      <c r="K1164" s="755" t="str">
        <f t="shared" si="107"/>
        <v>I</v>
      </c>
      <c r="L1164" s="756" t="str">
        <f t="shared" si="108"/>
        <v>G8</v>
      </c>
      <c r="M1164" s="756" t="str">
        <f t="shared" si="109"/>
        <v>J1</v>
      </c>
      <c r="N1164" s="757" t="str">
        <f t="shared" si="110"/>
        <v/>
      </c>
      <c r="O1164" s="8">
        <f t="shared" si="106"/>
        <v>46012</v>
      </c>
      <c r="P1164" s="2" t="s">
        <v>39</v>
      </c>
      <c r="Q1164" s="799" t="s">
        <v>1556</v>
      </c>
      <c r="R1164" s="797"/>
      <c r="S1164" s="9" t="str">
        <f t="shared" si="100"/>
        <v/>
      </c>
    </row>
    <row r="1165" spans="1:19" x14ac:dyDescent="0.3">
      <c r="A1165" s="10">
        <v>1161</v>
      </c>
      <c r="B1165" s="801" t="s">
        <v>346</v>
      </c>
      <c r="C1165" s="798" t="s">
        <v>3263</v>
      </c>
      <c r="D1165" s="799" t="s">
        <v>3264</v>
      </c>
      <c r="E1165" s="800">
        <v>27495</v>
      </c>
      <c r="F1165" s="9">
        <f t="shared" ca="1" si="105"/>
        <v>51</v>
      </c>
      <c r="G1165" s="802">
        <v>43233</v>
      </c>
      <c r="H1165" s="799" t="s">
        <v>271</v>
      </c>
      <c r="I1165" s="800">
        <v>44912</v>
      </c>
      <c r="J1165" s="583" t="s">
        <v>275</v>
      </c>
      <c r="K1165" s="755" t="str">
        <f t="shared" si="107"/>
        <v>I</v>
      </c>
      <c r="L1165" s="756" t="str">
        <f t="shared" si="108"/>
        <v>G8</v>
      </c>
      <c r="M1165" s="756" t="str">
        <f t="shared" si="109"/>
        <v/>
      </c>
      <c r="N1165" s="757" t="str">
        <f t="shared" si="110"/>
        <v/>
      </c>
      <c r="O1165" s="8">
        <f t="shared" ref="O1165:O1185" si="111">IF(I1165="","",IF(OR(K1165="S",L1165="S",M1165="S",N1165="S",K1165="G7",L1165="G7",M1165="G7",N1165="G7",),DATE(YEAR(I1165)+1,MONTH(I1165),DAY(I1165)),IF(OR(K1165="O3",L1165="O3",M1165="O3",N1165="O3",K1165="ASCUS",L1165="ASCUS",M1165="ASCUS",N1165="ASCUS"),DATE(YEAR(I1165),MONTH(I1165)+6,DAY(I1165)),IF(OR(K1165="O5",L1165="O5",M1165="O5",N1165="O5"),DATE(YEAR(I1165),MONTH(I1165)+3,DAY(I1165)),IF(OR(K1165="T",L1165="T",M1165="T",N1165="T"),DATE(YEAR(I1165),MONTH(I1165)+1,DAY(I1165)+10),DATE(YEAR(I1165)+3,MONTH(I1165),DAY(I1165)))))))</f>
        <v>46008</v>
      </c>
      <c r="P1165" s="2" t="s">
        <v>39</v>
      </c>
      <c r="Q1165" s="799" t="s">
        <v>1556</v>
      </c>
      <c r="R1165" s="797"/>
      <c r="S1165" s="9" t="str">
        <f t="shared" si="100"/>
        <v/>
      </c>
    </row>
    <row r="1166" spans="1:19" x14ac:dyDescent="0.3">
      <c r="A1166" s="10">
        <v>1162</v>
      </c>
      <c r="B1166" s="801" t="s">
        <v>346</v>
      </c>
      <c r="C1166" s="798" t="s">
        <v>3265</v>
      </c>
      <c r="D1166" s="799" t="s">
        <v>3266</v>
      </c>
      <c r="E1166" s="800">
        <v>22535</v>
      </c>
      <c r="F1166" s="9">
        <f t="shared" ca="1" si="105"/>
        <v>65</v>
      </c>
      <c r="G1166" s="802">
        <v>44179</v>
      </c>
      <c r="H1166" s="799" t="s">
        <v>275</v>
      </c>
      <c r="I1166" s="800">
        <v>44901</v>
      </c>
      <c r="J1166" s="1002" t="s">
        <v>271</v>
      </c>
      <c r="K1166" s="755" t="str">
        <f t="shared" si="107"/>
        <v>I</v>
      </c>
      <c r="L1166" s="756" t="str">
        <f t="shared" si="108"/>
        <v>G8</v>
      </c>
      <c r="M1166" s="756" t="str">
        <f t="shared" si="109"/>
        <v>J1</v>
      </c>
      <c r="N1166" s="757" t="str">
        <f t="shared" si="110"/>
        <v/>
      </c>
      <c r="O1166" s="8">
        <f t="shared" si="111"/>
        <v>45997</v>
      </c>
      <c r="P1166" s="2" t="s">
        <v>39</v>
      </c>
      <c r="Q1166" s="799" t="s">
        <v>1556</v>
      </c>
      <c r="R1166" s="797"/>
      <c r="S1166" s="9" t="str">
        <f t="shared" si="100"/>
        <v/>
      </c>
    </row>
    <row r="1167" spans="1:19" x14ac:dyDescent="0.3">
      <c r="A1167" s="10">
        <v>1163</v>
      </c>
      <c r="B1167" s="801" t="s">
        <v>346</v>
      </c>
      <c r="C1167" s="798" t="s">
        <v>3267</v>
      </c>
      <c r="D1167" s="799" t="s">
        <v>3268</v>
      </c>
      <c r="E1167" s="800">
        <v>36783</v>
      </c>
      <c r="F1167" s="9">
        <f t="shared" ca="1" si="105"/>
        <v>26</v>
      </c>
      <c r="G1167" s="802">
        <v>44240</v>
      </c>
      <c r="H1167" s="799" t="s">
        <v>8</v>
      </c>
      <c r="I1167" s="800">
        <v>44913</v>
      </c>
      <c r="J1167" s="583" t="s">
        <v>275</v>
      </c>
      <c r="K1167" s="755" t="str">
        <f t="shared" si="107"/>
        <v>I</v>
      </c>
      <c r="L1167" s="756" t="str">
        <f t="shared" si="108"/>
        <v>G8</v>
      </c>
      <c r="M1167" s="756" t="str">
        <f t="shared" si="109"/>
        <v/>
      </c>
      <c r="N1167" s="757" t="str">
        <f t="shared" si="110"/>
        <v/>
      </c>
      <c r="O1167" s="8">
        <f t="shared" si="111"/>
        <v>46009</v>
      </c>
      <c r="P1167" s="2" t="s">
        <v>39</v>
      </c>
      <c r="Q1167" s="799" t="s">
        <v>1556</v>
      </c>
      <c r="R1167" s="796"/>
      <c r="S1167" s="9" t="str">
        <f t="shared" si="100"/>
        <v/>
      </c>
    </row>
    <row r="1168" spans="1:19" x14ac:dyDescent="0.3">
      <c r="A1168" s="10">
        <v>1164</v>
      </c>
      <c r="B1168" s="801" t="s">
        <v>346</v>
      </c>
      <c r="C1168" s="798" t="s">
        <v>3269</v>
      </c>
      <c r="D1168" s="799" t="s">
        <v>3270</v>
      </c>
      <c r="E1168" s="800">
        <v>30623</v>
      </c>
      <c r="F1168" s="9">
        <f t="shared" ca="1" si="105"/>
        <v>42</v>
      </c>
      <c r="G1168" s="802">
        <v>44085</v>
      </c>
      <c r="H1168" s="799" t="s">
        <v>8</v>
      </c>
      <c r="I1168" s="800">
        <v>44899</v>
      </c>
      <c r="J1168" s="583" t="s">
        <v>8</v>
      </c>
      <c r="K1168" s="755" t="str">
        <f t="shared" si="107"/>
        <v>SI</v>
      </c>
      <c r="L1168" s="756" t="str">
        <f t="shared" si="108"/>
        <v xml:space="preserve">N </v>
      </c>
      <c r="M1168" s="756" t="str">
        <f t="shared" si="109"/>
        <v>RE</v>
      </c>
      <c r="N1168" s="757" t="str">
        <f t="shared" si="110"/>
        <v>GI</v>
      </c>
      <c r="O1168" s="8">
        <f t="shared" si="111"/>
        <v>45995</v>
      </c>
      <c r="P1168" s="2" t="s">
        <v>39</v>
      </c>
      <c r="Q1168" s="799" t="s">
        <v>1556</v>
      </c>
      <c r="R1168" s="797"/>
      <c r="S1168" s="9" t="str">
        <f t="shared" si="100"/>
        <v/>
      </c>
    </row>
    <row r="1169" spans="1:19" x14ac:dyDescent="0.3">
      <c r="A1169" s="10">
        <v>1165</v>
      </c>
      <c r="B1169" s="809" t="s">
        <v>45</v>
      </c>
      <c r="C1169" s="805" t="s">
        <v>3271</v>
      </c>
      <c r="D1169" s="806" t="s">
        <v>3272</v>
      </c>
      <c r="E1169" s="807">
        <v>30127</v>
      </c>
      <c r="F1169" s="9">
        <f t="shared" ca="1" si="105"/>
        <v>44</v>
      </c>
      <c r="G1169" s="808">
        <v>43160</v>
      </c>
      <c r="H1169" s="806" t="s">
        <v>275</v>
      </c>
      <c r="I1169" s="807">
        <v>44899</v>
      </c>
      <c r="J1169" s="583" t="s">
        <v>8</v>
      </c>
      <c r="K1169" s="755" t="str">
        <f t="shared" si="107"/>
        <v>SI</v>
      </c>
      <c r="L1169" s="756" t="str">
        <f t="shared" si="108"/>
        <v xml:space="preserve">N </v>
      </c>
      <c r="M1169" s="756" t="str">
        <f t="shared" si="109"/>
        <v>RE</v>
      </c>
      <c r="N1169" s="757" t="str">
        <f t="shared" si="110"/>
        <v>GI</v>
      </c>
      <c r="O1169" s="8">
        <f t="shared" si="111"/>
        <v>45995</v>
      </c>
      <c r="P1169" s="2" t="s">
        <v>39</v>
      </c>
      <c r="Q1169" s="806" t="s">
        <v>1556</v>
      </c>
      <c r="R1169" s="804"/>
      <c r="S1169" s="9" t="str">
        <f t="shared" si="100"/>
        <v/>
      </c>
    </row>
    <row r="1170" spans="1:19" x14ac:dyDescent="0.3">
      <c r="A1170" s="10">
        <v>1166</v>
      </c>
      <c r="B1170" s="809" t="s">
        <v>45</v>
      </c>
      <c r="C1170" s="805" t="s">
        <v>3273</v>
      </c>
      <c r="D1170" s="806" t="s">
        <v>3274</v>
      </c>
      <c r="E1170" s="807">
        <v>26885</v>
      </c>
      <c r="F1170" s="9">
        <f t="shared" ca="1" si="105"/>
        <v>53</v>
      </c>
      <c r="G1170" s="806" t="s">
        <v>8</v>
      </c>
      <c r="H1170" s="806" t="s">
        <v>275</v>
      </c>
      <c r="I1170" s="807">
        <v>44914</v>
      </c>
      <c r="J1170" s="583" t="s">
        <v>8</v>
      </c>
      <c r="K1170" s="755" t="str">
        <f t="shared" si="107"/>
        <v>SI</v>
      </c>
      <c r="L1170" s="756" t="str">
        <f t="shared" si="108"/>
        <v xml:space="preserve">N </v>
      </c>
      <c r="M1170" s="756" t="str">
        <f t="shared" si="109"/>
        <v>RE</v>
      </c>
      <c r="N1170" s="757" t="str">
        <f t="shared" si="110"/>
        <v>GI</v>
      </c>
      <c r="O1170" s="8">
        <f t="shared" si="111"/>
        <v>46010</v>
      </c>
      <c r="P1170" s="2" t="s">
        <v>39</v>
      </c>
      <c r="Q1170" s="806" t="s">
        <v>1556</v>
      </c>
      <c r="R1170" s="804"/>
      <c r="S1170" s="9" t="str">
        <f t="shared" si="100"/>
        <v/>
      </c>
    </row>
    <row r="1171" spans="1:19" x14ac:dyDescent="0.3">
      <c r="A1171" s="10">
        <v>1167</v>
      </c>
      <c r="B1171" s="809" t="s">
        <v>45</v>
      </c>
      <c r="C1171" s="805" t="s">
        <v>3275</v>
      </c>
      <c r="D1171" s="806" t="s">
        <v>3276</v>
      </c>
      <c r="E1171" s="807">
        <v>34135</v>
      </c>
      <c r="F1171" s="9">
        <f t="shared" ca="1" si="105"/>
        <v>33</v>
      </c>
      <c r="G1171" s="808">
        <v>44503</v>
      </c>
      <c r="H1171" s="806" t="s">
        <v>275</v>
      </c>
      <c r="I1171" s="807">
        <v>44921</v>
      </c>
      <c r="J1171" s="583" t="s">
        <v>327</v>
      </c>
      <c r="K1171" s="755" t="str">
        <f t="shared" si="107"/>
        <v>I</v>
      </c>
      <c r="L1171" s="756" t="str">
        <f t="shared" si="108"/>
        <v>G7</v>
      </c>
      <c r="M1171" s="756" t="str">
        <f t="shared" si="109"/>
        <v>S</v>
      </c>
      <c r="N1171" s="757" t="str">
        <f t="shared" si="110"/>
        <v/>
      </c>
      <c r="O1171" s="8">
        <f t="shared" si="111"/>
        <v>45286</v>
      </c>
      <c r="P1171" s="2" t="s">
        <v>39</v>
      </c>
      <c r="Q1171" s="806" t="s">
        <v>1556</v>
      </c>
      <c r="R1171" s="804"/>
      <c r="S1171" s="9" t="str">
        <f t="shared" si="100"/>
        <v/>
      </c>
    </row>
    <row r="1172" spans="1:19" x14ac:dyDescent="0.3">
      <c r="A1172" s="10">
        <v>1168</v>
      </c>
      <c r="B1172" s="816" t="s">
        <v>111</v>
      </c>
      <c r="C1172" s="811" t="s">
        <v>3277</v>
      </c>
      <c r="D1172" s="813" t="s">
        <v>3278</v>
      </c>
      <c r="E1172" s="814">
        <v>27835</v>
      </c>
      <c r="F1172" s="9">
        <f t="shared" ca="1" si="105"/>
        <v>50</v>
      </c>
      <c r="G1172" s="815">
        <v>43703</v>
      </c>
      <c r="H1172" s="813" t="s">
        <v>8</v>
      </c>
      <c r="I1172" s="814">
        <v>44925</v>
      </c>
      <c r="J1172" s="583" t="s">
        <v>275</v>
      </c>
      <c r="K1172" s="755" t="str">
        <f t="shared" si="107"/>
        <v>I</v>
      </c>
      <c r="L1172" s="756" t="str">
        <f t="shared" si="108"/>
        <v>G8</v>
      </c>
      <c r="M1172" s="756" t="str">
        <f t="shared" si="109"/>
        <v/>
      </c>
      <c r="N1172" s="757" t="str">
        <f t="shared" si="110"/>
        <v/>
      </c>
      <c r="O1172" s="8">
        <f t="shared" si="111"/>
        <v>46021</v>
      </c>
      <c r="P1172" s="2" t="s">
        <v>39</v>
      </c>
      <c r="Q1172" s="813" t="s">
        <v>1556</v>
      </c>
      <c r="R1172" s="810"/>
      <c r="S1172" s="9" t="str">
        <f t="shared" si="100"/>
        <v/>
      </c>
    </row>
    <row r="1173" spans="1:19" x14ac:dyDescent="0.3">
      <c r="A1173" s="10">
        <v>1169</v>
      </c>
      <c r="B1173" s="816" t="s">
        <v>111</v>
      </c>
      <c r="C1173" s="811" t="s">
        <v>3279</v>
      </c>
      <c r="D1173" s="813" t="s">
        <v>3280</v>
      </c>
      <c r="E1173" s="814">
        <v>28475</v>
      </c>
      <c r="F1173" s="9">
        <f t="shared" ca="1" si="105"/>
        <v>48</v>
      </c>
      <c r="G1173" s="815">
        <v>43130</v>
      </c>
      <c r="H1173" s="813" t="s">
        <v>954</v>
      </c>
      <c r="I1173" s="814">
        <v>44902</v>
      </c>
      <c r="J1173" s="583" t="s">
        <v>275</v>
      </c>
      <c r="K1173" s="755" t="str">
        <f t="shared" si="107"/>
        <v>I</v>
      </c>
      <c r="L1173" s="756" t="str">
        <f t="shared" si="108"/>
        <v>G8</v>
      </c>
      <c r="M1173" s="756" t="str">
        <f t="shared" si="109"/>
        <v/>
      </c>
      <c r="N1173" s="757" t="str">
        <f t="shared" si="110"/>
        <v/>
      </c>
      <c r="O1173" s="8">
        <f t="shared" si="111"/>
        <v>45998</v>
      </c>
      <c r="P1173" s="2" t="s">
        <v>39</v>
      </c>
      <c r="Q1173" s="813" t="s">
        <v>1556</v>
      </c>
      <c r="R1173" s="810"/>
      <c r="S1173" s="9" t="str">
        <f t="shared" si="100"/>
        <v/>
      </c>
    </row>
    <row r="1174" spans="1:19" x14ac:dyDescent="0.3">
      <c r="A1174" s="10">
        <v>1170</v>
      </c>
      <c r="B1174" s="816" t="s">
        <v>111</v>
      </c>
      <c r="C1174" s="811" t="s">
        <v>3281</v>
      </c>
      <c r="D1174" s="813" t="s">
        <v>3282</v>
      </c>
      <c r="E1174" s="814">
        <v>20962</v>
      </c>
      <c r="F1174" s="9">
        <f t="shared" ca="1" si="105"/>
        <v>69</v>
      </c>
      <c r="G1174" s="813" t="s">
        <v>8</v>
      </c>
      <c r="H1174" s="813" t="s">
        <v>340</v>
      </c>
      <c r="I1174" s="814">
        <v>44915</v>
      </c>
      <c r="J1174" s="583" t="s">
        <v>275</v>
      </c>
      <c r="K1174" s="755" t="str">
        <f t="shared" si="107"/>
        <v>I</v>
      </c>
      <c r="L1174" s="756" t="str">
        <f t="shared" si="108"/>
        <v>G8</v>
      </c>
      <c r="M1174" s="756" t="str">
        <f t="shared" si="109"/>
        <v/>
      </c>
      <c r="N1174" s="757" t="str">
        <f t="shared" si="110"/>
        <v/>
      </c>
      <c r="O1174" s="8">
        <f t="shared" si="111"/>
        <v>46011</v>
      </c>
      <c r="P1174" s="2" t="s">
        <v>39</v>
      </c>
      <c r="Q1174" s="813" t="s">
        <v>1556</v>
      </c>
      <c r="R1174" s="810"/>
      <c r="S1174" s="9" t="str">
        <f t="shared" si="100"/>
        <v/>
      </c>
    </row>
    <row r="1175" spans="1:19" x14ac:dyDescent="0.3">
      <c r="A1175" s="10">
        <v>1171</v>
      </c>
      <c r="B1175" s="816" t="s">
        <v>111</v>
      </c>
      <c r="C1175" s="811" t="s">
        <v>3283</v>
      </c>
      <c r="D1175" s="813" t="s">
        <v>3284</v>
      </c>
      <c r="E1175" s="814">
        <v>34403</v>
      </c>
      <c r="F1175" s="9">
        <f t="shared" ca="1" si="105"/>
        <v>32</v>
      </c>
      <c r="G1175" s="815">
        <v>43359</v>
      </c>
      <c r="H1175" s="813" t="s">
        <v>8</v>
      </c>
      <c r="I1175" s="814">
        <v>44902</v>
      </c>
      <c r="J1175" s="583" t="s">
        <v>8</v>
      </c>
      <c r="K1175" s="755" t="str">
        <f t="shared" si="107"/>
        <v>SI</v>
      </c>
      <c r="L1175" s="756" t="str">
        <f t="shared" si="108"/>
        <v xml:space="preserve">N </v>
      </c>
      <c r="M1175" s="756" t="str">
        <f t="shared" si="109"/>
        <v>RE</v>
      </c>
      <c r="N1175" s="757" t="str">
        <f t="shared" si="110"/>
        <v>GI</v>
      </c>
      <c r="O1175" s="8">
        <f t="shared" si="111"/>
        <v>45998</v>
      </c>
      <c r="P1175" s="2" t="s">
        <v>39</v>
      </c>
      <c r="Q1175" s="813" t="s">
        <v>1556</v>
      </c>
      <c r="R1175" s="810"/>
      <c r="S1175" s="9" t="str">
        <f t="shared" si="100"/>
        <v/>
      </c>
    </row>
    <row r="1176" spans="1:19" x14ac:dyDescent="0.3">
      <c r="A1176" s="10">
        <v>1172</v>
      </c>
      <c r="B1176" s="816" t="s">
        <v>111</v>
      </c>
      <c r="C1176" s="811" t="s">
        <v>3285</v>
      </c>
      <c r="D1176" s="813" t="s">
        <v>3286</v>
      </c>
      <c r="E1176" s="814">
        <v>33548</v>
      </c>
      <c r="F1176" s="9">
        <f t="shared" ca="1" si="105"/>
        <v>34</v>
      </c>
      <c r="G1176" s="815">
        <v>43199</v>
      </c>
      <c r="H1176" s="813" t="s">
        <v>271</v>
      </c>
      <c r="I1176" s="814">
        <v>44922</v>
      </c>
      <c r="J1176" s="583" t="s">
        <v>271</v>
      </c>
      <c r="K1176" s="755" t="str">
        <f t="shared" si="107"/>
        <v>I</v>
      </c>
      <c r="L1176" s="756" t="str">
        <f t="shared" si="108"/>
        <v>G8</v>
      </c>
      <c r="M1176" s="756" t="str">
        <f t="shared" si="109"/>
        <v>J1</v>
      </c>
      <c r="N1176" s="757" t="str">
        <f t="shared" si="110"/>
        <v/>
      </c>
      <c r="O1176" s="8">
        <f t="shared" si="111"/>
        <v>46018</v>
      </c>
      <c r="P1176" s="2" t="s">
        <v>39</v>
      </c>
      <c r="Q1176" s="813" t="s">
        <v>1556</v>
      </c>
      <c r="R1176" s="810"/>
      <c r="S1176" s="9" t="str">
        <f t="shared" si="100"/>
        <v/>
      </c>
    </row>
    <row r="1177" spans="1:19" x14ac:dyDescent="0.3">
      <c r="A1177" s="10">
        <v>1173</v>
      </c>
      <c r="B1177" s="816" t="s">
        <v>111</v>
      </c>
      <c r="C1177" s="811" t="s">
        <v>3287</v>
      </c>
      <c r="D1177" s="813" t="s">
        <v>3288</v>
      </c>
      <c r="E1177" s="814">
        <v>21045</v>
      </c>
      <c r="F1177" s="9">
        <f t="shared" ca="1" si="105"/>
        <v>69</v>
      </c>
      <c r="G1177" s="815">
        <v>43750</v>
      </c>
      <c r="H1177" s="813" t="s">
        <v>271</v>
      </c>
      <c r="I1177" s="814">
        <v>44914</v>
      </c>
      <c r="J1177" s="583" t="s">
        <v>275</v>
      </c>
      <c r="K1177" s="755" t="str">
        <f t="shared" si="107"/>
        <v>I</v>
      </c>
      <c r="L1177" s="756" t="str">
        <f t="shared" si="108"/>
        <v>G8</v>
      </c>
      <c r="M1177" s="756" t="str">
        <f t="shared" si="109"/>
        <v/>
      </c>
      <c r="N1177" s="757" t="str">
        <f t="shared" si="110"/>
        <v/>
      </c>
      <c r="O1177" s="8">
        <f t="shared" si="111"/>
        <v>46010</v>
      </c>
      <c r="P1177" s="2" t="s">
        <v>39</v>
      </c>
      <c r="Q1177" s="813" t="s">
        <v>1556</v>
      </c>
      <c r="R1177" s="812"/>
      <c r="S1177" s="9" t="str">
        <f t="shared" si="100"/>
        <v/>
      </c>
    </row>
    <row r="1178" spans="1:19" x14ac:dyDescent="0.3">
      <c r="A1178" s="10">
        <v>1174</v>
      </c>
      <c r="B1178" s="816" t="s">
        <v>111</v>
      </c>
      <c r="C1178" s="811" t="s">
        <v>3289</v>
      </c>
      <c r="D1178" s="813" t="s">
        <v>3290</v>
      </c>
      <c r="E1178" s="814">
        <v>30061</v>
      </c>
      <c r="F1178" s="9">
        <f t="shared" ca="1" si="105"/>
        <v>44</v>
      </c>
      <c r="G1178" s="815">
        <v>43280</v>
      </c>
      <c r="H1178" s="813" t="s">
        <v>1958</v>
      </c>
      <c r="I1178" s="814">
        <v>44909</v>
      </c>
      <c r="J1178" s="583" t="s">
        <v>954</v>
      </c>
      <c r="K1178" s="755" t="str">
        <f t="shared" si="107"/>
        <v>A1</v>
      </c>
      <c r="L1178" s="756" t="str">
        <f t="shared" si="108"/>
        <v>S</v>
      </c>
      <c r="M1178" s="756" t="str">
        <f t="shared" si="109"/>
        <v/>
      </c>
      <c r="N1178" s="757" t="str">
        <f t="shared" si="110"/>
        <v/>
      </c>
      <c r="O1178" s="8">
        <f t="shared" si="111"/>
        <v>45274</v>
      </c>
      <c r="P1178" s="2" t="s">
        <v>39</v>
      </c>
      <c r="Q1178" s="813" t="s">
        <v>1556</v>
      </c>
      <c r="R1178" s="810"/>
      <c r="S1178" s="9" t="str">
        <f t="shared" si="100"/>
        <v>VPH</v>
      </c>
    </row>
    <row r="1179" spans="1:19" x14ac:dyDescent="0.3">
      <c r="A1179" s="10">
        <v>1175</v>
      </c>
      <c r="B1179" s="816" t="s">
        <v>111</v>
      </c>
      <c r="C1179" s="811" t="s">
        <v>3291</v>
      </c>
      <c r="D1179" s="813" t="s">
        <v>3292</v>
      </c>
      <c r="E1179" s="814">
        <v>30004</v>
      </c>
      <c r="F1179" s="9">
        <f t="shared" ca="1" si="105"/>
        <v>44</v>
      </c>
      <c r="G1179" s="815">
        <v>44339</v>
      </c>
      <c r="H1179" s="813" t="s">
        <v>8</v>
      </c>
      <c r="I1179" s="814">
        <v>44907</v>
      </c>
      <c r="J1179" s="583" t="s">
        <v>271</v>
      </c>
      <c r="K1179" s="755" t="str">
        <f t="shared" si="107"/>
        <v>I</v>
      </c>
      <c r="L1179" s="756" t="str">
        <f t="shared" si="108"/>
        <v>G8</v>
      </c>
      <c r="M1179" s="756" t="str">
        <f t="shared" si="109"/>
        <v>J1</v>
      </c>
      <c r="N1179" s="757" t="str">
        <f t="shared" si="110"/>
        <v/>
      </c>
      <c r="O1179" s="8">
        <f t="shared" si="111"/>
        <v>46003</v>
      </c>
      <c r="P1179" s="2" t="s">
        <v>39</v>
      </c>
      <c r="Q1179" s="813" t="s">
        <v>1556</v>
      </c>
      <c r="R1179" s="810"/>
      <c r="S1179" s="9" t="str">
        <f t="shared" si="100"/>
        <v/>
      </c>
    </row>
    <row r="1180" spans="1:19" x14ac:dyDescent="0.3">
      <c r="A1180" s="10">
        <v>1176</v>
      </c>
      <c r="B1180" s="816" t="s">
        <v>111</v>
      </c>
      <c r="C1180" s="811" t="s">
        <v>3293</v>
      </c>
      <c r="D1180" s="813" t="s">
        <v>3294</v>
      </c>
      <c r="E1180" s="814">
        <v>34044</v>
      </c>
      <c r="F1180" s="9">
        <f t="shared" ca="1" si="105"/>
        <v>33</v>
      </c>
      <c r="G1180" s="815">
        <v>43248</v>
      </c>
      <c r="H1180" s="813" t="s">
        <v>275</v>
      </c>
      <c r="I1180" s="814">
        <v>44917</v>
      </c>
      <c r="J1180" s="583" t="s">
        <v>275</v>
      </c>
      <c r="K1180" s="755" t="str">
        <f t="shared" si="107"/>
        <v>I</v>
      </c>
      <c r="L1180" s="756" t="str">
        <f t="shared" si="108"/>
        <v>G8</v>
      </c>
      <c r="M1180" s="756" t="str">
        <f t="shared" si="109"/>
        <v/>
      </c>
      <c r="N1180" s="757" t="str">
        <f t="shared" si="110"/>
        <v/>
      </c>
      <c r="O1180" s="8">
        <f t="shared" si="111"/>
        <v>46013</v>
      </c>
      <c r="P1180" s="2" t="s">
        <v>39</v>
      </c>
      <c r="Q1180" s="813" t="s">
        <v>1556</v>
      </c>
      <c r="R1180" s="810"/>
      <c r="S1180" s="9" t="str">
        <f t="shared" si="100"/>
        <v/>
      </c>
    </row>
    <row r="1181" spans="1:19" x14ac:dyDescent="0.3">
      <c r="A1181" s="10">
        <v>1177</v>
      </c>
      <c r="B1181" s="816" t="s">
        <v>111</v>
      </c>
      <c r="C1181" s="811" t="s">
        <v>3295</v>
      </c>
      <c r="D1181" s="813" t="s">
        <v>3296</v>
      </c>
      <c r="E1181" s="814">
        <v>28480</v>
      </c>
      <c r="F1181" s="9">
        <f t="shared" ca="1" si="105"/>
        <v>48</v>
      </c>
      <c r="G1181" s="815">
        <v>44103</v>
      </c>
      <c r="H1181" s="813" t="s">
        <v>275</v>
      </c>
      <c r="I1181" s="814">
        <v>44926</v>
      </c>
      <c r="J1181" s="583" t="s">
        <v>275</v>
      </c>
      <c r="K1181" s="755" t="str">
        <f t="shared" si="107"/>
        <v>I</v>
      </c>
      <c r="L1181" s="756" t="str">
        <f t="shared" si="108"/>
        <v>G8</v>
      </c>
      <c r="M1181" s="756" t="str">
        <f t="shared" si="109"/>
        <v/>
      </c>
      <c r="N1181" s="757" t="str">
        <f t="shared" si="110"/>
        <v/>
      </c>
      <c r="O1181" s="8">
        <f t="shared" si="111"/>
        <v>46022</v>
      </c>
      <c r="P1181" s="2" t="s">
        <v>39</v>
      </c>
      <c r="Q1181" s="813" t="s">
        <v>1556</v>
      </c>
      <c r="R1181" s="810"/>
      <c r="S1181" s="9" t="str">
        <f t="shared" si="100"/>
        <v/>
      </c>
    </row>
    <row r="1182" spans="1:19" x14ac:dyDescent="0.3">
      <c r="A1182" s="10">
        <v>1178</v>
      </c>
      <c r="B1182" s="816" t="s">
        <v>111</v>
      </c>
      <c r="C1182" s="811" t="s">
        <v>3297</v>
      </c>
      <c r="D1182" s="813" t="s">
        <v>3298</v>
      </c>
      <c r="E1182" s="814">
        <v>26651</v>
      </c>
      <c r="F1182" s="9">
        <f t="shared" ca="1" si="105"/>
        <v>53</v>
      </c>
      <c r="G1182" s="815">
        <v>43597</v>
      </c>
      <c r="H1182" s="813" t="s">
        <v>275</v>
      </c>
      <c r="I1182" s="814">
        <v>44901</v>
      </c>
      <c r="J1182" s="583" t="s">
        <v>275</v>
      </c>
      <c r="K1182" s="755" t="str">
        <f t="shared" si="107"/>
        <v>I</v>
      </c>
      <c r="L1182" s="756" t="str">
        <f t="shared" si="108"/>
        <v>G8</v>
      </c>
      <c r="M1182" s="756" t="str">
        <f t="shared" si="109"/>
        <v/>
      </c>
      <c r="N1182" s="757" t="str">
        <f t="shared" si="110"/>
        <v/>
      </c>
      <c r="O1182" s="8">
        <f t="shared" si="111"/>
        <v>45997</v>
      </c>
      <c r="P1182" s="2" t="s">
        <v>39</v>
      </c>
      <c r="Q1182" s="813" t="s">
        <v>1556</v>
      </c>
      <c r="R1182" s="810"/>
      <c r="S1182" s="9" t="str">
        <f t="shared" si="100"/>
        <v/>
      </c>
    </row>
    <row r="1183" spans="1:19" x14ac:dyDescent="0.3">
      <c r="A1183" s="10">
        <v>1179</v>
      </c>
      <c r="B1183" s="824" t="s">
        <v>270</v>
      </c>
      <c r="C1183" s="820" t="s">
        <v>3299</v>
      </c>
      <c r="D1183" s="821" t="s">
        <v>3300</v>
      </c>
      <c r="E1183" s="822">
        <v>23197</v>
      </c>
      <c r="F1183" s="9">
        <f t="shared" ca="1" si="105"/>
        <v>63</v>
      </c>
      <c r="G1183" s="823">
        <v>43888</v>
      </c>
      <c r="H1183" s="821" t="s">
        <v>275</v>
      </c>
      <c r="I1183" s="822">
        <v>44896</v>
      </c>
      <c r="J1183" s="583" t="s">
        <v>275</v>
      </c>
      <c r="K1183" s="755" t="str">
        <f t="shared" si="107"/>
        <v>I</v>
      </c>
      <c r="L1183" s="756" t="str">
        <f t="shared" si="108"/>
        <v>G8</v>
      </c>
      <c r="M1183" s="756" t="str">
        <f t="shared" si="109"/>
        <v/>
      </c>
      <c r="N1183" s="757" t="str">
        <f t="shared" si="110"/>
        <v/>
      </c>
      <c r="O1183" s="8">
        <f t="shared" si="111"/>
        <v>45992</v>
      </c>
      <c r="P1183" s="2" t="s">
        <v>39</v>
      </c>
      <c r="Q1183" s="821" t="s">
        <v>1556</v>
      </c>
      <c r="R1183" s="819"/>
      <c r="S1183" s="9" t="str">
        <f t="shared" si="100"/>
        <v/>
      </c>
    </row>
    <row r="1184" spans="1:19" x14ac:dyDescent="0.3">
      <c r="A1184" s="10">
        <v>1180</v>
      </c>
      <c r="B1184" s="824" t="s">
        <v>270</v>
      </c>
      <c r="C1184" s="820" t="s">
        <v>3301</v>
      </c>
      <c r="D1184" s="821" t="s">
        <v>3302</v>
      </c>
      <c r="E1184" s="822">
        <v>26293</v>
      </c>
      <c r="F1184" s="9">
        <f t="shared" ca="1" si="105"/>
        <v>54</v>
      </c>
      <c r="G1184" s="823">
        <v>44417</v>
      </c>
      <c r="H1184" s="821" t="s">
        <v>271</v>
      </c>
      <c r="I1184" s="822">
        <v>44900</v>
      </c>
      <c r="J1184" s="583" t="s">
        <v>8</v>
      </c>
      <c r="K1184" s="755" t="str">
        <f t="shared" si="107"/>
        <v>SI</v>
      </c>
      <c r="L1184" s="756" t="str">
        <f t="shared" si="108"/>
        <v xml:space="preserve">N </v>
      </c>
      <c r="M1184" s="756" t="str">
        <f t="shared" si="109"/>
        <v>RE</v>
      </c>
      <c r="N1184" s="757" t="str">
        <f t="shared" si="110"/>
        <v>GI</v>
      </c>
      <c r="O1184" s="8">
        <f t="shared" si="111"/>
        <v>45996</v>
      </c>
      <c r="P1184" s="2" t="s">
        <v>39</v>
      </c>
      <c r="Q1184" s="821" t="s">
        <v>1556</v>
      </c>
      <c r="R1184" s="819"/>
      <c r="S1184" s="9" t="str">
        <f t="shared" si="100"/>
        <v/>
      </c>
    </row>
    <row r="1185" spans="1:19" x14ac:dyDescent="0.3">
      <c r="A1185" s="10">
        <v>1181</v>
      </c>
      <c r="B1185" s="824" t="s">
        <v>270</v>
      </c>
      <c r="C1185" s="820" t="s">
        <v>3303</v>
      </c>
      <c r="D1185" s="821" t="s">
        <v>3304</v>
      </c>
      <c r="E1185" s="822">
        <v>33559</v>
      </c>
      <c r="F1185" s="9">
        <f t="shared" ca="1" si="105"/>
        <v>34</v>
      </c>
      <c r="G1185" s="823">
        <v>43497</v>
      </c>
      <c r="H1185" s="821" t="s">
        <v>271</v>
      </c>
      <c r="I1185" s="822">
        <v>44925</v>
      </c>
      <c r="J1185" s="583" t="s">
        <v>735</v>
      </c>
      <c r="K1185" s="755" t="str">
        <f t="shared" si="107"/>
        <v>G3</v>
      </c>
      <c r="L1185" s="756" t="str">
        <f t="shared" si="108"/>
        <v>O5</v>
      </c>
      <c r="M1185" s="756" t="str">
        <f t="shared" si="109"/>
        <v/>
      </c>
      <c r="N1185" s="757" t="str">
        <f t="shared" si="110"/>
        <v/>
      </c>
      <c r="O1185" s="8">
        <f t="shared" si="111"/>
        <v>45015</v>
      </c>
      <c r="P1185" s="2" t="s">
        <v>39</v>
      </c>
      <c r="Q1185" s="821" t="s">
        <v>1556</v>
      </c>
      <c r="R1185" s="819"/>
      <c r="S1185" s="9" t="str">
        <f t="shared" si="100"/>
        <v/>
      </c>
    </row>
  </sheetData>
  <autoFilter ref="A4:S1185" xr:uid="{00000000-0009-0000-0000-000004000000}"/>
  <mergeCells count="1">
    <mergeCell ref="K4:N4"/>
  </mergeCells>
  <conditionalFormatting sqref="P4:P1070">
    <cfRule type="containsText" dxfId="36" priority="45" operator="containsText" text="ATRASADO">
      <formula>NOT(ISERROR(SEARCH("ATRASADO",P4)))</formula>
    </cfRule>
    <cfRule type="containsText" dxfId="35" priority="46" operator="containsText" text="VIGENTE">
      <formula>NOT(ISERROR(SEARCH("VIGENTE",P4)))</formula>
    </cfRule>
  </conditionalFormatting>
  <conditionalFormatting sqref="O5:O1185">
    <cfRule type="expression" dxfId="34" priority="47" stopIfTrue="1">
      <formula>$P5="ATRASADO"</formula>
    </cfRule>
    <cfRule type="expression" dxfId="33" priority="48">
      <formula>$P5="VIGENTE"</formula>
    </cfRule>
  </conditionalFormatting>
  <conditionalFormatting sqref="R4 R491:R591">
    <cfRule type="containsText" dxfId="32" priority="35" operator="containsText" text="SOSPECHA CLINICA">
      <formula>NOT(ISERROR(SEARCH("SOSPECHA CLINICA",R4)))</formula>
    </cfRule>
  </conditionalFormatting>
  <conditionalFormatting sqref="R5:R490">
    <cfRule type="containsText" dxfId="31" priority="31" operator="containsText" text="SOSPECHA CLINICA">
      <formula>NOT(ISERROR(SEARCH("SOSPECHA CLINICA",R5)))</formula>
    </cfRule>
  </conditionalFormatting>
  <conditionalFormatting sqref="J5:J671 J680:J756 J792:J819 J907:J1070 J1100:J1185">
    <cfRule type="containsText" dxfId="30" priority="29" operator="containsText" text="T">
      <formula>NOT(ISERROR(SEARCH("T",J5)))</formula>
    </cfRule>
    <cfRule type="containsBlanks" dxfId="29" priority="30">
      <formula>LEN(TRIM(J5))=0</formula>
    </cfRule>
    <cfRule type="containsText" dxfId="28" priority="32" operator="containsText" text="O3">
      <formula>NOT(ISERROR(SEARCH("O3",J5)))</formula>
    </cfRule>
    <cfRule type="containsText" dxfId="27" priority="33" operator="containsText" text="O5">
      <formula>NOT(ISERROR(SEARCH("O5",J5)))</formula>
    </cfRule>
    <cfRule type="containsText" dxfId="26" priority="34" operator="containsText" text="S">
      <formula>NOT(ISERROR(SEARCH("S",J5)))</formula>
    </cfRule>
  </conditionalFormatting>
  <conditionalFormatting sqref="J672:J679">
    <cfRule type="containsText" dxfId="25" priority="24" operator="containsText" text="T">
      <formula>NOT(ISERROR(SEARCH("T",J672)))</formula>
    </cfRule>
    <cfRule type="containsBlanks" dxfId="24" priority="25">
      <formula>LEN(TRIM(J672))=0</formula>
    </cfRule>
    <cfRule type="containsText" dxfId="23" priority="26" operator="containsText" text="O3">
      <formula>NOT(ISERROR(SEARCH("O3",J672)))</formula>
    </cfRule>
    <cfRule type="containsText" dxfId="22" priority="27" operator="containsText" text="O5">
      <formula>NOT(ISERROR(SEARCH("O5",J672)))</formula>
    </cfRule>
    <cfRule type="containsText" dxfId="21" priority="28" operator="containsText" text="S">
      <formula>NOT(ISERROR(SEARCH("S",J672)))</formula>
    </cfRule>
  </conditionalFormatting>
  <conditionalFormatting sqref="P1071:P1185">
    <cfRule type="containsText" dxfId="20" priority="20" operator="containsText" text="ATRASADO">
      <formula>NOT(ISERROR(SEARCH("ATRASADO",P1071)))</formula>
    </cfRule>
    <cfRule type="containsText" dxfId="19" priority="21" operator="containsText" text="VIGENTE">
      <formula>NOT(ISERROR(SEARCH("VIGENTE",P1071)))</formula>
    </cfRule>
  </conditionalFormatting>
  <conditionalFormatting sqref="J1071:J1099">
    <cfRule type="containsText" dxfId="18" priority="6" operator="containsText" text="T">
      <formula>NOT(ISERROR(SEARCH("T",J1071)))</formula>
    </cfRule>
    <cfRule type="containsBlanks" dxfId="17" priority="7">
      <formula>LEN(TRIM(J1071))=0</formula>
    </cfRule>
    <cfRule type="containsText" dxfId="16" priority="8" operator="containsText" text="O3">
      <formula>NOT(ISERROR(SEARCH("O3",J1071)))</formula>
    </cfRule>
    <cfRule type="containsText" dxfId="15" priority="9" operator="containsText" text="O5">
      <formula>NOT(ISERROR(SEARCH("O5",J1071)))</formula>
    </cfRule>
    <cfRule type="containsText" dxfId="14" priority="10" operator="containsText" text="S">
      <formula>NOT(ISERROR(SEARCH("S",J1071)))</formula>
    </cfRule>
  </conditionalFormatting>
  <conditionalFormatting sqref="J820:J855 J857:J906">
    <cfRule type="containsText" dxfId="13" priority="1" operator="containsText" text="T">
      <formula>NOT(ISERROR(SEARCH("T",J820)))</formula>
    </cfRule>
    <cfRule type="containsBlanks" dxfId="12" priority="2">
      <formula>LEN(TRIM(J820))=0</formula>
    </cfRule>
    <cfRule type="containsText" dxfId="11" priority="3" operator="containsText" text="O3">
      <formula>NOT(ISERROR(SEARCH("O3",J820)))</formula>
    </cfRule>
    <cfRule type="containsText" dxfId="10" priority="4" operator="containsText" text="O5">
      <formula>NOT(ISERROR(SEARCH("O5",J820)))</formula>
    </cfRule>
    <cfRule type="containsText" dxfId="9" priority="5" operator="containsText" text="S">
      <formula>NOT(ISERROR(SEARCH("S",J820)))</formula>
    </cfRule>
  </conditionalFormatting>
  <conditionalFormatting sqref="S1:S1048576">
    <cfRule type="containsText" dxfId="8" priority="11" operator="containsText" text="CANDIDA">
      <formula>NOT(ISERROR(SEARCH("CANDIDA",S1)))</formula>
    </cfRule>
    <cfRule type="containsText" dxfId="7" priority="12" operator="containsText" text="TRICOMONAS">
      <formula>NOT(ISERROR(SEARCH("TRICOMONAS",S1)))</formula>
    </cfRule>
    <cfRule type="containsText" dxfId="6" priority="13" operator="containsText" text="ACTINOMYCES">
      <formula>NOT(ISERROR(SEARCH("ACTINOMYCES",S1)))</formula>
    </cfRule>
    <cfRule type="containsText" dxfId="5" priority="14" operator="containsText" text="HERPES SIMPLEX">
      <formula>NOT(ISERROR(SEARCH("HERPES SIMPLEX",S1)))</formula>
    </cfRule>
    <cfRule type="containsText" dxfId="4" priority="15" operator="containsText" text="VPH">
      <formula>NOT(ISERROR(SEARCH("VPH",S1)))</formula>
    </cfRule>
    <cfRule type="containsText" dxfId="3" priority="16" operator="containsText" text="CITAR A UPC">
      <formula>NOT(ISERROR(SEARCH("CITAR A UPC",S1)))</formula>
    </cfRule>
    <cfRule type="containsText" dxfId="2" priority="17" operator="containsText" text="LESION SOSPECHOSA A UPC">
      <formula>NOT(ISERROR(SEARCH("LESION SOSPECHOSA A UPC",S1)))</formula>
    </cfRule>
    <cfRule type="containsText" dxfId="1" priority="18" operator="containsText" text="DERIVAR A UPC POR SEGUNDO ATIPICO">
      <formula>NOT(ISERROR(SEARCH("DERIVAR A UPC POR SEGUNDO ATIPICO",S1)))</formula>
    </cfRule>
    <cfRule type="containsText" dxfId="0" priority="19" operator="containsText" text="MANDAR A UPC / COLPOSCOPIA">
      <formula>NOT(ISERROR(SEARCH("MANDAR A UPC / COLPOSCOPIA",S1)))</formula>
    </cfRule>
  </conditionalFormatting>
  <pageMargins left="0.7" right="0.7" top="0.75" bottom="0.75" header="0.3" footer="0.3"/>
  <pageSetup orientation="portrait" verticalDpi="0" r:id="rId1"/>
  <headerFooter>
    <oddFooter>&amp;L&amp;8Planilla diseñada por María Cisterna Escobar, matrona&amp;R&amp;8Datos ficticios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2"/>
  <dimension ref="A1:S490"/>
  <sheetViews>
    <sheetView tabSelected="1" zoomScale="85" zoomScaleNormal="85" workbookViewId="0">
      <pane ySplit="3" topLeftCell="A480" activePane="bottomLeft" state="frozen"/>
      <selection pane="bottomLeft" activeCell="C492" sqref="C492"/>
    </sheetView>
  </sheetViews>
  <sheetFormatPr baseColWidth="10" defaultRowHeight="14.4" x14ac:dyDescent="0.3"/>
  <cols>
    <col min="1" max="1" width="5.109375" style="9" customWidth="1"/>
    <col min="2" max="2" width="17" style="2" customWidth="1"/>
    <col min="3" max="3" width="33" customWidth="1"/>
    <col min="4" max="4" width="11.88671875" style="2" customWidth="1"/>
    <col min="5" max="5" width="13.6640625" style="2" customWidth="1"/>
    <col min="6" max="6" width="7.33203125" customWidth="1"/>
    <col min="7" max="7" width="14.88671875" style="2" customWidth="1"/>
    <col min="8" max="8" width="15.33203125" style="2" customWidth="1"/>
    <col min="9" max="9" width="11.44140625" style="935"/>
    <col min="10" max="10" width="13.109375" style="583" customWidth="1"/>
    <col min="11" max="12" width="5.109375" customWidth="1"/>
    <col min="13" max="13" width="4.5546875" customWidth="1"/>
    <col min="14" max="14" width="5" customWidth="1"/>
    <col min="17" max="17" width="17.88671875" style="2" customWidth="1"/>
    <col min="18" max="18" width="47" bestFit="1" customWidth="1"/>
    <col min="19" max="19" width="19.88671875" customWidth="1"/>
  </cols>
  <sheetData>
    <row r="1" spans="1:19" s="11" customFormat="1" ht="18.600000000000001" customHeight="1" x14ac:dyDescent="0.3">
      <c r="A1" s="61"/>
      <c r="B1" s="782"/>
      <c r="D1" s="782"/>
      <c r="E1" s="782"/>
      <c r="G1" s="782"/>
      <c r="H1" s="782"/>
      <c r="I1" s="923"/>
      <c r="J1" s="817"/>
      <c r="Q1" s="782"/>
    </row>
    <row r="2" spans="1:19" s="11" customFormat="1" ht="30" customHeight="1" thickBot="1" x14ac:dyDescent="0.35">
      <c r="A2" s="61"/>
      <c r="B2" s="782"/>
      <c r="D2" s="782"/>
      <c r="E2" s="782"/>
      <c r="G2" s="782"/>
      <c r="H2" s="782"/>
      <c r="I2" s="923"/>
      <c r="J2" s="817"/>
      <c r="Q2" s="782"/>
    </row>
    <row r="3" spans="1:19" ht="50.25" customHeight="1" thickBot="1" x14ac:dyDescent="0.35">
      <c r="A3" s="114" t="s">
        <v>0</v>
      </c>
      <c r="B3" s="204" t="s">
        <v>3</v>
      </c>
      <c r="C3" s="115" t="s">
        <v>2</v>
      </c>
      <c r="D3" s="114" t="s">
        <v>42</v>
      </c>
      <c r="E3" s="232" t="s">
        <v>11</v>
      </c>
      <c r="F3" s="114" t="s">
        <v>12</v>
      </c>
      <c r="G3" s="230" t="s">
        <v>18</v>
      </c>
      <c r="H3" s="117" t="s">
        <v>17</v>
      </c>
      <c r="I3" s="116" t="s">
        <v>37</v>
      </c>
      <c r="J3" s="230" t="s">
        <v>20</v>
      </c>
      <c r="K3" s="1256" t="s">
        <v>19</v>
      </c>
      <c r="L3" s="1257"/>
      <c r="M3" s="1257"/>
      <c r="N3" s="1258"/>
      <c r="O3" s="118" t="s">
        <v>13</v>
      </c>
      <c r="P3" s="118" t="s">
        <v>14</v>
      </c>
      <c r="Q3" s="233" t="s">
        <v>7</v>
      </c>
      <c r="R3" s="119" t="s">
        <v>9</v>
      </c>
      <c r="S3" s="120" t="s">
        <v>21</v>
      </c>
    </row>
    <row r="4" spans="1:19" x14ac:dyDescent="0.3">
      <c r="A4" s="9">
        <v>1</v>
      </c>
      <c r="B4" s="842" t="s">
        <v>270</v>
      </c>
      <c r="C4" s="837" t="s">
        <v>3305</v>
      </c>
      <c r="D4" s="839" t="s">
        <v>3306</v>
      </c>
      <c r="E4" s="840">
        <v>29259</v>
      </c>
      <c r="F4" s="9">
        <f t="shared" ref="F4:F258" ca="1" si="0">IF(E4="","",DATEDIF(E4,TODAY(),"Y"))</f>
        <v>46</v>
      </c>
      <c r="G4" s="841">
        <v>43773</v>
      </c>
      <c r="H4" s="839" t="s">
        <v>271</v>
      </c>
      <c r="I4" s="924">
        <v>44934</v>
      </c>
      <c r="J4" s="850" t="s">
        <v>8</v>
      </c>
      <c r="K4" s="755" t="str">
        <f t="shared" ref="K4:K258" si="1">IF(OR(LEFT(J4,2)="T1",LEFT(J4,2)="T2",LEFT(J4,2)="A1",LEFT(J4,2)="D0",LEFT(J4,2)="D1",LEFT(J4,2)="D2",LEFT(J4,2)="D3",LEFT(J4,2)="E1",LEFT(J4,2)="E2"),LEFT(J4,2),IF(OR(LEFT(J4,1)="A",LEFT(J4,1)="B",LEFT(J4,1)="C",LEFT(J4,1)="D",LEFT(J4,1)="I",LEFT(J4,1)="E",LEFT(J4,1)="K",LEFT(J4,1)="T"),LEFT(J4,1),LEFT(J4,2)))</f>
        <v>SI</v>
      </c>
      <c r="L4" s="756" t="str">
        <f t="shared" ref="L4:L258" si="2">IF(AND(OR(LEFT(J4,2)="A1",LEFT(J4,2)="D0",LEFT(J4,2)="D1",LEFT(J4,2)="D2",LEFT(J4,2)="D3",LEFT(J4,2)="E1",LEFT(J4,2)="E2",LEFT(J4,2)="T1",LEFT(J4,2)="T2"),OR(MID(J4,3,1)="A",MID(J4,3,1)="B",MID(J4,3,1)="C",MID(J4,3,1)="D",MID(J4,3,1)="E",MID(J4,3,1)="I",MID(J4,3,1)="K",MID(J4,3,1)="T",MID(J4,3,1)="N",)),MID(J4,3,1),IF(OR(LEFT(J4,2)="A1",LEFT(J4,2)="D0",LEFT(J4,2)="D1",LEFT(J4,2)="D2",LEFT(J4,2)="D3",LEFT(J4,2)="E1",LEFT(J4,2)="E2",LEFT(J4,2)="T1",LEFT(J4,2)="T2"),MID(J4,3,2),IF(AND(OR(LEFT(J4,1)="A",LEFT(J4,1)="B",LEFT(J4,1)="C",LEFT(J4,1)="D",LEFT(J4,1)="E",LEFT(J4,1)="I",LEFT(J4,1)="K",LEFT(J4,1)="T",LEFT(J4,1)="N"),OR(MID(J4,2,1)="A",MID(J4,2,1)="B",MID(J4,2,1)="C",MID(J4,2,1)="D",MID(J4,2,1)="E",MID(J4,2,1)="I",MID(J4,2,1)="K",MID(J4,2,1)="T",MID(J4,2,1)="N")),MID(J4,2,2),IF(OR(LEFT(J4,1)="A",LEFT(J4,1)="B",LEFT(J4,1)="C",LEFT(J4,1)="D",LEFT(J4,1)="E",LEFT(J4,1)="I",LEFT(J4,1)="K",LEFT(J4,1)="T",LEFT(J4,1)="N"),MID(J4,2,2),MID(J4,3,2)))))</f>
        <v xml:space="preserve">N </v>
      </c>
      <c r="M4" s="756" t="str">
        <f t="shared" ref="M4:M258" si="3">IF(AND(OR(LEFT(J4,2)="A1",LEFT(J4,2)="D0",LEFT(J4,2)="D1",LEFT(J4,2)="D2",LEFT(J4,2)="D3",LEFT(J4,2)="E1",LEFT(J4,2)="E2",LEFT(J4,2)="T1",LEFT(J4,2)="T2"),OR(MID(J4,3,1)="A",MID(J4,3,1)="B",MID(J4,3,1)="C",MID(J4,3,1)="D",MID(J4,3,1)="E",MID(J4,3,1)="I",MID(J4,3,1)="K",MID(J4,3,1)="T",MID(J4,3,1)="N",)),MID(J4,4,2),IF(OR(LEFT(J4,2)="A1",LEFT(J4,2)="D0",LEFT(J4,2)="D1",LEFT(J4,2)="D2",LEFT(J4,2)="D3",LEFT(J4,2)="E1",LEFT(J4,2)="E2",LEFT(J4,2)="T1",LEFT(J4,2)="T2"),MID(J4,5,2),IF(AND(OR(LEFT(J4,1)="A",LEFT(J4,1)="B",LEFT(J4,1)="C",LEFT(J4,1)="D",LEFT(J4,1)="E",LEFT(J4,1)="I",LEFT(J4,1)="K",LEFT(J4,1)="T",LEFT(J4,1)="N"),OR(MID(J4,2,1)="A",MID(J4,2,1)="B",MID(J4,2,1)="C",MID(J4,2,1)="D",MID(J4,2,1)="E",MID(J4,2,1)="I",MID(J4,2,1)="K",MID(J4,2,1)="T",MID(J4,2,1)="N")),MID(J4,3,2),IF(OR(LEFT(J4,1)="A",LEFT(J4,1)="B",LEFT(J4,1)="C",LEFT(J4,1)="D",LEFT(J4,1)="E",LEFT(J4,1)="I",LEFT(J4,1)="K",LEFT(J4,1)="T",LEFT(J4,1)="N"),MID(J4,4,2),MID(J4,5,2)))))</f>
        <v>RE</v>
      </c>
      <c r="N4" s="757" t="str">
        <f t="shared" ref="N4:N258" si="4">IF(AND(OR(LEFT(J4,1)="I",LEFT(J4,1)="T",LEFT(J4,1)="A",LEFT(J4,1)="B",LEFT(J4,1)="C",LEFT(J4,1)="D",LEFT(J4,1)="E"),OR(MID(J4,2,1)="I",MID(J4,2,1)="T",MID(J4,2,1)="A",MID(J4,2,1)="B",MID(J4,2,1)="C",MID(J4,2,1)="D",MID(J4,2,1)="E")),MID(J4,5,2),IF(OR(LEFT(J4,1)="I",LEFT(J4,1)="T",LEFT(J4,1)="A",LEFT(J4,1)="B",LEFT(J4,1)="C",LEFT(J4,1)="D",LEFT(J4,1)="E"),MID(J4,6,2),MID(J4,7,2)))</f>
        <v>GI</v>
      </c>
      <c r="O4" s="8">
        <f t="shared" ref="O4:O259" si="5">IF(I4="","",IF(OR(K4="S",L4="S",M4="S",N4="S",K4="G7",L4="G7",M4="G7",N4="G7",),DATE(YEAR(I4)+1,MONTH(I4),DAY(I4)),IF(OR(K4="O3",L4="O3",M4="O3",N4="O3",K4="ASCUS",L4="ASCUS",M4="ASCUS",N4="ASCUS"),DATE(YEAR(I4),MONTH(I4)+6,DAY(I4)),IF(OR(K4="O5",L4="O5",M4="O5",N4="O5"),DATE(YEAR(I4),MONTH(I4)+3,DAY(I4)),IF(OR(K4="T",L4="T",M4="T",N4="T"),DATE(YEAR(I4),MONTH(I4)+1,DAY(I4)+10),DATE(YEAR(I4)+3,MONTH(I4),DAY(I4)))))))</f>
        <v>46030</v>
      </c>
      <c r="P4" s="2" t="str">
        <f t="shared" ref="P4:P259" ca="1" si="6">IF(O4="","",IF(YEAR(O4)&gt;YEAR(TODAY()),"VIGENTE",IF(AND(YEAR(O4)&gt;=YEAR(TODAY()),MONTH(O4)&gt;=MONTH(TODAY())),"VIGENTE","ATRASADO")))</f>
        <v>ATRASADO</v>
      </c>
      <c r="Q4" s="839" t="s">
        <v>1556</v>
      </c>
      <c r="R4" s="838"/>
      <c r="S4" s="9" t="str">
        <f t="shared" ref="S4:S258" si="7">IF(OR(K4="T1",L4="T1",M4="T1",N4="T1",),"LESION SOSPECHOSA A UPC",IF(OR(K4="T2",L4="T2",M4="T2",N4="T2",),"DERIVAR A UPC POR SEGUNDO ATIPICO",IF(OR(K4="J2",L4="J2",M4="J2",N4="J2",),"TRICOMONAS",IF(OR(K4="J3",L4="J3",M4="J3",N4="J3",),"HERPES SIMPLEX",IF(OR(K4="J5",L4="J5",M4="J5",N4="J5",),"CANDIDA",IF(OR(K4="J6",L4="J6",M4="J6",N4="J6",),"ACTINOMYCES",IF(OR(K4="A1",L4="A1",M4="A1",N4="A1",),"VPH",IF(OR(K4="ASC-H",L4="ASC-H",M4="ASC-H",K4="H2",K4="H3",K4="H4",N4="ASC-H",K4="AGUS",L4="AGUS",L4="H2",L4="H3",L4="H4",M4="AGUS",M4="H2",M4="H3",M4="H4",N4="AGUS",N4="H2",N4="H3",N4="H4"),"MANDAR A UPC / COLPOSCOPIA",IF(OR(K4="A",K4="B",K4="C",K4="D",K4="D0",K4="D1",K4="D2",K4="D3",K4="E",K4="E1",K4="E2",K4="K",K4="T",L4="A",L4="B",L4="C",L4="D",L4="D0",L4="D1",L4="D2",L4="D3",L4="E",L4="E1",L4="E2",L4="K",L4="T",M4="A",M4="B",M4="C",M4="D",M4="D0",M4="D1",M4="D2",M4="D3",M4="E",M4="E1",M4="E2",M4="K",M4="T",N4="A",N4="B",N4="C",N4="D",N4="D0",N4="D1",K4="D2",N4="D2",N4="D3",N4="E",N4="E1",N4="E2",N4="K",N4="T",),"CITAR A UPC","")))))))))</f>
        <v/>
      </c>
    </row>
    <row r="5" spans="1:19" x14ac:dyDescent="0.3">
      <c r="A5" s="9">
        <v>2</v>
      </c>
      <c r="B5" s="842" t="s">
        <v>270</v>
      </c>
      <c r="C5" s="837" t="s">
        <v>3307</v>
      </c>
      <c r="D5" s="839" t="s">
        <v>3308</v>
      </c>
      <c r="E5" s="840">
        <v>33759</v>
      </c>
      <c r="F5" s="9">
        <f t="shared" ca="1" si="0"/>
        <v>34</v>
      </c>
      <c r="G5" s="841">
        <v>43755</v>
      </c>
      <c r="H5" s="839" t="s">
        <v>271</v>
      </c>
      <c r="I5" s="924">
        <v>44953</v>
      </c>
      <c r="J5" s="583" t="s">
        <v>8</v>
      </c>
      <c r="K5" s="755" t="str">
        <f t="shared" si="1"/>
        <v>SI</v>
      </c>
      <c r="L5" s="756" t="str">
        <f t="shared" si="2"/>
        <v xml:space="preserve">N </v>
      </c>
      <c r="M5" s="756" t="str">
        <f t="shared" si="3"/>
        <v>RE</v>
      </c>
      <c r="N5" s="757" t="str">
        <f t="shared" si="4"/>
        <v>GI</v>
      </c>
      <c r="O5" s="8">
        <f>IF(I5="","",IF(OR(K5="S",L5="S",M5="S",N5="S",K5="G7",L5="G7",M5="G7",N5="G7",),DATE(YEAR(I5)+1,MONTH(I5),DAY(I5)),IF(OR(K5="O3",L5="O3",M5="O3",N5="O3",K5="ASCUS",L5="ASCUS",M5="ASCUS",N5="ASCUS"),DATE(YEAR(I5),MONTH(I5)+6,DAY(I5)),IF(OR(K5="O5",L5="O5",M5="O5",N5="O5"),DATE(YEAR(I5),MONTH(I5)+3,DAY(I5)),IF(OR(K5="T",L5="T",M5="T",N5="T"),DATE(YEAR(I5),MONTH(I5)+1,DAY(I5)+10),DATE(YEAR(I5)+3,MONTH(I5),DAY(I5)))))))</f>
        <v>46049</v>
      </c>
      <c r="P5" s="2" t="str">
        <f ca="1">IF(O5="","",IF(YEAR(O5)&gt;YEAR(TODAY()),"VIGENTE",IF(AND(YEAR(O5)&gt;=YEAR(TODAY()),MONTH(O5)&gt;=MONTH(TODAY())),"VIGENTE","ATRASADO")))</f>
        <v>ATRASADO</v>
      </c>
      <c r="Q5" s="839" t="s">
        <v>1556</v>
      </c>
      <c r="R5" s="836"/>
      <c r="S5" s="9" t="str">
        <f t="shared" si="7"/>
        <v/>
      </c>
    </row>
    <row r="6" spans="1:19" x14ac:dyDescent="0.3">
      <c r="A6" s="9">
        <v>3</v>
      </c>
      <c r="B6" s="849" t="s">
        <v>579</v>
      </c>
      <c r="C6" s="845" t="s">
        <v>3309</v>
      </c>
      <c r="D6" s="958" t="s">
        <v>3310</v>
      </c>
      <c r="E6" s="847">
        <v>32490</v>
      </c>
      <c r="F6" s="9">
        <f t="shared" ca="1" si="0"/>
        <v>37</v>
      </c>
      <c r="G6" s="848">
        <v>44408</v>
      </c>
      <c r="H6" s="846" t="s">
        <v>271</v>
      </c>
      <c r="I6" s="925">
        <v>44928</v>
      </c>
      <c r="J6" s="1002" t="s">
        <v>340</v>
      </c>
      <c r="K6" s="755" t="str">
        <f t="shared" si="1"/>
        <v>I</v>
      </c>
      <c r="L6" s="756" t="str">
        <f t="shared" si="2"/>
        <v>G8</v>
      </c>
      <c r="M6" s="756" t="str">
        <f t="shared" si="3"/>
        <v>S</v>
      </c>
      <c r="N6" s="757" t="str">
        <f t="shared" si="4"/>
        <v/>
      </c>
      <c r="O6" s="8">
        <f t="shared" si="5"/>
        <v>45293</v>
      </c>
      <c r="P6" s="2" t="str">
        <f t="shared" ca="1" si="6"/>
        <v>ATRASADO</v>
      </c>
      <c r="Q6" s="846" t="s">
        <v>1556</v>
      </c>
      <c r="R6" s="843"/>
      <c r="S6" s="9" t="str">
        <f t="shared" si="7"/>
        <v/>
      </c>
    </row>
    <row r="7" spans="1:19" x14ac:dyDescent="0.3">
      <c r="A7" s="9">
        <v>4</v>
      </c>
      <c r="B7" s="849" t="s">
        <v>579</v>
      </c>
      <c r="C7" s="845" t="s">
        <v>3311</v>
      </c>
      <c r="D7" s="846" t="s">
        <v>3312</v>
      </c>
      <c r="E7" s="847">
        <v>20541</v>
      </c>
      <c r="F7" s="9">
        <f t="shared" ca="1" si="0"/>
        <v>70</v>
      </c>
      <c r="G7" s="848">
        <v>43708</v>
      </c>
      <c r="H7" s="846" t="s">
        <v>275</v>
      </c>
      <c r="I7" s="925">
        <v>44947</v>
      </c>
      <c r="J7" s="583" t="s">
        <v>275</v>
      </c>
      <c r="K7" s="755" t="str">
        <f t="shared" si="1"/>
        <v>I</v>
      </c>
      <c r="L7" s="756" t="str">
        <f t="shared" si="2"/>
        <v>G8</v>
      </c>
      <c r="M7" s="756" t="str">
        <f t="shared" si="3"/>
        <v/>
      </c>
      <c r="N7" s="757" t="str">
        <f t="shared" si="4"/>
        <v/>
      </c>
      <c r="O7" s="8">
        <f t="shared" si="5"/>
        <v>46043</v>
      </c>
      <c r="P7" s="2" t="str">
        <f t="shared" ca="1" si="6"/>
        <v>ATRASADO</v>
      </c>
      <c r="Q7" s="846" t="s">
        <v>1556</v>
      </c>
      <c r="R7" s="844"/>
      <c r="S7" s="9" t="str">
        <f t="shared" si="7"/>
        <v/>
      </c>
    </row>
    <row r="8" spans="1:19" x14ac:dyDescent="0.3">
      <c r="A8" s="9">
        <v>5</v>
      </c>
      <c r="B8" s="849" t="s">
        <v>579</v>
      </c>
      <c r="C8" s="845" t="s">
        <v>3313</v>
      </c>
      <c r="D8" s="846" t="s">
        <v>3314</v>
      </c>
      <c r="E8" s="847">
        <v>22525</v>
      </c>
      <c r="F8" s="9">
        <f t="shared" ca="1" si="0"/>
        <v>65</v>
      </c>
      <c r="G8" s="848">
        <v>44499</v>
      </c>
      <c r="H8" s="846" t="s">
        <v>271</v>
      </c>
      <c r="I8" s="925">
        <v>44930</v>
      </c>
      <c r="J8" s="980" t="s">
        <v>271</v>
      </c>
      <c r="K8" s="755" t="str">
        <f t="shared" si="1"/>
        <v>I</v>
      </c>
      <c r="L8" s="756" t="str">
        <f t="shared" si="2"/>
        <v>G8</v>
      </c>
      <c r="M8" s="756" t="str">
        <f t="shared" si="3"/>
        <v>J1</v>
      </c>
      <c r="N8" s="757" t="str">
        <f t="shared" si="4"/>
        <v/>
      </c>
      <c r="O8" s="8">
        <f t="shared" si="5"/>
        <v>46026</v>
      </c>
      <c r="P8" s="2" t="str">
        <f t="shared" ca="1" si="6"/>
        <v>ATRASADO</v>
      </c>
      <c r="Q8" s="846" t="s">
        <v>1556</v>
      </c>
      <c r="R8" s="844"/>
      <c r="S8" s="9" t="str">
        <f t="shared" si="7"/>
        <v/>
      </c>
    </row>
    <row r="9" spans="1:19" x14ac:dyDescent="0.3">
      <c r="A9" s="9">
        <v>6</v>
      </c>
      <c r="B9" s="849" t="s">
        <v>579</v>
      </c>
      <c r="C9" s="845" t="s">
        <v>3315</v>
      </c>
      <c r="D9" s="846" t="s">
        <v>3316</v>
      </c>
      <c r="E9" s="847">
        <v>21019</v>
      </c>
      <c r="F9" s="9">
        <f t="shared" ca="1" si="0"/>
        <v>69</v>
      </c>
      <c r="G9" s="848">
        <v>43588</v>
      </c>
      <c r="H9" s="846" t="s">
        <v>271</v>
      </c>
      <c r="I9" s="925">
        <v>44936</v>
      </c>
      <c r="J9" s="583" t="s">
        <v>275</v>
      </c>
      <c r="K9" s="755" t="str">
        <f t="shared" si="1"/>
        <v>I</v>
      </c>
      <c r="L9" s="756" t="str">
        <f t="shared" si="2"/>
        <v>G8</v>
      </c>
      <c r="M9" s="756" t="str">
        <f t="shared" si="3"/>
        <v/>
      </c>
      <c r="N9" s="757" t="str">
        <f t="shared" si="4"/>
        <v/>
      </c>
      <c r="O9" s="8">
        <f t="shared" si="5"/>
        <v>46032</v>
      </c>
      <c r="P9" s="2" t="str">
        <f t="shared" ca="1" si="6"/>
        <v>ATRASADO</v>
      </c>
      <c r="Q9" s="846" t="s">
        <v>1556</v>
      </c>
      <c r="R9" s="843"/>
      <c r="S9" s="9" t="str">
        <f t="shared" si="7"/>
        <v/>
      </c>
    </row>
    <row r="10" spans="1:19" x14ac:dyDescent="0.3">
      <c r="A10" s="9">
        <v>7</v>
      </c>
      <c r="B10" s="849" t="s">
        <v>579</v>
      </c>
      <c r="C10" s="845" t="s">
        <v>3317</v>
      </c>
      <c r="D10" s="846" t="s">
        <v>3318</v>
      </c>
      <c r="E10" s="847">
        <v>26322</v>
      </c>
      <c r="F10" s="9">
        <f t="shared" ca="1" si="0"/>
        <v>54</v>
      </c>
      <c r="G10" s="848">
        <v>44316</v>
      </c>
      <c r="H10" s="846" t="s">
        <v>271</v>
      </c>
      <c r="I10" s="925">
        <v>44954</v>
      </c>
      <c r="J10" s="583" t="s">
        <v>275</v>
      </c>
      <c r="K10" s="755" t="str">
        <f t="shared" si="1"/>
        <v>I</v>
      </c>
      <c r="L10" s="756" t="str">
        <f t="shared" si="2"/>
        <v>G8</v>
      </c>
      <c r="M10" s="756" t="str">
        <f t="shared" si="3"/>
        <v/>
      </c>
      <c r="N10" s="757" t="str">
        <f t="shared" si="4"/>
        <v/>
      </c>
      <c r="O10" s="8">
        <f t="shared" si="5"/>
        <v>46050</v>
      </c>
      <c r="P10" s="2" t="str">
        <f t="shared" ca="1" si="6"/>
        <v>ATRASADO</v>
      </c>
      <c r="Q10" s="846" t="s">
        <v>1556</v>
      </c>
      <c r="R10" s="844"/>
      <c r="S10" s="9" t="str">
        <f t="shared" si="7"/>
        <v/>
      </c>
    </row>
    <row r="11" spans="1:19" x14ac:dyDescent="0.3">
      <c r="A11" s="9">
        <v>8</v>
      </c>
      <c r="B11" s="857" t="s">
        <v>75</v>
      </c>
      <c r="C11" s="852" t="s">
        <v>3319</v>
      </c>
      <c r="D11" s="854" t="s">
        <v>3320</v>
      </c>
      <c r="E11" s="855">
        <v>30360</v>
      </c>
      <c r="F11" s="9">
        <f t="shared" ca="1" si="0"/>
        <v>43</v>
      </c>
      <c r="G11" s="856">
        <v>44182</v>
      </c>
      <c r="H11" s="854" t="s">
        <v>271</v>
      </c>
      <c r="I11" s="926">
        <v>44952</v>
      </c>
      <c r="J11" s="583" t="s">
        <v>275</v>
      </c>
      <c r="K11" s="755" t="str">
        <f t="shared" si="1"/>
        <v>I</v>
      </c>
      <c r="L11" s="756" t="str">
        <f t="shared" si="2"/>
        <v>G8</v>
      </c>
      <c r="M11" s="756" t="str">
        <f t="shared" si="3"/>
        <v/>
      </c>
      <c r="N11" s="757" t="str">
        <f t="shared" si="4"/>
        <v/>
      </c>
      <c r="O11" s="8">
        <f t="shared" si="5"/>
        <v>46048</v>
      </c>
      <c r="P11" s="2" t="str">
        <f t="shared" ca="1" si="6"/>
        <v>ATRASADO</v>
      </c>
      <c r="Q11" s="854" t="s">
        <v>1556</v>
      </c>
      <c r="R11" s="853" t="s">
        <v>2663</v>
      </c>
      <c r="S11" s="9" t="str">
        <f t="shared" si="7"/>
        <v/>
      </c>
    </row>
    <row r="12" spans="1:19" x14ac:dyDescent="0.3">
      <c r="A12" s="9">
        <v>9</v>
      </c>
      <c r="B12" s="857" t="s">
        <v>75</v>
      </c>
      <c r="C12" s="852" t="s">
        <v>3321</v>
      </c>
      <c r="D12" s="854" t="s">
        <v>3322</v>
      </c>
      <c r="E12" s="855">
        <v>33349</v>
      </c>
      <c r="F12" s="9">
        <f t="shared" ca="1" si="0"/>
        <v>35</v>
      </c>
      <c r="G12" s="856">
        <v>43622</v>
      </c>
      <c r="H12" s="854" t="s">
        <v>327</v>
      </c>
      <c r="I12" s="926">
        <v>44936</v>
      </c>
      <c r="J12" s="583" t="s">
        <v>8</v>
      </c>
      <c r="K12" s="755" t="str">
        <f t="shared" si="1"/>
        <v>SI</v>
      </c>
      <c r="L12" s="756" t="str">
        <f t="shared" si="2"/>
        <v xml:space="preserve">N </v>
      </c>
      <c r="M12" s="756" t="str">
        <f t="shared" si="3"/>
        <v>RE</v>
      </c>
      <c r="N12" s="757" t="str">
        <f t="shared" si="4"/>
        <v>GI</v>
      </c>
      <c r="O12" s="8">
        <f t="shared" si="5"/>
        <v>46032</v>
      </c>
      <c r="P12" s="2" t="str">
        <f t="shared" ca="1" si="6"/>
        <v>ATRASADO</v>
      </c>
      <c r="Q12" s="854" t="s">
        <v>1556</v>
      </c>
      <c r="R12" s="851"/>
      <c r="S12" s="9" t="str">
        <f t="shared" si="7"/>
        <v/>
      </c>
    </row>
    <row r="13" spans="1:19" x14ac:dyDescent="0.3">
      <c r="A13" s="9">
        <v>10</v>
      </c>
      <c r="B13" s="857" t="s">
        <v>75</v>
      </c>
      <c r="C13" s="852" t="s">
        <v>3323</v>
      </c>
      <c r="D13" s="854" t="s">
        <v>3324</v>
      </c>
      <c r="E13" s="855">
        <v>27720</v>
      </c>
      <c r="F13" s="9">
        <f t="shared" ca="1" si="0"/>
        <v>50</v>
      </c>
      <c r="G13" s="856">
        <v>43506</v>
      </c>
      <c r="H13" s="854" t="s">
        <v>275</v>
      </c>
      <c r="I13" s="926">
        <v>44928</v>
      </c>
      <c r="J13" s="583" t="s">
        <v>271</v>
      </c>
      <c r="K13" s="755" t="str">
        <f t="shared" si="1"/>
        <v>I</v>
      </c>
      <c r="L13" s="756" t="str">
        <f t="shared" si="2"/>
        <v>G8</v>
      </c>
      <c r="M13" s="756" t="str">
        <f t="shared" si="3"/>
        <v>J1</v>
      </c>
      <c r="N13" s="757" t="str">
        <f t="shared" si="4"/>
        <v/>
      </c>
      <c r="O13" s="8">
        <f t="shared" si="5"/>
        <v>46024</v>
      </c>
      <c r="P13" s="2" t="str">
        <f t="shared" ca="1" si="6"/>
        <v>ATRASADO</v>
      </c>
      <c r="Q13" s="854" t="s">
        <v>1556</v>
      </c>
      <c r="R13" s="853"/>
      <c r="S13" s="9" t="str">
        <f t="shared" si="7"/>
        <v/>
      </c>
    </row>
    <row r="14" spans="1:19" x14ac:dyDescent="0.3">
      <c r="A14" s="9">
        <v>11</v>
      </c>
      <c r="B14" s="857" t="s">
        <v>75</v>
      </c>
      <c r="C14" s="852" t="s">
        <v>3325</v>
      </c>
      <c r="D14" s="854" t="s">
        <v>3326</v>
      </c>
      <c r="E14" s="855">
        <v>35067</v>
      </c>
      <c r="F14" s="9">
        <f t="shared" ca="1" si="0"/>
        <v>30</v>
      </c>
      <c r="G14" s="856">
        <v>44607</v>
      </c>
      <c r="H14" s="854" t="s">
        <v>271</v>
      </c>
      <c r="I14" s="926">
        <v>44931</v>
      </c>
      <c r="J14" s="583" t="s">
        <v>8</v>
      </c>
      <c r="K14" s="755" t="str">
        <f t="shared" si="1"/>
        <v>SI</v>
      </c>
      <c r="L14" s="756" t="str">
        <f t="shared" si="2"/>
        <v xml:space="preserve">N </v>
      </c>
      <c r="M14" s="756" t="str">
        <f t="shared" si="3"/>
        <v>RE</v>
      </c>
      <c r="N14" s="757" t="str">
        <f t="shared" si="4"/>
        <v>GI</v>
      </c>
      <c r="O14" s="8">
        <f t="shared" si="5"/>
        <v>46027</v>
      </c>
      <c r="P14" s="2" t="str">
        <f t="shared" ca="1" si="6"/>
        <v>ATRASADO</v>
      </c>
      <c r="Q14" s="854" t="s">
        <v>1556</v>
      </c>
      <c r="R14" s="851"/>
      <c r="S14" s="9" t="str">
        <f t="shared" si="7"/>
        <v/>
      </c>
    </row>
    <row r="15" spans="1:19" x14ac:dyDescent="0.3">
      <c r="A15" s="9">
        <v>12</v>
      </c>
      <c r="B15" s="857" t="s">
        <v>75</v>
      </c>
      <c r="C15" s="852" t="s">
        <v>3327</v>
      </c>
      <c r="D15" s="854" t="s">
        <v>3328</v>
      </c>
      <c r="E15" s="855">
        <v>25319</v>
      </c>
      <c r="F15" s="9">
        <f t="shared" ca="1" si="0"/>
        <v>57</v>
      </c>
      <c r="G15" s="856">
        <v>44335</v>
      </c>
      <c r="H15" s="854" t="s">
        <v>271</v>
      </c>
      <c r="I15" s="926">
        <v>44942</v>
      </c>
      <c r="J15" s="583" t="s">
        <v>271</v>
      </c>
      <c r="K15" s="755" t="str">
        <f t="shared" si="1"/>
        <v>I</v>
      </c>
      <c r="L15" s="756" t="str">
        <f t="shared" si="2"/>
        <v>G8</v>
      </c>
      <c r="M15" s="756" t="str">
        <f t="shared" si="3"/>
        <v>J1</v>
      </c>
      <c r="N15" s="757" t="str">
        <f t="shared" si="4"/>
        <v/>
      </c>
      <c r="O15" s="8">
        <f t="shared" si="5"/>
        <v>46038</v>
      </c>
      <c r="P15" s="2" t="str">
        <f t="shared" ca="1" si="6"/>
        <v>ATRASADO</v>
      </c>
      <c r="Q15" s="854" t="s">
        <v>1556</v>
      </c>
      <c r="R15" s="851"/>
      <c r="S15" s="9" t="str">
        <f t="shared" si="7"/>
        <v/>
      </c>
    </row>
    <row r="16" spans="1:19" x14ac:dyDescent="0.3">
      <c r="A16" s="9">
        <v>13</v>
      </c>
      <c r="B16" s="857" t="s">
        <v>75</v>
      </c>
      <c r="C16" s="852" t="s">
        <v>3329</v>
      </c>
      <c r="D16" s="854" t="s">
        <v>3330</v>
      </c>
      <c r="E16" s="855">
        <v>22753</v>
      </c>
      <c r="F16" s="9">
        <f t="shared" ca="1" si="0"/>
        <v>64</v>
      </c>
      <c r="G16" s="856">
        <v>43808</v>
      </c>
      <c r="H16" s="854" t="s">
        <v>275</v>
      </c>
      <c r="I16" s="926">
        <v>44955</v>
      </c>
      <c r="J16" s="980" t="s">
        <v>275</v>
      </c>
      <c r="K16" s="755" t="str">
        <f t="shared" si="1"/>
        <v>I</v>
      </c>
      <c r="L16" s="756" t="str">
        <f t="shared" si="2"/>
        <v>G8</v>
      </c>
      <c r="M16" s="756" t="str">
        <f t="shared" si="3"/>
        <v/>
      </c>
      <c r="N16" s="757" t="str">
        <f t="shared" si="4"/>
        <v/>
      </c>
      <c r="O16" s="8">
        <f t="shared" si="5"/>
        <v>46051</v>
      </c>
      <c r="P16" s="2" t="str">
        <f t="shared" ca="1" si="6"/>
        <v>ATRASADO</v>
      </c>
      <c r="Q16" s="854" t="s">
        <v>1556</v>
      </c>
      <c r="R16" s="851"/>
      <c r="S16" s="9" t="str">
        <f t="shared" si="7"/>
        <v/>
      </c>
    </row>
    <row r="17" spans="1:19" x14ac:dyDescent="0.3">
      <c r="A17" s="9">
        <v>14</v>
      </c>
      <c r="B17" s="857" t="s">
        <v>75</v>
      </c>
      <c r="C17" s="852" t="s">
        <v>3331</v>
      </c>
      <c r="D17" s="854" t="s">
        <v>3332</v>
      </c>
      <c r="E17" s="855">
        <v>21573</v>
      </c>
      <c r="F17" s="9">
        <f t="shared" ca="1" si="0"/>
        <v>67</v>
      </c>
      <c r="G17" s="856">
        <v>43974</v>
      </c>
      <c r="H17" s="854" t="s">
        <v>320</v>
      </c>
      <c r="I17" s="926">
        <v>44929</v>
      </c>
      <c r="J17" s="583" t="s">
        <v>275</v>
      </c>
      <c r="K17" s="755" t="str">
        <f t="shared" si="1"/>
        <v>I</v>
      </c>
      <c r="L17" s="756" t="str">
        <f t="shared" si="2"/>
        <v>G8</v>
      </c>
      <c r="M17" s="756" t="str">
        <f t="shared" si="3"/>
        <v/>
      </c>
      <c r="N17" s="757" t="str">
        <f t="shared" si="4"/>
        <v/>
      </c>
      <c r="O17" s="8">
        <f t="shared" si="5"/>
        <v>46025</v>
      </c>
      <c r="P17" s="2" t="str">
        <f t="shared" ca="1" si="6"/>
        <v>ATRASADO</v>
      </c>
      <c r="Q17" s="854" t="s">
        <v>1556</v>
      </c>
      <c r="R17" s="851"/>
      <c r="S17" s="9" t="str">
        <f t="shared" si="7"/>
        <v/>
      </c>
    </row>
    <row r="18" spans="1:19" x14ac:dyDescent="0.3">
      <c r="A18" s="9">
        <v>15</v>
      </c>
      <c r="B18" s="864" t="s">
        <v>75</v>
      </c>
      <c r="C18" s="859" t="s">
        <v>3333</v>
      </c>
      <c r="D18" s="861" t="s">
        <v>3334</v>
      </c>
      <c r="E18" s="862">
        <v>24055</v>
      </c>
      <c r="F18" s="9">
        <f t="shared" ca="1" si="0"/>
        <v>60</v>
      </c>
      <c r="G18" s="863">
        <v>44052</v>
      </c>
      <c r="H18" s="861" t="s">
        <v>271</v>
      </c>
      <c r="I18" s="927">
        <v>44952</v>
      </c>
      <c r="J18" s="583" t="s">
        <v>275</v>
      </c>
      <c r="K18" s="755" t="str">
        <f t="shared" si="1"/>
        <v>I</v>
      </c>
      <c r="L18" s="756" t="str">
        <f t="shared" si="2"/>
        <v>G8</v>
      </c>
      <c r="M18" s="756" t="str">
        <f t="shared" si="3"/>
        <v/>
      </c>
      <c r="N18" s="757" t="str">
        <f t="shared" si="4"/>
        <v/>
      </c>
      <c r="O18" s="8">
        <f t="shared" si="5"/>
        <v>46048</v>
      </c>
      <c r="P18" s="2" t="str">
        <f t="shared" ca="1" si="6"/>
        <v>ATRASADO</v>
      </c>
      <c r="Q18" s="861" t="s">
        <v>1556</v>
      </c>
      <c r="R18" s="860" t="s">
        <v>2003</v>
      </c>
      <c r="S18" s="9" t="str">
        <f t="shared" si="7"/>
        <v/>
      </c>
    </row>
    <row r="19" spans="1:19" x14ac:dyDescent="0.3">
      <c r="A19" s="9">
        <v>16</v>
      </c>
      <c r="B19" s="864" t="s">
        <v>75</v>
      </c>
      <c r="C19" s="859" t="s">
        <v>3335</v>
      </c>
      <c r="D19" s="861" t="s">
        <v>3336</v>
      </c>
      <c r="E19" s="862">
        <v>32305</v>
      </c>
      <c r="F19" s="9">
        <f t="shared" ca="1" si="0"/>
        <v>38</v>
      </c>
      <c r="G19" s="863">
        <v>43146</v>
      </c>
      <c r="H19" s="861" t="s">
        <v>275</v>
      </c>
      <c r="I19" s="927">
        <v>44930</v>
      </c>
      <c r="J19" s="583" t="s">
        <v>271</v>
      </c>
      <c r="K19" s="755" t="str">
        <f t="shared" si="1"/>
        <v>I</v>
      </c>
      <c r="L19" s="756" t="str">
        <f t="shared" si="2"/>
        <v>G8</v>
      </c>
      <c r="M19" s="756" t="str">
        <f t="shared" si="3"/>
        <v>J1</v>
      </c>
      <c r="N19" s="757" t="str">
        <f t="shared" si="4"/>
        <v/>
      </c>
      <c r="O19" s="8">
        <f t="shared" si="5"/>
        <v>46026</v>
      </c>
      <c r="P19" s="2" t="str">
        <f t="shared" ca="1" si="6"/>
        <v>ATRASADO</v>
      </c>
      <c r="Q19" s="861" t="s">
        <v>1556</v>
      </c>
      <c r="R19" s="858"/>
      <c r="S19" s="9" t="str">
        <f t="shared" si="7"/>
        <v/>
      </c>
    </row>
    <row r="20" spans="1:19" x14ac:dyDescent="0.3">
      <c r="A20" s="9">
        <v>17</v>
      </c>
      <c r="B20" s="864" t="s">
        <v>75</v>
      </c>
      <c r="C20" s="859" t="s">
        <v>3337</v>
      </c>
      <c r="D20" s="861" t="s">
        <v>3338</v>
      </c>
      <c r="E20" s="862">
        <v>22468</v>
      </c>
      <c r="F20" s="9">
        <f t="shared" ca="1" si="0"/>
        <v>65</v>
      </c>
      <c r="G20" s="863">
        <v>44127</v>
      </c>
      <c r="H20" s="861" t="s">
        <v>271</v>
      </c>
      <c r="I20" s="927">
        <v>44954</v>
      </c>
      <c r="J20" s="583" t="s">
        <v>275</v>
      </c>
      <c r="K20" s="755" t="str">
        <f t="shared" si="1"/>
        <v>I</v>
      </c>
      <c r="L20" s="756" t="str">
        <f t="shared" si="2"/>
        <v>G8</v>
      </c>
      <c r="M20" s="756" t="str">
        <f t="shared" si="3"/>
        <v/>
      </c>
      <c r="N20" s="757" t="str">
        <f t="shared" si="4"/>
        <v/>
      </c>
      <c r="O20" s="8">
        <f t="shared" si="5"/>
        <v>46050</v>
      </c>
      <c r="P20" s="2" t="str">
        <f t="shared" ca="1" si="6"/>
        <v>ATRASADO</v>
      </c>
      <c r="Q20" s="861" t="s">
        <v>1556</v>
      </c>
      <c r="R20" s="858"/>
      <c r="S20" s="9" t="str">
        <f t="shared" si="7"/>
        <v/>
      </c>
    </row>
    <row r="21" spans="1:19" x14ac:dyDescent="0.3">
      <c r="A21" s="9">
        <v>18</v>
      </c>
      <c r="B21" s="864" t="s">
        <v>75</v>
      </c>
      <c r="C21" s="859" t="s">
        <v>3339</v>
      </c>
      <c r="D21" s="861" t="s">
        <v>3340</v>
      </c>
      <c r="E21" s="862">
        <v>27322</v>
      </c>
      <c r="F21" s="9">
        <f t="shared" ca="1" si="0"/>
        <v>51</v>
      </c>
      <c r="G21" s="863">
        <v>44039</v>
      </c>
      <c r="H21" s="861" t="s">
        <v>271</v>
      </c>
      <c r="I21" s="927">
        <v>44931</v>
      </c>
      <c r="J21" s="583" t="s">
        <v>8</v>
      </c>
      <c r="K21" s="755" t="str">
        <f t="shared" si="1"/>
        <v>SI</v>
      </c>
      <c r="L21" s="756" t="str">
        <f t="shared" si="2"/>
        <v xml:space="preserve">N </v>
      </c>
      <c r="M21" s="756" t="str">
        <f t="shared" si="3"/>
        <v>RE</v>
      </c>
      <c r="N21" s="757" t="str">
        <f t="shared" si="4"/>
        <v>GI</v>
      </c>
      <c r="O21" s="8">
        <f t="shared" si="5"/>
        <v>46027</v>
      </c>
      <c r="P21" s="2" t="str">
        <f t="shared" ca="1" si="6"/>
        <v>ATRASADO</v>
      </c>
      <c r="Q21" s="861" t="s">
        <v>1556</v>
      </c>
      <c r="R21" s="865"/>
      <c r="S21" s="9" t="str">
        <f t="shared" si="7"/>
        <v/>
      </c>
    </row>
    <row r="22" spans="1:19" x14ac:dyDescent="0.3">
      <c r="A22" s="9">
        <v>19</v>
      </c>
      <c r="B22" s="864" t="s">
        <v>75</v>
      </c>
      <c r="C22" s="859" t="s">
        <v>3341</v>
      </c>
      <c r="D22" s="861" t="s">
        <v>3342</v>
      </c>
      <c r="E22" s="862">
        <v>35113</v>
      </c>
      <c r="F22" s="9">
        <f t="shared" ca="1" si="0"/>
        <v>30</v>
      </c>
      <c r="G22" s="863">
        <v>43294</v>
      </c>
      <c r="H22" s="861" t="s">
        <v>8</v>
      </c>
      <c r="I22" s="927">
        <v>44948</v>
      </c>
      <c r="J22" s="583" t="s">
        <v>327</v>
      </c>
      <c r="K22" s="755" t="str">
        <f t="shared" si="1"/>
        <v>I</v>
      </c>
      <c r="L22" s="756" t="str">
        <f t="shared" si="2"/>
        <v>G7</v>
      </c>
      <c r="M22" s="756" t="str">
        <f t="shared" si="3"/>
        <v>S</v>
      </c>
      <c r="N22" s="757" t="str">
        <f t="shared" si="4"/>
        <v/>
      </c>
      <c r="O22" s="8">
        <f t="shared" si="5"/>
        <v>45313</v>
      </c>
      <c r="P22" s="2" t="str">
        <f t="shared" ca="1" si="6"/>
        <v>ATRASADO</v>
      </c>
      <c r="Q22" s="861" t="s">
        <v>1556</v>
      </c>
      <c r="R22" s="860"/>
      <c r="S22" s="9" t="str">
        <f t="shared" si="7"/>
        <v/>
      </c>
    </row>
    <row r="23" spans="1:19" x14ac:dyDescent="0.3">
      <c r="A23" s="9">
        <v>20</v>
      </c>
      <c r="B23" s="864" t="s">
        <v>75</v>
      </c>
      <c r="C23" s="859" t="s">
        <v>3343</v>
      </c>
      <c r="D23" s="861" t="s">
        <v>3344</v>
      </c>
      <c r="E23" s="862">
        <v>21870</v>
      </c>
      <c r="F23" s="9">
        <f t="shared" ca="1" si="0"/>
        <v>66</v>
      </c>
      <c r="G23" s="863">
        <v>43351</v>
      </c>
      <c r="H23" s="861" t="s">
        <v>275</v>
      </c>
      <c r="I23" s="927">
        <v>44949</v>
      </c>
      <c r="J23" s="583" t="s">
        <v>275</v>
      </c>
      <c r="K23" s="755" t="str">
        <f t="shared" si="1"/>
        <v>I</v>
      </c>
      <c r="L23" s="756" t="str">
        <f t="shared" si="2"/>
        <v>G8</v>
      </c>
      <c r="M23" s="756" t="str">
        <f t="shared" si="3"/>
        <v/>
      </c>
      <c r="N23" s="757" t="str">
        <f t="shared" si="4"/>
        <v/>
      </c>
      <c r="O23" s="8">
        <f t="shared" si="5"/>
        <v>46045</v>
      </c>
      <c r="P23" s="2" t="str">
        <f t="shared" ca="1" si="6"/>
        <v>ATRASADO</v>
      </c>
      <c r="Q23" s="861" t="s">
        <v>1556</v>
      </c>
      <c r="R23" s="858"/>
      <c r="S23" s="9" t="str">
        <f t="shared" si="7"/>
        <v/>
      </c>
    </row>
    <row r="24" spans="1:19" x14ac:dyDescent="0.3">
      <c r="A24" s="9">
        <v>21</v>
      </c>
      <c r="B24" s="874" t="s">
        <v>346</v>
      </c>
      <c r="C24" s="870" t="s">
        <v>3345</v>
      </c>
      <c r="D24" s="872" t="s">
        <v>3346</v>
      </c>
      <c r="E24" s="873">
        <v>32432</v>
      </c>
      <c r="F24" s="9">
        <f t="shared" ca="1" si="0"/>
        <v>37</v>
      </c>
      <c r="G24" s="872" t="s">
        <v>8</v>
      </c>
      <c r="H24" s="872" t="s">
        <v>8</v>
      </c>
      <c r="I24" s="928">
        <v>44935</v>
      </c>
      <c r="J24" s="583" t="s">
        <v>275</v>
      </c>
      <c r="K24" s="755" t="str">
        <f t="shared" si="1"/>
        <v>I</v>
      </c>
      <c r="L24" s="756" t="str">
        <f t="shared" si="2"/>
        <v>G8</v>
      </c>
      <c r="M24" s="756" t="str">
        <f t="shared" si="3"/>
        <v/>
      </c>
      <c r="N24" s="757" t="str">
        <f t="shared" si="4"/>
        <v/>
      </c>
      <c r="O24" s="8">
        <f t="shared" si="5"/>
        <v>46031</v>
      </c>
      <c r="P24" s="2" t="str">
        <f t="shared" ca="1" si="6"/>
        <v>ATRASADO</v>
      </c>
      <c r="Q24" s="872" t="s">
        <v>1556</v>
      </c>
      <c r="R24" s="869"/>
      <c r="S24" s="9" t="str">
        <f t="shared" si="7"/>
        <v/>
      </c>
    </row>
    <row r="25" spans="1:19" x14ac:dyDescent="0.3">
      <c r="A25" s="9">
        <v>22</v>
      </c>
      <c r="B25" s="874" t="s">
        <v>346</v>
      </c>
      <c r="C25" s="870" t="s">
        <v>3347</v>
      </c>
      <c r="D25" s="872" t="s">
        <v>3348</v>
      </c>
      <c r="E25" s="873">
        <v>29720</v>
      </c>
      <c r="F25" s="9">
        <f t="shared" ca="1" si="0"/>
        <v>45</v>
      </c>
      <c r="G25" s="875">
        <v>43294</v>
      </c>
      <c r="H25" s="872" t="s">
        <v>271</v>
      </c>
      <c r="I25" s="928">
        <v>44953</v>
      </c>
      <c r="J25" s="583" t="s">
        <v>271</v>
      </c>
      <c r="K25" s="755" t="str">
        <f t="shared" si="1"/>
        <v>I</v>
      </c>
      <c r="L25" s="756" t="str">
        <f t="shared" si="2"/>
        <v>G8</v>
      </c>
      <c r="M25" s="756" t="str">
        <f t="shared" si="3"/>
        <v>J1</v>
      </c>
      <c r="N25" s="757" t="str">
        <f t="shared" si="4"/>
        <v/>
      </c>
      <c r="O25" s="8">
        <f t="shared" si="5"/>
        <v>46049</v>
      </c>
      <c r="P25" s="2" t="str">
        <f t="shared" ca="1" si="6"/>
        <v>ATRASADO</v>
      </c>
      <c r="Q25" s="872" t="s">
        <v>1556</v>
      </c>
      <c r="R25" s="869"/>
      <c r="S25" s="9" t="str">
        <f t="shared" si="7"/>
        <v/>
      </c>
    </row>
    <row r="26" spans="1:19" x14ac:dyDescent="0.3">
      <c r="A26" s="9">
        <v>23</v>
      </c>
      <c r="B26" s="874" t="s">
        <v>346</v>
      </c>
      <c r="C26" s="870" t="s">
        <v>3349</v>
      </c>
      <c r="D26" s="872" t="s">
        <v>3350</v>
      </c>
      <c r="E26" s="873">
        <v>27201</v>
      </c>
      <c r="F26" s="9">
        <f t="shared" ca="1" si="0"/>
        <v>52</v>
      </c>
      <c r="G26" s="875">
        <v>44165</v>
      </c>
      <c r="H26" s="872" t="s">
        <v>8</v>
      </c>
      <c r="I26" s="928">
        <v>44927</v>
      </c>
      <c r="J26" s="583" t="s">
        <v>275</v>
      </c>
      <c r="K26" s="755" t="str">
        <f t="shared" si="1"/>
        <v>I</v>
      </c>
      <c r="L26" s="756" t="str">
        <f t="shared" si="2"/>
        <v>G8</v>
      </c>
      <c r="M26" s="756" t="str">
        <f t="shared" si="3"/>
        <v/>
      </c>
      <c r="N26" s="757" t="str">
        <f t="shared" si="4"/>
        <v/>
      </c>
      <c r="O26" s="8">
        <f t="shared" si="5"/>
        <v>46023</v>
      </c>
      <c r="P26" s="2" t="str">
        <f t="shared" ca="1" si="6"/>
        <v>ATRASADO</v>
      </c>
      <c r="Q26" s="872" t="s">
        <v>1556</v>
      </c>
      <c r="R26" s="869"/>
      <c r="S26" s="9" t="str">
        <f t="shared" si="7"/>
        <v/>
      </c>
    </row>
    <row r="27" spans="1:19" x14ac:dyDescent="0.3">
      <c r="A27" s="9">
        <v>24</v>
      </c>
      <c r="B27" s="874" t="s">
        <v>346</v>
      </c>
      <c r="C27" s="870" t="s">
        <v>3351</v>
      </c>
      <c r="D27" s="872" t="s">
        <v>3352</v>
      </c>
      <c r="E27" s="873">
        <v>28697</v>
      </c>
      <c r="F27" s="9">
        <f t="shared" ca="1" si="0"/>
        <v>48</v>
      </c>
      <c r="G27" s="875">
        <v>44545</v>
      </c>
      <c r="H27" s="872" t="s">
        <v>8</v>
      </c>
      <c r="I27" s="928">
        <v>44943</v>
      </c>
      <c r="J27" s="583" t="s">
        <v>275</v>
      </c>
      <c r="K27" s="755" t="str">
        <f t="shared" si="1"/>
        <v>I</v>
      </c>
      <c r="L27" s="756" t="str">
        <f t="shared" si="2"/>
        <v>G8</v>
      </c>
      <c r="M27" s="756" t="str">
        <f t="shared" si="3"/>
        <v/>
      </c>
      <c r="N27" s="757" t="str">
        <f t="shared" si="4"/>
        <v/>
      </c>
      <c r="O27" s="8">
        <f t="shared" si="5"/>
        <v>46039</v>
      </c>
      <c r="P27" s="2" t="str">
        <f t="shared" ca="1" si="6"/>
        <v>ATRASADO</v>
      </c>
      <c r="Q27" s="872" t="s">
        <v>1556</v>
      </c>
      <c r="R27" s="869"/>
      <c r="S27" s="9" t="str">
        <f t="shared" si="7"/>
        <v/>
      </c>
    </row>
    <row r="28" spans="1:19" x14ac:dyDescent="0.3">
      <c r="A28" s="9">
        <v>25</v>
      </c>
      <c r="B28" s="874" t="s">
        <v>346</v>
      </c>
      <c r="C28" s="870" t="s">
        <v>3353</v>
      </c>
      <c r="D28" s="872" t="s">
        <v>3354</v>
      </c>
      <c r="E28" s="873">
        <v>34019</v>
      </c>
      <c r="F28" s="9">
        <f t="shared" ca="1" si="0"/>
        <v>33</v>
      </c>
      <c r="G28" s="875">
        <v>44529</v>
      </c>
      <c r="H28" s="872" t="s">
        <v>271</v>
      </c>
      <c r="I28" s="928">
        <v>44942</v>
      </c>
      <c r="J28" s="583" t="s">
        <v>8</v>
      </c>
      <c r="K28" s="755" t="str">
        <f t="shared" si="1"/>
        <v>SI</v>
      </c>
      <c r="L28" s="756" t="str">
        <f t="shared" si="2"/>
        <v xml:space="preserve">N </v>
      </c>
      <c r="M28" s="756" t="str">
        <f t="shared" si="3"/>
        <v>RE</v>
      </c>
      <c r="N28" s="757" t="str">
        <f t="shared" si="4"/>
        <v>GI</v>
      </c>
      <c r="O28" s="8">
        <f t="shared" si="5"/>
        <v>46038</v>
      </c>
      <c r="P28" s="2" t="str">
        <f t="shared" ca="1" si="6"/>
        <v>ATRASADO</v>
      </c>
      <c r="Q28" s="872" t="s">
        <v>1556</v>
      </c>
      <c r="R28" s="871"/>
      <c r="S28" s="9" t="str">
        <f t="shared" si="7"/>
        <v/>
      </c>
    </row>
    <row r="29" spans="1:19" x14ac:dyDescent="0.3">
      <c r="A29" s="9">
        <v>26</v>
      </c>
      <c r="B29" s="874" t="s">
        <v>346</v>
      </c>
      <c r="C29" s="870" t="s">
        <v>3355</v>
      </c>
      <c r="D29" s="872" t="s">
        <v>3356</v>
      </c>
      <c r="E29" s="873">
        <v>31491</v>
      </c>
      <c r="F29" s="9">
        <f t="shared" ca="1" si="0"/>
        <v>40</v>
      </c>
      <c r="G29" s="875">
        <v>44639</v>
      </c>
      <c r="H29" s="872" t="s">
        <v>271</v>
      </c>
      <c r="I29" s="928">
        <v>44950</v>
      </c>
      <c r="J29" s="583" t="s">
        <v>271</v>
      </c>
      <c r="K29" s="755" t="str">
        <f t="shared" si="1"/>
        <v>I</v>
      </c>
      <c r="L29" s="756" t="str">
        <f t="shared" si="2"/>
        <v>G8</v>
      </c>
      <c r="M29" s="756" t="str">
        <f t="shared" si="3"/>
        <v>J1</v>
      </c>
      <c r="N29" s="757" t="str">
        <f t="shared" si="4"/>
        <v/>
      </c>
      <c r="O29" s="8">
        <f t="shared" si="5"/>
        <v>46046</v>
      </c>
      <c r="P29" s="2" t="str">
        <f t="shared" ca="1" si="6"/>
        <v>ATRASADO</v>
      </c>
      <c r="Q29" s="872" t="s">
        <v>1556</v>
      </c>
      <c r="R29" s="871" t="s">
        <v>2540</v>
      </c>
      <c r="S29" s="9" t="str">
        <f t="shared" si="7"/>
        <v/>
      </c>
    </row>
    <row r="30" spans="1:19" x14ac:dyDescent="0.3">
      <c r="A30" s="9">
        <v>27</v>
      </c>
      <c r="B30" s="874" t="s">
        <v>346</v>
      </c>
      <c r="C30" s="870" t="s">
        <v>3357</v>
      </c>
      <c r="D30" s="872" t="s">
        <v>3358</v>
      </c>
      <c r="E30" s="873">
        <v>26274</v>
      </c>
      <c r="F30" s="9">
        <f t="shared" ca="1" si="0"/>
        <v>54</v>
      </c>
      <c r="G30" s="875">
        <v>43307</v>
      </c>
      <c r="H30" s="872" t="s">
        <v>275</v>
      </c>
      <c r="I30" s="928">
        <v>44957</v>
      </c>
      <c r="J30" s="583" t="s">
        <v>8</v>
      </c>
      <c r="K30" s="755" t="str">
        <f t="shared" si="1"/>
        <v>SI</v>
      </c>
      <c r="L30" s="756" t="str">
        <f t="shared" si="2"/>
        <v xml:space="preserve">N </v>
      </c>
      <c r="M30" s="756" t="str">
        <f t="shared" si="3"/>
        <v>RE</v>
      </c>
      <c r="N30" s="757" t="str">
        <f t="shared" si="4"/>
        <v>GI</v>
      </c>
      <c r="O30" s="8">
        <f t="shared" si="5"/>
        <v>46053</v>
      </c>
      <c r="P30" s="2" t="str">
        <f t="shared" ca="1" si="6"/>
        <v>ATRASADO</v>
      </c>
      <c r="Q30" s="872" t="s">
        <v>1556</v>
      </c>
      <c r="R30" s="869"/>
      <c r="S30" s="9" t="str">
        <f t="shared" si="7"/>
        <v/>
      </c>
    </row>
    <row r="31" spans="1:19" x14ac:dyDescent="0.3">
      <c r="A31" s="9">
        <v>28</v>
      </c>
      <c r="B31" s="874" t="s">
        <v>346</v>
      </c>
      <c r="C31" s="870" t="s">
        <v>3359</v>
      </c>
      <c r="D31" s="872" t="s">
        <v>3360</v>
      </c>
      <c r="E31" s="873">
        <v>27825</v>
      </c>
      <c r="F31" s="9">
        <f t="shared" ca="1" si="0"/>
        <v>50</v>
      </c>
      <c r="G31" s="875">
        <v>43468</v>
      </c>
      <c r="H31" s="872" t="s">
        <v>8</v>
      </c>
      <c r="I31" s="928">
        <v>44934</v>
      </c>
      <c r="J31" s="583" t="s">
        <v>275</v>
      </c>
      <c r="K31" s="755" t="str">
        <f t="shared" si="1"/>
        <v>I</v>
      </c>
      <c r="L31" s="756" t="str">
        <f t="shared" si="2"/>
        <v>G8</v>
      </c>
      <c r="M31" s="756" t="str">
        <f t="shared" si="3"/>
        <v/>
      </c>
      <c r="N31" s="757" t="str">
        <f t="shared" si="4"/>
        <v/>
      </c>
      <c r="O31" s="8">
        <f t="shared" si="5"/>
        <v>46030</v>
      </c>
      <c r="P31" s="2" t="str">
        <f t="shared" ca="1" si="6"/>
        <v>ATRASADO</v>
      </c>
      <c r="Q31" s="872" t="s">
        <v>1556</v>
      </c>
      <c r="R31" s="869"/>
      <c r="S31" s="9" t="str">
        <f t="shared" si="7"/>
        <v/>
      </c>
    </row>
    <row r="32" spans="1:19" x14ac:dyDescent="0.3">
      <c r="A32" s="9">
        <v>29</v>
      </c>
      <c r="B32" s="874" t="s">
        <v>346</v>
      </c>
      <c r="C32" s="870" t="s">
        <v>3361</v>
      </c>
      <c r="D32" s="872" t="s">
        <v>3362</v>
      </c>
      <c r="E32" s="873">
        <v>29206</v>
      </c>
      <c r="F32" s="9">
        <f t="shared" ca="1" si="0"/>
        <v>46</v>
      </c>
      <c r="G32" s="875">
        <v>43264</v>
      </c>
      <c r="H32" s="872" t="s">
        <v>275</v>
      </c>
      <c r="I32" s="928">
        <v>44952</v>
      </c>
      <c r="J32" s="583" t="s">
        <v>271</v>
      </c>
      <c r="K32" s="755" t="str">
        <f t="shared" si="1"/>
        <v>I</v>
      </c>
      <c r="L32" s="756" t="str">
        <f t="shared" si="2"/>
        <v>G8</v>
      </c>
      <c r="M32" s="756" t="str">
        <f t="shared" si="3"/>
        <v>J1</v>
      </c>
      <c r="N32" s="757" t="str">
        <f t="shared" si="4"/>
        <v/>
      </c>
      <c r="O32" s="8">
        <f t="shared" si="5"/>
        <v>46048</v>
      </c>
      <c r="P32" s="2" t="str">
        <f t="shared" ca="1" si="6"/>
        <v>ATRASADO</v>
      </c>
      <c r="Q32" s="872" t="s">
        <v>1556</v>
      </c>
      <c r="R32" s="869"/>
      <c r="S32" s="9" t="str">
        <f t="shared" si="7"/>
        <v/>
      </c>
    </row>
    <row r="33" spans="1:19" x14ac:dyDescent="0.3">
      <c r="A33" s="9">
        <v>30</v>
      </c>
      <c r="B33" s="874" t="s">
        <v>346</v>
      </c>
      <c r="C33" s="870" t="s">
        <v>3364</v>
      </c>
      <c r="D33" s="872" t="s">
        <v>3365</v>
      </c>
      <c r="E33" s="873">
        <v>29900</v>
      </c>
      <c r="F33" s="9">
        <f t="shared" ca="1" si="0"/>
        <v>44</v>
      </c>
      <c r="G33" s="875">
        <v>43445</v>
      </c>
      <c r="H33" s="872" t="s">
        <v>275</v>
      </c>
      <c r="I33" s="928">
        <v>44946</v>
      </c>
      <c r="J33" s="583" t="s">
        <v>271</v>
      </c>
      <c r="K33" s="755" t="str">
        <f t="shared" si="1"/>
        <v>I</v>
      </c>
      <c r="L33" s="756" t="str">
        <f t="shared" si="2"/>
        <v>G8</v>
      </c>
      <c r="M33" s="756" t="str">
        <f t="shared" si="3"/>
        <v>J1</v>
      </c>
      <c r="N33" s="757" t="str">
        <f t="shared" si="4"/>
        <v/>
      </c>
      <c r="O33" s="8">
        <f t="shared" si="5"/>
        <v>46042</v>
      </c>
      <c r="P33" s="2" t="str">
        <f t="shared" ca="1" si="6"/>
        <v>ATRASADO</v>
      </c>
      <c r="Q33" s="872" t="s">
        <v>1556</v>
      </c>
      <c r="R33" s="871"/>
      <c r="S33" s="9" t="str">
        <f t="shared" si="7"/>
        <v/>
      </c>
    </row>
    <row r="34" spans="1:19" x14ac:dyDescent="0.3">
      <c r="A34" s="9">
        <v>31</v>
      </c>
      <c r="B34" s="884" t="s">
        <v>78</v>
      </c>
      <c r="C34" s="879" t="s">
        <v>3366</v>
      </c>
      <c r="D34" s="881" t="s">
        <v>3367</v>
      </c>
      <c r="E34" s="882">
        <v>21601</v>
      </c>
      <c r="F34" s="9">
        <f t="shared" ca="1" si="0"/>
        <v>67</v>
      </c>
      <c r="G34" s="883">
        <v>43182</v>
      </c>
      <c r="H34" s="881" t="s">
        <v>327</v>
      </c>
      <c r="I34" s="929">
        <v>44957</v>
      </c>
      <c r="J34" s="583" t="s">
        <v>271</v>
      </c>
      <c r="K34" s="755" t="str">
        <f t="shared" si="1"/>
        <v>I</v>
      </c>
      <c r="L34" s="756" t="str">
        <f t="shared" si="2"/>
        <v>G8</v>
      </c>
      <c r="M34" s="756" t="str">
        <f t="shared" si="3"/>
        <v>J1</v>
      </c>
      <c r="N34" s="757" t="str">
        <f t="shared" si="4"/>
        <v/>
      </c>
      <c r="O34" s="8">
        <f t="shared" si="5"/>
        <v>46053</v>
      </c>
      <c r="P34" s="2" t="str">
        <f t="shared" ca="1" si="6"/>
        <v>ATRASADO</v>
      </c>
      <c r="Q34" s="881" t="s">
        <v>1556</v>
      </c>
      <c r="R34" s="878"/>
      <c r="S34" s="9" t="str">
        <f t="shared" si="7"/>
        <v/>
      </c>
    </row>
    <row r="35" spans="1:19" x14ac:dyDescent="0.3">
      <c r="A35" s="9">
        <v>32</v>
      </c>
      <c r="B35" s="884" t="s">
        <v>78</v>
      </c>
      <c r="C35" s="879" t="s">
        <v>3368</v>
      </c>
      <c r="D35" s="881" t="s">
        <v>3369</v>
      </c>
      <c r="E35" s="882">
        <v>33404</v>
      </c>
      <c r="F35" s="9">
        <f t="shared" ca="1" si="0"/>
        <v>35</v>
      </c>
      <c r="G35" s="883">
        <v>43265</v>
      </c>
      <c r="H35" s="881" t="s">
        <v>271</v>
      </c>
      <c r="I35" s="929">
        <v>44933</v>
      </c>
      <c r="J35" s="583" t="s">
        <v>340</v>
      </c>
      <c r="K35" s="755" t="str">
        <f t="shared" si="1"/>
        <v>I</v>
      </c>
      <c r="L35" s="756" t="str">
        <f t="shared" si="2"/>
        <v>G8</v>
      </c>
      <c r="M35" s="756" t="str">
        <f t="shared" si="3"/>
        <v>S</v>
      </c>
      <c r="N35" s="757" t="str">
        <f t="shared" si="4"/>
        <v/>
      </c>
      <c r="O35" s="8">
        <f t="shared" si="5"/>
        <v>45298</v>
      </c>
      <c r="P35" s="2" t="str">
        <f t="shared" ca="1" si="6"/>
        <v>ATRASADO</v>
      </c>
      <c r="Q35" s="881" t="s">
        <v>1556</v>
      </c>
      <c r="R35" s="878"/>
      <c r="S35" s="9" t="str">
        <f t="shared" si="7"/>
        <v/>
      </c>
    </row>
    <row r="36" spans="1:19" x14ac:dyDescent="0.3">
      <c r="A36" s="9">
        <v>33</v>
      </c>
      <c r="B36" s="884" t="s">
        <v>78</v>
      </c>
      <c r="C36" s="879" t="s">
        <v>3370</v>
      </c>
      <c r="D36" s="881" t="s">
        <v>3371</v>
      </c>
      <c r="E36" s="882">
        <v>33119</v>
      </c>
      <c r="F36" s="9">
        <f t="shared" ca="1" si="0"/>
        <v>36</v>
      </c>
      <c r="G36" s="883">
        <v>44005</v>
      </c>
      <c r="H36" s="881" t="s">
        <v>271</v>
      </c>
      <c r="I36" s="929">
        <v>44954</v>
      </c>
      <c r="J36" s="583" t="s">
        <v>275</v>
      </c>
      <c r="K36" s="755" t="str">
        <f t="shared" si="1"/>
        <v>I</v>
      </c>
      <c r="L36" s="756" t="str">
        <f t="shared" si="2"/>
        <v>G8</v>
      </c>
      <c r="M36" s="756" t="str">
        <f t="shared" si="3"/>
        <v/>
      </c>
      <c r="N36" s="757" t="str">
        <f t="shared" si="4"/>
        <v/>
      </c>
      <c r="O36" s="8">
        <f t="shared" si="5"/>
        <v>46050</v>
      </c>
      <c r="P36" s="2" t="str">
        <f t="shared" ca="1" si="6"/>
        <v>ATRASADO</v>
      </c>
      <c r="Q36" s="881" t="s">
        <v>1556</v>
      </c>
      <c r="R36" s="878"/>
      <c r="S36" s="9" t="str">
        <f t="shared" si="7"/>
        <v/>
      </c>
    </row>
    <row r="37" spans="1:19" x14ac:dyDescent="0.3">
      <c r="A37" s="9">
        <v>34</v>
      </c>
      <c r="B37" s="884" t="s">
        <v>78</v>
      </c>
      <c r="C37" s="879" t="s">
        <v>3372</v>
      </c>
      <c r="D37" s="881" t="s">
        <v>3373</v>
      </c>
      <c r="E37" s="882">
        <v>33793</v>
      </c>
      <c r="F37" s="9">
        <f t="shared" ca="1" si="0"/>
        <v>34</v>
      </c>
      <c r="G37" s="883">
        <v>43670</v>
      </c>
      <c r="H37" s="881" t="s">
        <v>275</v>
      </c>
      <c r="I37" s="929">
        <v>44938</v>
      </c>
      <c r="J37" s="583" t="s">
        <v>271</v>
      </c>
      <c r="K37" s="755" t="str">
        <f t="shared" si="1"/>
        <v>I</v>
      </c>
      <c r="L37" s="756" t="str">
        <f t="shared" si="2"/>
        <v>G8</v>
      </c>
      <c r="M37" s="756" t="str">
        <f t="shared" si="3"/>
        <v>J1</v>
      </c>
      <c r="N37" s="757" t="str">
        <f t="shared" si="4"/>
        <v/>
      </c>
      <c r="O37" s="8">
        <f t="shared" si="5"/>
        <v>46034</v>
      </c>
      <c r="P37" s="2" t="str">
        <f t="shared" ca="1" si="6"/>
        <v>ATRASADO</v>
      </c>
      <c r="Q37" s="881" t="s">
        <v>1556</v>
      </c>
      <c r="R37" s="885" t="s">
        <v>1601</v>
      </c>
      <c r="S37" s="9" t="str">
        <f t="shared" si="7"/>
        <v/>
      </c>
    </row>
    <row r="38" spans="1:19" x14ac:dyDescent="0.3">
      <c r="A38" s="9">
        <v>35</v>
      </c>
      <c r="B38" s="884" t="s">
        <v>78</v>
      </c>
      <c r="C38" s="879" t="s">
        <v>3374</v>
      </c>
      <c r="D38" s="881" t="s">
        <v>3375</v>
      </c>
      <c r="E38" s="882">
        <v>36846</v>
      </c>
      <c r="F38" s="9">
        <f t="shared" ca="1" si="0"/>
        <v>25</v>
      </c>
      <c r="G38" s="883">
        <v>43383</v>
      </c>
      <c r="H38" s="881" t="s">
        <v>271</v>
      </c>
      <c r="I38" s="929">
        <v>44947</v>
      </c>
      <c r="J38" s="583" t="s">
        <v>271</v>
      </c>
      <c r="K38" s="755" t="str">
        <f t="shared" si="1"/>
        <v>I</v>
      </c>
      <c r="L38" s="756" t="str">
        <f t="shared" si="2"/>
        <v>G8</v>
      </c>
      <c r="M38" s="756" t="str">
        <f t="shared" si="3"/>
        <v>J1</v>
      </c>
      <c r="N38" s="757" t="str">
        <f t="shared" si="4"/>
        <v/>
      </c>
      <c r="O38" s="8">
        <f t="shared" si="5"/>
        <v>46043</v>
      </c>
      <c r="P38" s="2" t="str">
        <f t="shared" ca="1" si="6"/>
        <v>ATRASADO</v>
      </c>
      <c r="Q38" s="881" t="s">
        <v>1556</v>
      </c>
      <c r="R38" s="878"/>
      <c r="S38" s="9" t="str">
        <f t="shared" si="7"/>
        <v/>
      </c>
    </row>
    <row r="39" spans="1:19" x14ac:dyDescent="0.3">
      <c r="A39" s="9">
        <v>36</v>
      </c>
      <c r="B39" s="884" t="s">
        <v>78</v>
      </c>
      <c r="C39" s="879" t="s">
        <v>3376</v>
      </c>
      <c r="D39" s="881" t="s">
        <v>3377</v>
      </c>
      <c r="E39" s="882">
        <v>34747</v>
      </c>
      <c r="F39" s="9">
        <f t="shared" ca="1" si="0"/>
        <v>31</v>
      </c>
      <c r="G39" s="883">
        <v>43229</v>
      </c>
      <c r="H39" s="881" t="s">
        <v>8</v>
      </c>
      <c r="I39" s="929">
        <v>44953</v>
      </c>
      <c r="J39" s="583" t="s">
        <v>275</v>
      </c>
      <c r="K39" s="755" t="str">
        <f t="shared" si="1"/>
        <v>I</v>
      </c>
      <c r="L39" s="756" t="str">
        <f t="shared" si="2"/>
        <v>G8</v>
      </c>
      <c r="M39" s="756" t="str">
        <f t="shared" si="3"/>
        <v/>
      </c>
      <c r="N39" s="757" t="str">
        <f t="shared" si="4"/>
        <v/>
      </c>
      <c r="O39" s="8">
        <f t="shared" si="5"/>
        <v>46049</v>
      </c>
      <c r="P39" s="2" t="str">
        <f t="shared" ca="1" si="6"/>
        <v>ATRASADO</v>
      </c>
      <c r="Q39" s="881" t="s">
        <v>1556</v>
      </c>
      <c r="R39" s="878"/>
      <c r="S39" s="9" t="str">
        <f t="shared" si="7"/>
        <v/>
      </c>
    </row>
    <row r="40" spans="1:19" x14ac:dyDescent="0.3">
      <c r="A40" s="9">
        <v>37</v>
      </c>
      <c r="B40" s="884" t="s">
        <v>78</v>
      </c>
      <c r="C40" s="879" t="s">
        <v>3378</v>
      </c>
      <c r="D40" s="881" t="s">
        <v>3379</v>
      </c>
      <c r="E40" s="882">
        <v>22840</v>
      </c>
      <c r="F40" s="9">
        <f t="shared" ca="1" si="0"/>
        <v>64</v>
      </c>
      <c r="G40" s="883">
        <v>43780</v>
      </c>
      <c r="H40" s="881" t="s">
        <v>271</v>
      </c>
      <c r="I40" s="929">
        <v>44936</v>
      </c>
      <c r="J40" s="1073" t="s">
        <v>275</v>
      </c>
      <c r="K40" s="755" t="str">
        <f t="shared" si="1"/>
        <v>I</v>
      </c>
      <c r="L40" s="756" t="str">
        <f t="shared" si="2"/>
        <v>G8</v>
      </c>
      <c r="M40" s="756" t="str">
        <f t="shared" si="3"/>
        <v/>
      </c>
      <c r="N40" s="757" t="str">
        <f t="shared" si="4"/>
        <v/>
      </c>
      <c r="O40" s="8">
        <f t="shared" si="5"/>
        <v>46032</v>
      </c>
      <c r="P40" s="2" t="str">
        <f t="shared" ca="1" si="6"/>
        <v>ATRASADO</v>
      </c>
      <c r="Q40" s="881" t="s">
        <v>1556</v>
      </c>
      <c r="R40" s="880"/>
      <c r="S40" s="9" t="str">
        <f t="shared" si="7"/>
        <v/>
      </c>
    </row>
    <row r="41" spans="1:19" x14ac:dyDescent="0.3">
      <c r="A41" s="9">
        <v>38</v>
      </c>
      <c r="B41" s="884" t="s">
        <v>78</v>
      </c>
      <c r="C41" s="879" t="s">
        <v>3380</v>
      </c>
      <c r="D41" s="881" t="s">
        <v>3381</v>
      </c>
      <c r="E41" s="882">
        <v>25732</v>
      </c>
      <c r="F41" s="9">
        <f t="shared" ca="1" si="0"/>
        <v>56</v>
      </c>
      <c r="G41" s="883">
        <v>43669</v>
      </c>
      <c r="H41" s="881" t="s">
        <v>275</v>
      </c>
      <c r="I41" s="929">
        <v>44949</v>
      </c>
      <c r="J41" s="583" t="s">
        <v>275</v>
      </c>
      <c r="K41" s="755" t="str">
        <f t="shared" si="1"/>
        <v>I</v>
      </c>
      <c r="L41" s="756" t="str">
        <f t="shared" si="2"/>
        <v>G8</v>
      </c>
      <c r="M41" s="756" t="str">
        <f t="shared" si="3"/>
        <v/>
      </c>
      <c r="N41" s="757" t="str">
        <f t="shared" si="4"/>
        <v/>
      </c>
      <c r="O41" s="8">
        <f t="shared" si="5"/>
        <v>46045</v>
      </c>
      <c r="P41" s="2" t="str">
        <f t="shared" ca="1" si="6"/>
        <v>ATRASADO</v>
      </c>
      <c r="Q41" s="881" t="s">
        <v>1556</v>
      </c>
      <c r="R41" s="878"/>
      <c r="S41" s="9" t="str">
        <f t="shared" si="7"/>
        <v/>
      </c>
    </row>
    <row r="42" spans="1:19" x14ac:dyDescent="0.3">
      <c r="A42" s="9">
        <v>39</v>
      </c>
      <c r="B42" s="884" t="s">
        <v>78</v>
      </c>
      <c r="C42" s="879" t="s">
        <v>3382</v>
      </c>
      <c r="D42" s="881" t="s">
        <v>3383</v>
      </c>
      <c r="E42" s="882">
        <v>22234</v>
      </c>
      <c r="F42" s="9">
        <f t="shared" ca="1" si="0"/>
        <v>65</v>
      </c>
      <c r="G42" s="883">
        <v>43450</v>
      </c>
      <c r="H42" s="881" t="s">
        <v>275</v>
      </c>
      <c r="I42" s="929">
        <v>44938</v>
      </c>
      <c r="J42" s="583" t="s">
        <v>8</v>
      </c>
      <c r="K42" s="755" t="str">
        <f t="shared" si="1"/>
        <v>SI</v>
      </c>
      <c r="L42" s="756" t="str">
        <f t="shared" si="2"/>
        <v xml:space="preserve">N </v>
      </c>
      <c r="M42" s="756" t="str">
        <f t="shared" si="3"/>
        <v>RE</v>
      </c>
      <c r="N42" s="757" t="str">
        <f t="shared" si="4"/>
        <v>GI</v>
      </c>
      <c r="O42" s="8">
        <f t="shared" si="5"/>
        <v>46034</v>
      </c>
      <c r="P42" s="2" t="str">
        <f t="shared" ca="1" si="6"/>
        <v>ATRASADO</v>
      </c>
      <c r="Q42" s="881" t="s">
        <v>1556</v>
      </c>
      <c r="R42" s="880" t="s">
        <v>2003</v>
      </c>
      <c r="S42" s="9" t="str">
        <f t="shared" si="7"/>
        <v/>
      </c>
    </row>
    <row r="43" spans="1:19" x14ac:dyDescent="0.3">
      <c r="A43" s="9">
        <v>40</v>
      </c>
      <c r="B43" s="884" t="s">
        <v>78</v>
      </c>
      <c r="C43" s="879" t="s">
        <v>3384</v>
      </c>
      <c r="D43" s="881" t="s">
        <v>3385</v>
      </c>
      <c r="E43" s="882">
        <v>21057</v>
      </c>
      <c r="F43" s="9">
        <f t="shared" ca="1" si="0"/>
        <v>69</v>
      </c>
      <c r="G43" s="883">
        <v>43648</v>
      </c>
      <c r="H43" s="881" t="s">
        <v>271</v>
      </c>
      <c r="I43" s="929">
        <v>44932</v>
      </c>
      <c r="J43" s="583" t="s">
        <v>363</v>
      </c>
      <c r="K43" s="755" t="str">
        <f t="shared" si="1"/>
        <v>I</v>
      </c>
      <c r="L43" s="756" t="str">
        <f t="shared" si="2"/>
        <v>G8</v>
      </c>
      <c r="M43" s="756" t="str">
        <f t="shared" si="3"/>
        <v>J2</v>
      </c>
      <c r="N43" s="757" t="str">
        <f t="shared" si="4"/>
        <v/>
      </c>
      <c r="O43" s="8">
        <f t="shared" si="5"/>
        <v>46028</v>
      </c>
      <c r="P43" s="2" t="str">
        <f t="shared" ca="1" si="6"/>
        <v>ATRASADO</v>
      </c>
      <c r="Q43" s="881" t="s">
        <v>1556</v>
      </c>
      <c r="R43" s="878"/>
      <c r="S43" s="9" t="str">
        <f t="shared" si="7"/>
        <v>TRICOMONAS</v>
      </c>
    </row>
    <row r="44" spans="1:19" x14ac:dyDescent="0.3">
      <c r="A44" s="9">
        <v>41</v>
      </c>
      <c r="B44" s="884" t="s">
        <v>78</v>
      </c>
      <c r="C44" s="879" t="s">
        <v>3386</v>
      </c>
      <c r="D44" s="881" t="s">
        <v>3387</v>
      </c>
      <c r="E44" s="882">
        <v>24164</v>
      </c>
      <c r="F44" s="9">
        <f t="shared" ca="1" si="0"/>
        <v>60</v>
      </c>
      <c r="G44" s="883">
        <v>43644</v>
      </c>
      <c r="H44" s="881" t="s">
        <v>8</v>
      </c>
      <c r="I44" s="929">
        <v>44949</v>
      </c>
      <c r="J44" s="583" t="s">
        <v>300</v>
      </c>
      <c r="K44" s="755" t="str">
        <f t="shared" si="1"/>
        <v>G4</v>
      </c>
      <c r="L44" s="756" t="str">
        <f t="shared" si="2"/>
        <v>O5</v>
      </c>
      <c r="M44" s="756" t="str">
        <f t="shared" si="3"/>
        <v/>
      </c>
      <c r="N44" s="757" t="str">
        <f t="shared" si="4"/>
        <v/>
      </c>
      <c r="O44" s="8">
        <f t="shared" si="5"/>
        <v>45039</v>
      </c>
      <c r="P44" s="2" t="str">
        <f t="shared" ca="1" si="6"/>
        <v>ATRASADO</v>
      </c>
      <c r="Q44" s="881" t="s">
        <v>1556</v>
      </c>
      <c r="R44" s="878"/>
      <c r="S44" s="9" t="str">
        <f t="shared" si="7"/>
        <v/>
      </c>
    </row>
    <row r="45" spans="1:19" x14ac:dyDescent="0.3">
      <c r="A45" s="9">
        <v>42</v>
      </c>
      <c r="B45" s="884" t="s">
        <v>78</v>
      </c>
      <c r="C45" s="879" t="s">
        <v>3388</v>
      </c>
      <c r="D45" s="881" t="s">
        <v>3389</v>
      </c>
      <c r="E45" s="882">
        <v>30448</v>
      </c>
      <c r="F45" s="9">
        <f t="shared" ca="1" si="0"/>
        <v>43</v>
      </c>
      <c r="G45" s="883">
        <v>43958</v>
      </c>
      <c r="H45" s="881" t="s">
        <v>8</v>
      </c>
      <c r="I45" s="929">
        <v>44935</v>
      </c>
      <c r="J45" s="583" t="s">
        <v>275</v>
      </c>
      <c r="K45" s="755" t="str">
        <f t="shared" si="1"/>
        <v>I</v>
      </c>
      <c r="L45" s="756" t="str">
        <f t="shared" si="2"/>
        <v>G8</v>
      </c>
      <c r="M45" s="756" t="str">
        <f t="shared" si="3"/>
        <v/>
      </c>
      <c r="N45" s="757" t="str">
        <f t="shared" si="4"/>
        <v/>
      </c>
      <c r="O45" s="8">
        <f t="shared" si="5"/>
        <v>46031</v>
      </c>
      <c r="P45" s="2" t="str">
        <f t="shared" ca="1" si="6"/>
        <v>ATRASADO</v>
      </c>
      <c r="Q45" s="881" t="s">
        <v>1556</v>
      </c>
      <c r="R45" s="878"/>
      <c r="S45" s="9" t="str">
        <f t="shared" si="7"/>
        <v/>
      </c>
    </row>
    <row r="46" spans="1:19" x14ac:dyDescent="0.3">
      <c r="A46" s="9">
        <v>43</v>
      </c>
      <c r="B46" s="884" t="s">
        <v>78</v>
      </c>
      <c r="C46" s="879" t="s">
        <v>3390</v>
      </c>
      <c r="D46" s="881" t="s">
        <v>3391</v>
      </c>
      <c r="E46" s="882">
        <v>24028</v>
      </c>
      <c r="F46" s="9">
        <f t="shared" ca="1" si="0"/>
        <v>60</v>
      </c>
      <c r="G46" s="883">
        <v>43403</v>
      </c>
      <c r="H46" s="881" t="s">
        <v>275</v>
      </c>
      <c r="I46" s="929">
        <v>44928</v>
      </c>
      <c r="J46" s="583" t="s">
        <v>275</v>
      </c>
      <c r="K46" s="755" t="str">
        <f t="shared" si="1"/>
        <v>I</v>
      </c>
      <c r="L46" s="756" t="str">
        <f t="shared" si="2"/>
        <v>G8</v>
      </c>
      <c r="M46" s="756" t="str">
        <f t="shared" si="3"/>
        <v/>
      </c>
      <c r="N46" s="757" t="str">
        <f t="shared" si="4"/>
        <v/>
      </c>
      <c r="O46" s="8">
        <f t="shared" si="5"/>
        <v>46024</v>
      </c>
      <c r="P46" s="2" t="str">
        <f t="shared" ca="1" si="6"/>
        <v>ATRASADO</v>
      </c>
      <c r="Q46" s="881" t="s">
        <v>1556</v>
      </c>
      <c r="R46" s="878"/>
      <c r="S46" s="9" t="str">
        <f t="shared" si="7"/>
        <v/>
      </c>
    </row>
    <row r="47" spans="1:19" x14ac:dyDescent="0.3">
      <c r="A47" s="9">
        <v>44</v>
      </c>
      <c r="B47" s="884" t="s">
        <v>78</v>
      </c>
      <c r="C47" s="879" t="s">
        <v>3392</v>
      </c>
      <c r="D47" s="881" t="s">
        <v>3393</v>
      </c>
      <c r="E47" s="882">
        <v>26674</v>
      </c>
      <c r="F47" s="9">
        <f t="shared" ca="1" si="0"/>
        <v>53</v>
      </c>
      <c r="G47" s="883">
        <v>44565</v>
      </c>
      <c r="H47" s="881" t="s">
        <v>8</v>
      </c>
      <c r="I47" s="929">
        <v>44945</v>
      </c>
      <c r="J47" s="583" t="s">
        <v>275</v>
      </c>
      <c r="K47" s="755" t="str">
        <f t="shared" si="1"/>
        <v>I</v>
      </c>
      <c r="L47" s="756" t="str">
        <f t="shared" si="2"/>
        <v>G8</v>
      </c>
      <c r="M47" s="756" t="str">
        <f t="shared" si="3"/>
        <v/>
      </c>
      <c r="N47" s="757" t="str">
        <f t="shared" si="4"/>
        <v/>
      </c>
      <c r="O47" s="8">
        <f t="shared" si="5"/>
        <v>46041</v>
      </c>
      <c r="P47" s="2" t="str">
        <f t="shared" ca="1" si="6"/>
        <v>ATRASADO</v>
      </c>
      <c r="Q47" s="881" t="s">
        <v>1556</v>
      </c>
      <c r="R47" s="878"/>
      <c r="S47" s="9" t="str">
        <f t="shared" si="7"/>
        <v/>
      </c>
    </row>
    <row r="48" spans="1:19" x14ac:dyDescent="0.3">
      <c r="A48" s="9">
        <v>45</v>
      </c>
      <c r="B48" s="884" t="s">
        <v>78</v>
      </c>
      <c r="C48" s="879" t="s">
        <v>3394</v>
      </c>
      <c r="D48" s="881" t="s">
        <v>3395</v>
      </c>
      <c r="E48" s="882">
        <v>35624</v>
      </c>
      <c r="F48" s="9">
        <f t="shared" ca="1" si="0"/>
        <v>29</v>
      </c>
      <c r="G48" s="883">
        <v>43364</v>
      </c>
      <c r="H48" s="881" t="s">
        <v>291</v>
      </c>
      <c r="I48" s="929">
        <v>44932</v>
      </c>
      <c r="J48" s="583" t="s">
        <v>275</v>
      </c>
      <c r="K48" s="755" t="str">
        <f t="shared" si="1"/>
        <v>I</v>
      </c>
      <c r="L48" s="756" t="str">
        <f t="shared" si="2"/>
        <v>G8</v>
      </c>
      <c r="M48" s="756" t="str">
        <f t="shared" si="3"/>
        <v/>
      </c>
      <c r="N48" s="757" t="str">
        <f t="shared" si="4"/>
        <v/>
      </c>
      <c r="O48" s="8">
        <f t="shared" si="5"/>
        <v>46028</v>
      </c>
      <c r="P48" s="2" t="str">
        <f t="shared" ca="1" si="6"/>
        <v>ATRASADO</v>
      </c>
      <c r="Q48" s="881" t="s">
        <v>1556</v>
      </c>
      <c r="R48" s="880" t="s">
        <v>2308</v>
      </c>
      <c r="S48" s="9" t="str">
        <f t="shared" si="7"/>
        <v/>
      </c>
    </row>
    <row r="49" spans="1:19" x14ac:dyDescent="0.3">
      <c r="A49" s="9">
        <v>46</v>
      </c>
      <c r="B49" s="884" t="s">
        <v>78</v>
      </c>
      <c r="C49" s="879" t="s">
        <v>3396</v>
      </c>
      <c r="D49" s="881" t="s">
        <v>3397</v>
      </c>
      <c r="E49" s="882">
        <v>34839</v>
      </c>
      <c r="F49" s="9">
        <f t="shared" ca="1" si="0"/>
        <v>31</v>
      </c>
      <c r="G49" s="881" t="s">
        <v>8</v>
      </c>
      <c r="H49" s="881" t="s">
        <v>8</v>
      </c>
      <c r="I49" s="929">
        <v>44940</v>
      </c>
      <c r="J49" s="583" t="s">
        <v>271</v>
      </c>
      <c r="K49" s="755" t="str">
        <f t="shared" si="1"/>
        <v>I</v>
      </c>
      <c r="L49" s="756" t="str">
        <f t="shared" si="2"/>
        <v>G8</v>
      </c>
      <c r="M49" s="756" t="str">
        <f t="shared" si="3"/>
        <v>J1</v>
      </c>
      <c r="N49" s="757" t="str">
        <f t="shared" si="4"/>
        <v/>
      </c>
      <c r="O49" s="8">
        <f t="shared" si="5"/>
        <v>46036</v>
      </c>
      <c r="P49" s="2" t="str">
        <f t="shared" ca="1" si="6"/>
        <v>ATRASADO</v>
      </c>
      <c r="Q49" s="881" t="s">
        <v>1556</v>
      </c>
      <c r="R49" s="878"/>
      <c r="S49" s="9" t="str">
        <f t="shared" si="7"/>
        <v/>
      </c>
    </row>
    <row r="50" spans="1:19" x14ac:dyDescent="0.3">
      <c r="A50" s="9">
        <v>47</v>
      </c>
      <c r="B50" s="884" t="s">
        <v>78</v>
      </c>
      <c r="C50" s="879" t="s">
        <v>3398</v>
      </c>
      <c r="D50" s="881" t="s">
        <v>3399</v>
      </c>
      <c r="E50" s="882">
        <v>34448</v>
      </c>
      <c r="F50" s="9">
        <f t="shared" ca="1" si="0"/>
        <v>32</v>
      </c>
      <c r="G50" s="883">
        <v>44144</v>
      </c>
      <c r="H50" s="881" t="s">
        <v>607</v>
      </c>
      <c r="I50" s="929">
        <v>44940</v>
      </c>
      <c r="J50" s="583" t="s">
        <v>8</v>
      </c>
      <c r="K50" s="755" t="str">
        <f t="shared" si="1"/>
        <v>SI</v>
      </c>
      <c r="L50" s="756" t="str">
        <f t="shared" si="2"/>
        <v xml:space="preserve">N </v>
      </c>
      <c r="M50" s="756" t="str">
        <f t="shared" si="3"/>
        <v>RE</v>
      </c>
      <c r="N50" s="757" t="str">
        <f t="shared" si="4"/>
        <v>GI</v>
      </c>
      <c r="O50" s="8">
        <f t="shared" si="5"/>
        <v>46036</v>
      </c>
      <c r="P50" s="2" t="str">
        <f t="shared" ca="1" si="6"/>
        <v>ATRASADO</v>
      </c>
      <c r="Q50" s="881" t="s">
        <v>1556</v>
      </c>
      <c r="R50" s="880"/>
      <c r="S50" s="9" t="str">
        <f t="shared" si="7"/>
        <v/>
      </c>
    </row>
    <row r="51" spans="1:19" x14ac:dyDescent="0.3">
      <c r="A51" s="9">
        <v>48</v>
      </c>
      <c r="B51" s="884" t="s">
        <v>78</v>
      </c>
      <c r="C51" s="879" t="s">
        <v>3400</v>
      </c>
      <c r="D51" s="881" t="s">
        <v>3401</v>
      </c>
      <c r="E51" s="882">
        <v>21763</v>
      </c>
      <c r="F51" s="9">
        <f t="shared" ca="1" si="0"/>
        <v>67</v>
      </c>
      <c r="G51" s="883">
        <v>44332</v>
      </c>
      <c r="H51" s="881" t="s">
        <v>8</v>
      </c>
      <c r="I51" s="929">
        <v>44937</v>
      </c>
      <c r="J51" s="583" t="s">
        <v>275</v>
      </c>
      <c r="K51" s="755" t="str">
        <f t="shared" si="1"/>
        <v>I</v>
      </c>
      <c r="L51" s="756" t="str">
        <f t="shared" si="2"/>
        <v>G8</v>
      </c>
      <c r="M51" s="756" t="str">
        <f t="shared" si="3"/>
        <v/>
      </c>
      <c r="N51" s="757" t="str">
        <f t="shared" si="4"/>
        <v/>
      </c>
      <c r="O51" s="8">
        <f t="shared" si="5"/>
        <v>46033</v>
      </c>
      <c r="P51" s="2" t="str">
        <f t="shared" ca="1" si="6"/>
        <v>ATRASADO</v>
      </c>
      <c r="Q51" s="881" t="s">
        <v>1556</v>
      </c>
      <c r="R51" s="878"/>
      <c r="S51" s="9" t="str">
        <f t="shared" si="7"/>
        <v/>
      </c>
    </row>
    <row r="52" spans="1:19" x14ac:dyDescent="0.3">
      <c r="A52" s="9">
        <v>49</v>
      </c>
      <c r="B52" s="884" t="s">
        <v>78</v>
      </c>
      <c r="C52" s="879" t="s">
        <v>3402</v>
      </c>
      <c r="D52" s="881" t="s">
        <v>3403</v>
      </c>
      <c r="E52" s="882">
        <v>24753</v>
      </c>
      <c r="F52" s="9">
        <f t="shared" ca="1" si="0"/>
        <v>58</v>
      </c>
      <c r="G52" s="883">
        <v>44269</v>
      </c>
      <c r="H52" s="881" t="s">
        <v>275</v>
      </c>
      <c r="I52" s="929">
        <v>44937</v>
      </c>
      <c r="J52" s="583" t="s">
        <v>271</v>
      </c>
      <c r="K52" s="755" t="str">
        <f t="shared" si="1"/>
        <v>I</v>
      </c>
      <c r="L52" s="756" t="str">
        <f t="shared" si="2"/>
        <v>G8</v>
      </c>
      <c r="M52" s="756" t="str">
        <f t="shared" si="3"/>
        <v>J1</v>
      </c>
      <c r="N52" s="757" t="str">
        <f t="shared" si="4"/>
        <v/>
      </c>
      <c r="O52" s="8">
        <f t="shared" si="5"/>
        <v>46033</v>
      </c>
      <c r="P52" s="2" t="str">
        <f t="shared" ca="1" si="6"/>
        <v>ATRASADO</v>
      </c>
      <c r="Q52" s="881" t="s">
        <v>1556</v>
      </c>
      <c r="R52" s="880"/>
      <c r="S52" s="9" t="str">
        <f t="shared" si="7"/>
        <v/>
      </c>
    </row>
    <row r="53" spans="1:19" x14ac:dyDescent="0.3">
      <c r="A53" s="9">
        <v>50</v>
      </c>
      <c r="B53" s="884" t="s">
        <v>78</v>
      </c>
      <c r="C53" s="879" t="s">
        <v>3404</v>
      </c>
      <c r="D53" s="881" t="s">
        <v>3405</v>
      </c>
      <c r="E53" s="882">
        <v>27355</v>
      </c>
      <c r="F53" s="9">
        <f t="shared" ca="1" si="0"/>
        <v>51</v>
      </c>
      <c r="G53" s="883">
        <v>44273</v>
      </c>
      <c r="H53" s="881" t="s">
        <v>271</v>
      </c>
      <c r="I53" s="929">
        <v>44934</v>
      </c>
      <c r="J53" s="583" t="s">
        <v>271</v>
      </c>
      <c r="K53" s="755" t="str">
        <f t="shared" si="1"/>
        <v>I</v>
      </c>
      <c r="L53" s="756" t="str">
        <f t="shared" si="2"/>
        <v>G8</v>
      </c>
      <c r="M53" s="756" t="str">
        <f t="shared" si="3"/>
        <v>J1</v>
      </c>
      <c r="N53" s="757" t="str">
        <f t="shared" si="4"/>
        <v/>
      </c>
      <c r="O53" s="8">
        <f t="shared" si="5"/>
        <v>46030</v>
      </c>
      <c r="P53" s="2" t="str">
        <f t="shared" ca="1" si="6"/>
        <v>ATRASADO</v>
      </c>
      <c r="Q53" s="881" t="s">
        <v>1556</v>
      </c>
      <c r="R53" s="878"/>
      <c r="S53" s="9" t="str">
        <f t="shared" si="7"/>
        <v/>
      </c>
    </row>
    <row r="54" spans="1:19" x14ac:dyDescent="0.3">
      <c r="A54" s="9">
        <v>51</v>
      </c>
      <c r="B54" s="884" t="s">
        <v>78</v>
      </c>
      <c r="C54" s="879" t="s">
        <v>3406</v>
      </c>
      <c r="D54" s="881" t="s">
        <v>3407</v>
      </c>
      <c r="E54" s="882">
        <v>21927</v>
      </c>
      <c r="F54" s="9">
        <f t="shared" ca="1" si="0"/>
        <v>66</v>
      </c>
      <c r="G54" s="883">
        <v>44445</v>
      </c>
      <c r="H54" s="881" t="s">
        <v>275</v>
      </c>
      <c r="I54" s="929">
        <v>44942</v>
      </c>
      <c r="J54" s="583" t="s">
        <v>271</v>
      </c>
      <c r="K54" s="755" t="str">
        <f t="shared" si="1"/>
        <v>I</v>
      </c>
      <c r="L54" s="756" t="str">
        <f t="shared" si="2"/>
        <v>G8</v>
      </c>
      <c r="M54" s="756" t="str">
        <f t="shared" si="3"/>
        <v>J1</v>
      </c>
      <c r="N54" s="757" t="str">
        <f t="shared" si="4"/>
        <v/>
      </c>
      <c r="O54" s="8">
        <f t="shared" si="5"/>
        <v>46038</v>
      </c>
      <c r="P54" s="2" t="str">
        <f t="shared" ca="1" si="6"/>
        <v>ATRASADO</v>
      </c>
      <c r="Q54" s="881" t="s">
        <v>1556</v>
      </c>
      <c r="R54" s="878"/>
      <c r="S54" s="9" t="str">
        <f t="shared" si="7"/>
        <v/>
      </c>
    </row>
    <row r="55" spans="1:19" x14ac:dyDescent="0.3">
      <c r="A55" s="9">
        <v>52</v>
      </c>
      <c r="B55" s="884" t="s">
        <v>78</v>
      </c>
      <c r="C55" s="879" t="s">
        <v>3408</v>
      </c>
      <c r="D55" s="881" t="s">
        <v>3409</v>
      </c>
      <c r="E55" s="882">
        <v>34774</v>
      </c>
      <c r="F55" s="9">
        <f t="shared" ca="1" si="0"/>
        <v>31</v>
      </c>
      <c r="G55" s="883">
        <v>43704</v>
      </c>
      <c r="H55" s="881" t="s">
        <v>271</v>
      </c>
      <c r="I55" s="929">
        <v>44951</v>
      </c>
      <c r="J55" s="583" t="s">
        <v>8</v>
      </c>
      <c r="K55" s="755" t="str">
        <f t="shared" si="1"/>
        <v>SI</v>
      </c>
      <c r="L55" s="756" t="str">
        <f t="shared" si="2"/>
        <v xml:space="preserve">N </v>
      </c>
      <c r="M55" s="756" t="str">
        <f t="shared" si="3"/>
        <v>RE</v>
      </c>
      <c r="N55" s="757" t="str">
        <f t="shared" si="4"/>
        <v>GI</v>
      </c>
      <c r="O55" s="8">
        <f t="shared" si="5"/>
        <v>46047</v>
      </c>
      <c r="P55" s="2" t="str">
        <f t="shared" ca="1" si="6"/>
        <v>ATRASADO</v>
      </c>
      <c r="Q55" s="881" t="s">
        <v>1556</v>
      </c>
      <c r="R55" s="878"/>
      <c r="S55" s="9" t="str">
        <f t="shared" si="7"/>
        <v/>
      </c>
    </row>
    <row r="56" spans="1:19" x14ac:dyDescent="0.3">
      <c r="A56" s="9">
        <v>53</v>
      </c>
      <c r="B56" s="884" t="s">
        <v>78</v>
      </c>
      <c r="C56" s="879" t="s">
        <v>3410</v>
      </c>
      <c r="D56" s="881" t="s">
        <v>3411</v>
      </c>
      <c r="E56" s="882">
        <v>32473</v>
      </c>
      <c r="F56" s="9">
        <f t="shared" ca="1" si="0"/>
        <v>37</v>
      </c>
      <c r="G56" s="883">
        <v>43604</v>
      </c>
      <c r="H56" s="881" t="s">
        <v>8</v>
      </c>
      <c r="I56" s="929">
        <v>44940</v>
      </c>
      <c r="J56" s="583" t="s">
        <v>275</v>
      </c>
      <c r="K56" s="755" t="str">
        <f t="shared" si="1"/>
        <v>I</v>
      </c>
      <c r="L56" s="756" t="str">
        <f t="shared" si="2"/>
        <v>G8</v>
      </c>
      <c r="M56" s="756" t="str">
        <f t="shared" si="3"/>
        <v/>
      </c>
      <c r="N56" s="757" t="str">
        <f t="shared" si="4"/>
        <v/>
      </c>
      <c r="O56" s="8">
        <f t="shared" si="5"/>
        <v>46036</v>
      </c>
      <c r="P56" s="2" t="str">
        <f t="shared" ca="1" si="6"/>
        <v>ATRASADO</v>
      </c>
      <c r="Q56" s="881" t="s">
        <v>1556</v>
      </c>
      <c r="R56" s="880"/>
      <c r="S56" s="9" t="str">
        <f t="shared" si="7"/>
        <v/>
      </c>
    </row>
    <row r="57" spans="1:19" x14ac:dyDescent="0.3">
      <c r="A57" s="9">
        <v>54</v>
      </c>
      <c r="B57" s="884" t="s">
        <v>78</v>
      </c>
      <c r="C57" s="879" t="s">
        <v>3412</v>
      </c>
      <c r="D57" s="881" t="s">
        <v>3413</v>
      </c>
      <c r="E57" s="882">
        <v>34770</v>
      </c>
      <c r="F57" s="9">
        <f t="shared" ca="1" si="0"/>
        <v>31</v>
      </c>
      <c r="G57" s="881" t="s">
        <v>8</v>
      </c>
      <c r="H57" s="881" t="s">
        <v>275</v>
      </c>
      <c r="I57" s="929">
        <v>44931</v>
      </c>
      <c r="J57" s="583" t="s">
        <v>271</v>
      </c>
      <c r="K57" s="755" t="str">
        <f t="shared" si="1"/>
        <v>I</v>
      </c>
      <c r="L57" s="756" t="str">
        <f t="shared" si="2"/>
        <v>G8</v>
      </c>
      <c r="M57" s="756" t="str">
        <f t="shared" si="3"/>
        <v>J1</v>
      </c>
      <c r="N57" s="757" t="str">
        <f t="shared" si="4"/>
        <v/>
      </c>
      <c r="O57" s="8">
        <f t="shared" si="5"/>
        <v>46027</v>
      </c>
      <c r="P57" s="2" t="str">
        <f t="shared" ca="1" si="6"/>
        <v>ATRASADO</v>
      </c>
      <c r="Q57" s="881" t="s">
        <v>1556</v>
      </c>
      <c r="R57" s="878"/>
      <c r="S57" s="9" t="str">
        <f t="shared" si="7"/>
        <v/>
      </c>
    </row>
    <row r="58" spans="1:19" x14ac:dyDescent="0.3">
      <c r="A58" s="9">
        <v>55</v>
      </c>
      <c r="B58" s="884" t="s">
        <v>78</v>
      </c>
      <c r="C58" s="879" t="s">
        <v>3414</v>
      </c>
      <c r="D58" s="881" t="s">
        <v>3415</v>
      </c>
      <c r="E58" s="882">
        <v>26915</v>
      </c>
      <c r="F58" s="9">
        <f t="shared" ca="1" si="0"/>
        <v>53</v>
      </c>
      <c r="G58" s="883">
        <v>43924</v>
      </c>
      <c r="H58" s="881" t="s">
        <v>275</v>
      </c>
      <c r="I58" s="929">
        <v>44934</v>
      </c>
      <c r="J58" s="583" t="s">
        <v>275</v>
      </c>
      <c r="K58" s="755" t="str">
        <f t="shared" si="1"/>
        <v>I</v>
      </c>
      <c r="L58" s="756" t="str">
        <f t="shared" si="2"/>
        <v>G8</v>
      </c>
      <c r="M58" s="756" t="str">
        <f t="shared" si="3"/>
        <v/>
      </c>
      <c r="N58" s="757" t="str">
        <f t="shared" si="4"/>
        <v/>
      </c>
      <c r="O58" s="8">
        <f t="shared" si="5"/>
        <v>46030</v>
      </c>
      <c r="P58" s="2" t="str">
        <f t="shared" ca="1" si="6"/>
        <v>ATRASADO</v>
      </c>
      <c r="Q58" s="881" t="s">
        <v>1556</v>
      </c>
      <c r="R58" s="878"/>
      <c r="S58" s="9" t="str">
        <f t="shared" si="7"/>
        <v/>
      </c>
    </row>
    <row r="59" spans="1:19" x14ac:dyDescent="0.3">
      <c r="A59" s="9">
        <v>56</v>
      </c>
      <c r="B59" s="884" t="s">
        <v>78</v>
      </c>
      <c r="C59" s="879" t="s">
        <v>3416</v>
      </c>
      <c r="D59" s="881" t="s">
        <v>3417</v>
      </c>
      <c r="E59" s="882">
        <v>28536</v>
      </c>
      <c r="F59" s="9">
        <f t="shared" ca="1" si="0"/>
        <v>48</v>
      </c>
      <c r="G59" s="883">
        <v>44179</v>
      </c>
      <c r="H59" s="881" t="s">
        <v>271</v>
      </c>
      <c r="I59" s="929">
        <v>44938</v>
      </c>
      <c r="J59" s="583" t="s">
        <v>924</v>
      </c>
      <c r="K59" s="755" t="str">
        <f t="shared" si="1"/>
        <v>i</v>
      </c>
      <c r="L59" s="756" t="str">
        <f t="shared" si="2"/>
        <v>g8</v>
      </c>
      <c r="M59" s="756" t="str">
        <f t="shared" si="3"/>
        <v>j1</v>
      </c>
      <c r="N59" s="757" t="str">
        <f t="shared" si="4"/>
        <v/>
      </c>
      <c r="O59" s="8">
        <f t="shared" si="5"/>
        <v>46034</v>
      </c>
      <c r="P59" s="2" t="str">
        <f t="shared" ca="1" si="6"/>
        <v>ATRASADO</v>
      </c>
      <c r="Q59" s="881" t="s">
        <v>1556</v>
      </c>
      <c r="R59" s="880" t="s">
        <v>2003</v>
      </c>
      <c r="S59" s="9" t="str">
        <f t="shared" si="7"/>
        <v/>
      </c>
    </row>
    <row r="60" spans="1:19" x14ac:dyDescent="0.3">
      <c r="A60" s="9">
        <v>57</v>
      </c>
      <c r="B60" s="884" t="s">
        <v>78</v>
      </c>
      <c r="C60" s="879" t="s">
        <v>3418</v>
      </c>
      <c r="D60" s="881" t="s">
        <v>3419</v>
      </c>
      <c r="E60" s="882">
        <v>30445</v>
      </c>
      <c r="F60" s="9">
        <f t="shared" ca="1" si="0"/>
        <v>43</v>
      </c>
      <c r="G60" s="883">
        <v>43762</v>
      </c>
      <c r="H60" s="881" t="s">
        <v>271</v>
      </c>
      <c r="I60" s="929">
        <v>44939</v>
      </c>
      <c r="J60" s="583" t="s">
        <v>275</v>
      </c>
      <c r="K60" s="755" t="str">
        <f t="shared" si="1"/>
        <v>I</v>
      </c>
      <c r="L60" s="756" t="str">
        <f t="shared" si="2"/>
        <v>G8</v>
      </c>
      <c r="M60" s="756" t="str">
        <f t="shared" si="3"/>
        <v/>
      </c>
      <c r="N60" s="757" t="str">
        <f t="shared" si="4"/>
        <v/>
      </c>
      <c r="O60" s="8">
        <f t="shared" si="5"/>
        <v>46035</v>
      </c>
      <c r="P60" s="2" t="str">
        <f t="shared" ca="1" si="6"/>
        <v>ATRASADO</v>
      </c>
      <c r="Q60" s="881" t="s">
        <v>1556</v>
      </c>
      <c r="R60" s="878"/>
      <c r="S60" s="9" t="str">
        <f t="shared" si="7"/>
        <v/>
      </c>
    </row>
    <row r="61" spans="1:19" x14ac:dyDescent="0.3">
      <c r="A61" s="9">
        <v>58</v>
      </c>
      <c r="B61" s="884" t="s">
        <v>78</v>
      </c>
      <c r="C61" s="879" t="s">
        <v>3420</v>
      </c>
      <c r="D61" s="881" t="s">
        <v>3421</v>
      </c>
      <c r="E61" s="882">
        <v>28902</v>
      </c>
      <c r="F61" s="9">
        <f t="shared" ca="1" si="0"/>
        <v>47</v>
      </c>
      <c r="G61" s="881" t="s">
        <v>8</v>
      </c>
      <c r="H61" s="881" t="s">
        <v>854</v>
      </c>
      <c r="I61" s="929">
        <v>44947</v>
      </c>
      <c r="J61" s="583" t="s">
        <v>271</v>
      </c>
      <c r="K61" s="755" t="str">
        <f t="shared" si="1"/>
        <v>I</v>
      </c>
      <c r="L61" s="756" t="str">
        <f t="shared" si="2"/>
        <v>G8</v>
      </c>
      <c r="M61" s="756" t="str">
        <f t="shared" si="3"/>
        <v>J1</v>
      </c>
      <c r="N61" s="757" t="str">
        <f t="shared" si="4"/>
        <v/>
      </c>
      <c r="O61" s="8">
        <f t="shared" si="5"/>
        <v>46043</v>
      </c>
      <c r="P61" s="2" t="str">
        <f t="shared" ca="1" si="6"/>
        <v>ATRASADO</v>
      </c>
      <c r="Q61" s="881" t="s">
        <v>1556</v>
      </c>
      <c r="R61" s="880"/>
      <c r="S61" s="9" t="str">
        <f t="shared" si="7"/>
        <v/>
      </c>
    </row>
    <row r="62" spans="1:19" x14ac:dyDescent="0.3">
      <c r="A62" s="9">
        <v>59</v>
      </c>
      <c r="B62" s="884" t="s">
        <v>78</v>
      </c>
      <c r="C62" s="879" t="s">
        <v>3422</v>
      </c>
      <c r="D62" s="881" t="s">
        <v>3423</v>
      </c>
      <c r="E62" s="882">
        <v>21939</v>
      </c>
      <c r="F62" s="9">
        <f t="shared" ca="1" si="0"/>
        <v>66</v>
      </c>
      <c r="G62" s="883">
        <v>43177</v>
      </c>
      <c r="H62" s="881" t="s">
        <v>8</v>
      </c>
      <c r="I62" s="929">
        <v>44955</v>
      </c>
      <c r="J62" s="583" t="s">
        <v>2861</v>
      </c>
      <c r="K62" s="755" t="str">
        <f t="shared" si="1"/>
        <v>I</v>
      </c>
      <c r="L62" s="756" t="str">
        <f t="shared" si="2"/>
        <v>G7</v>
      </c>
      <c r="M62" s="756" t="str">
        <f t="shared" si="3"/>
        <v>J1</v>
      </c>
      <c r="N62" s="757" t="str">
        <f t="shared" si="4"/>
        <v/>
      </c>
      <c r="O62" s="8">
        <f t="shared" si="5"/>
        <v>45320</v>
      </c>
      <c r="P62" s="2" t="str">
        <f t="shared" ca="1" si="6"/>
        <v>ATRASADO</v>
      </c>
      <c r="Q62" s="881" t="s">
        <v>1556</v>
      </c>
      <c r="R62" s="878"/>
      <c r="S62" s="9" t="str">
        <f t="shared" si="7"/>
        <v/>
      </c>
    </row>
    <row r="63" spans="1:19" x14ac:dyDescent="0.3">
      <c r="A63" s="9">
        <v>60</v>
      </c>
      <c r="B63" s="884" t="s">
        <v>78</v>
      </c>
      <c r="C63" s="879" t="s">
        <v>3424</v>
      </c>
      <c r="D63" s="881" t="s">
        <v>3425</v>
      </c>
      <c r="E63" s="882">
        <v>29075</v>
      </c>
      <c r="F63" s="9">
        <f t="shared" ca="1" si="0"/>
        <v>47</v>
      </c>
      <c r="G63" s="883">
        <v>43603</v>
      </c>
      <c r="H63" s="881" t="s">
        <v>954</v>
      </c>
      <c r="I63" s="929">
        <v>44927</v>
      </c>
      <c r="J63" s="583" t="s">
        <v>271</v>
      </c>
      <c r="K63" s="755" t="str">
        <f t="shared" si="1"/>
        <v>I</v>
      </c>
      <c r="L63" s="756" t="str">
        <f t="shared" si="2"/>
        <v>G8</v>
      </c>
      <c r="M63" s="756" t="str">
        <f t="shared" si="3"/>
        <v>J1</v>
      </c>
      <c r="N63" s="757" t="str">
        <f t="shared" si="4"/>
        <v/>
      </c>
      <c r="O63" s="8">
        <f t="shared" si="5"/>
        <v>46023</v>
      </c>
      <c r="P63" s="2" t="str">
        <f t="shared" ca="1" si="6"/>
        <v>ATRASADO</v>
      </c>
      <c r="Q63" s="881" t="s">
        <v>1556</v>
      </c>
      <c r="R63" s="880" t="s">
        <v>2024</v>
      </c>
      <c r="S63" s="9" t="str">
        <f t="shared" si="7"/>
        <v/>
      </c>
    </row>
    <row r="64" spans="1:19" x14ac:dyDescent="0.3">
      <c r="A64" s="9">
        <v>61</v>
      </c>
      <c r="B64" s="884" t="s">
        <v>78</v>
      </c>
      <c r="C64" s="879" t="s">
        <v>3427</v>
      </c>
      <c r="D64" s="881" t="s">
        <v>3428</v>
      </c>
      <c r="E64" s="882">
        <v>26872</v>
      </c>
      <c r="F64" s="9">
        <f t="shared" ca="1" si="0"/>
        <v>53</v>
      </c>
      <c r="G64" s="883">
        <v>43175</v>
      </c>
      <c r="H64" s="881" t="s">
        <v>8</v>
      </c>
      <c r="I64" s="929">
        <v>44934</v>
      </c>
      <c r="J64" s="583" t="s">
        <v>271</v>
      </c>
      <c r="K64" s="755" t="str">
        <f t="shared" si="1"/>
        <v>I</v>
      </c>
      <c r="L64" s="756" t="str">
        <f t="shared" si="2"/>
        <v>G8</v>
      </c>
      <c r="M64" s="756" t="str">
        <f t="shared" si="3"/>
        <v>J1</v>
      </c>
      <c r="N64" s="757" t="str">
        <f t="shared" si="4"/>
        <v/>
      </c>
      <c r="O64" s="8">
        <f t="shared" si="5"/>
        <v>46030</v>
      </c>
      <c r="P64" s="2" t="str">
        <f t="shared" ca="1" si="6"/>
        <v>ATRASADO</v>
      </c>
      <c r="Q64" s="881" t="s">
        <v>1556</v>
      </c>
      <c r="R64" s="878"/>
      <c r="S64" s="9" t="str">
        <f t="shared" si="7"/>
        <v/>
      </c>
    </row>
    <row r="65" spans="1:19" x14ac:dyDescent="0.3">
      <c r="A65" s="9">
        <v>62</v>
      </c>
      <c r="B65" s="884" t="s">
        <v>78</v>
      </c>
      <c r="C65" s="879" t="s">
        <v>3429</v>
      </c>
      <c r="D65" s="881" t="s">
        <v>3430</v>
      </c>
      <c r="E65" s="882">
        <v>32913</v>
      </c>
      <c r="F65" s="9">
        <f t="shared" ca="1" si="0"/>
        <v>36</v>
      </c>
      <c r="G65" s="883">
        <v>44393</v>
      </c>
      <c r="H65" s="881" t="s">
        <v>954</v>
      </c>
      <c r="I65" s="929">
        <v>44954</v>
      </c>
      <c r="J65" s="583" t="s">
        <v>275</v>
      </c>
      <c r="K65" s="755" t="str">
        <f t="shared" si="1"/>
        <v>I</v>
      </c>
      <c r="L65" s="756" t="str">
        <f t="shared" si="2"/>
        <v>G8</v>
      </c>
      <c r="M65" s="756" t="str">
        <f t="shared" si="3"/>
        <v/>
      </c>
      <c r="N65" s="757" t="str">
        <f t="shared" si="4"/>
        <v/>
      </c>
      <c r="O65" s="8">
        <f t="shared" si="5"/>
        <v>46050</v>
      </c>
      <c r="P65" s="2" t="str">
        <f t="shared" ca="1" si="6"/>
        <v>ATRASADO</v>
      </c>
      <c r="Q65" s="881" t="s">
        <v>1556</v>
      </c>
      <c r="R65" s="878"/>
      <c r="S65" s="9" t="str">
        <f t="shared" si="7"/>
        <v/>
      </c>
    </row>
    <row r="66" spans="1:19" x14ac:dyDescent="0.3">
      <c r="A66" s="9">
        <v>63</v>
      </c>
      <c r="B66" s="884" t="s">
        <v>78</v>
      </c>
      <c r="C66" s="879" t="s">
        <v>3431</v>
      </c>
      <c r="D66" s="881" t="s">
        <v>3432</v>
      </c>
      <c r="E66" s="882">
        <v>24042</v>
      </c>
      <c r="F66" s="9">
        <f t="shared" ca="1" si="0"/>
        <v>60</v>
      </c>
      <c r="G66" s="883">
        <v>43501</v>
      </c>
      <c r="H66" s="881" t="s">
        <v>271</v>
      </c>
      <c r="I66" s="929">
        <v>44942</v>
      </c>
      <c r="J66" s="583" t="s">
        <v>340</v>
      </c>
      <c r="K66" s="755" t="str">
        <f t="shared" si="1"/>
        <v>I</v>
      </c>
      <c r="L66" s="756" t="str">
        <f t="shared" si="2"/>
        <v>G8</v>
      </c>
      <c r="M66" s="756" t="str">
        <f t="shared" si="3"/>
        <v>S</v>
      </c>
      <c r="N66" s="757" t="str">
        <f t="shared" si="4"/>
        <v/>
      </c>
      <c r="O66" s="8">
        <f t="shared" si="5"/>
        <v>45307</v>
      </c>
      <c r="P66" s="2" t="str">
        <f t="shared" ca="1" si="6"/>
        <v>ATRASADO</v>
      </c>
      <c r="Q66" s="881" t="s">
        <v>1556</v>
      </c>
      <c r="R66" s="878"/>
      <c r="S66" s="9" t="str">
        <f t="shared" si="7"/>
        <v/>
      </c>
    </row>
    <row r="67" spans="1:19" x14ac:dyDescent="0.3">
      <c r="A67" s="9">
        <v>64</v>
      </c>
      <c r="B67" s="884" t="s">
        <v>78</v>
      </c>
      <c r="C67" s="879" t="s">
        <v>3171</v>
      </c>
      <c r="D67" s="881" t="s">
        <v>3172</v>
      </c>
      <c r="E67" s="882">
        <v>32950</v>
      </c>
      <c r="F67" s="9">
        <f t="shared" ca="1" si="0"/>
        <v>36</v>
      </c>
      <c r="G67" s="883">
        <v>44040</v>
      </c>
      <c r="H67" s="881" t="s">
        <v>275</v>
      </c>
      <c r="I67" s="929">
        <v>44956</v>
      </c>
      <c r="J67" s="583" t="s">
        <v>275</v>
      </c>
      <c r="K67" s="755" t="str">
        <f t="shared" si="1"/>
        <v>I</v>
      </c>
      <c r="L67" s="756" t="str">
        <f t="shared" si="2"/>
        <v>G8</v>
      </c>
      <c r="M67" s="756" t="str">
        <f t="shared" si="3"/>
        <v/>
      </c>
      <c r="N67" s="757" t="str">
        <f t="shared" si="4"/>
        <v/>
      </c>
      <c r="O67" s="8">
        <f t="shared" si="5"/>
        <v>46052</v>
      </c>
      <c r="P67" s="2" t="str">
        <f t="shared" ca="1" si="6"/>
        <v>ATRASADO</v>
      </c>
      <c r="Q67" s="881" t="s">
        <v>1556</v>
      </c>
      <c r="R67" s="878"/>
      <c r="S67" s="9" t="str">
        <f t="shared" si="7"/>
        <v/>
      </c>
    </row>
    <row r="68" spans="1:19" x14ac:dyDescent="0.3">
      <c r="A68" s="9">
        <v>65</v>
      </c>
      <c r="B68" s="884" t="s">
        <v>78</v>
      </c>
      <c r="C68" s="879" t="s">
        <v>3433</v>
      </c>
      <c r="D68" s="881" t="s">
        <v>3434</v>
      </c>
      <c r="E68" s="882">
        <v>22344</v>
      </c>
      <c r="F68" s="9">
        <f t="shared" ca="1" si="0"/>
        <v>65</v>
      </c>
      <c r="G68" s="883">
        <v>43800</v>
      </c>
      <c r="H68" s="881" t="s">
        <v>320</v>
      </c>
      <c r="I68" s="929">
        <v>44943</v>
      </c>
      <c r="J68" s="583" t="s">
        <v>275</v>
      </c>
      <c r="K68" s="755" t="str">
        <f t="shared" si="1"/>
        <v>I</v>
      </c>
      <c r="L68" s="756" t="str">
        <f t="shared" si="2"/>
        <v>G8</v>
      </c>
      <c r="M68" s="756" t="str">
        <f t="shared" si="3"/>
        <v/>
      </c>
      <c r="N68" s="757" t="str">
        <f t="shared" si="4"/>
        <v/>
      </c>
      <c r="O68" s="8">
        <f t="shared" si="5"/>
        <v>46039</v>
      </c>
      <c r="P68" s="2" t="str">
        <f t="shared" ca="1" si="6"/>
        <v>ATRASADO</v>
      </c>
      <c r="Q68" s="881" t="s">
        <v>1556</v>
      </c>
      <c r="R68" s="878"/>
      <c r="S68" s="9" t="str">
        <f t="shared" si="7"/>
        <v/>
      </c>
    </row>
    <row r="69" spans="1:19" x14ac:dyDescent="0.3">
      <c r="A69" s="9">
        <v>66</v>
      </c>
      <c r="B69" s="884" t="s">
        <v>78</v>
      </c>
      <c r="C69" s="879" t="s">
        <v>3435</v>
      </c>
      <c r="D69" s="881" t="s">
        <v>3436</v>
      </c>
      <c r="E69" s="882">
        <v>31671</v>
      </c>
      <c r="F69" s="9">
        <f t="shared" ca="1" si="0"/>
        <v>40</v>
      </c>
      <c r="G69" s="883">
        <v>44273</v>
      </c>
      <c r="H69" s="881" t="s">
        <v>271</v>
      </c>
      <c r="I69" s="929">
        <v>44957</v>
      </c>
      <c r="J69" s="583" t="s">
        <v>275</v>
      </c>
      <c r="K69" s="755" t="str">
        <f t="shared" si="1"/>
        <v>I</v>
      </c>
      <c r="L69" s="756" t="str">
        <f t="shared" si="2"/>
        <v>G8</v>
      </c>
      <c r="M69" s="756" t="str">
        <f t="shared" si="3"/>
        <v/>
      </c>
      <c r="N69" s="757" t="str">
        <f t="shared" si="4"/>
        <v/>
      </c>
      <c r="O69" s="8">
        <f t="shared" si="5"/>
        <v>46053</v>
      </c>
      <c r="P69" s="2" t="str">
        <f t="shared" ca="1" si="6"/>
        <v>ATRASADO</v>
      </c>
      <c r="Q69" s="881" t="s">
        <v>1556</v>
      </c>
      <c r="R69" s="880"/>
      <c r="S69" s="9" t="str">
        <f t="shared" si="7"/>
        <v/>
      </c>
    </row>
    <row r="70" spans="1:19" x14ac:dyDescent="0.3">
      <c r="A70" s="9">
        <v>67</v>
      </c>
      <c r="B70" s="884" t="s">
        <v>78</v>
      </c>
      <c r="C70" s="879" t="s">
        <v>3437</v>
      </c>
      <c r="D70" s="881" t="s">
        <v>3438</v>
      </c>
      <c r="E70" s="882">
        <v>30034</v>
      </c>
      <c r="F70" s="9">
        <f t="shared" ca="1" si="0"/>
        <v>44</v>
      </c>
      <c r="G70" s="881" t="s">
        <v>8</v>
      </c>
      <c r="H70" s="881" t="s">
        <v>275</v>
      </c>
      <c r="I70" s="929">
        <v>44957</v>
      </c>
      <c r="J70" s="583" t="s">
        <v>271</v>
      </c>
      <c r="K70" s="755" t="str">
        <f t="shared" si="1"/>
        <v>I</v>
      </c>
      <c r="L70" s="756" t="str">
        <f t="shared" si="2"/>
        <v>G8</v>
      </c>
      <c r="M70" s="756" t="str">
        <f t="shared" si="3"/>
        <v>J1</v>
      </c>
      <c r="N70" s="757" t="str">
        <f t="shared" si="4"/>
        <v/>
      </c>
      <c r="O70" s="8">
        <f t="shared" si="5"/>
        <v>46053</v>
      </c>
      <c r="P70" s="2" t="str">
        <f t="shared" ca="1" si="6"/>
        <v>ATRASADO</v>
      </c>
      <c r="Q70" s="881" t="s">
        <v>1556</v>
      </c>
      <c r="R70" s="878"/>
      <c r="S70" s="9" t="str">
        <f t="shared" si="7"/>
        <v/>
      </c>
    </row>
    <row r="71" spans="1:19" x14ac:dyDescent="0.3">
      <c r="A71" s="9">
        <v>68</v>
      </c>
      <c r="B71" s="884" t="s">
        <v>78</v>
      </c>
      <c r="C71" s="879" t="s">
        <v>3439</v>
      </c>
      <c r="D71" s="881" t="s">
        <v>3440</v>
      </c>
      <c r="E71" s="882">
        <v>22781</v>
      </c>
      <c r="F71" s="9">
        <f t="shared" ca="1" si="0"/>
        <v>64</v>
      </c>
      <c r="G71" s="883">
        <v>44252</v>
      </c>
      <c r="H71" s="881" t="s">
        <v>275</v>
      </c>
      <c r="I71" s="929">
        <v>44947</v>
      </c>
      <c r="J71" s="583" t="s">
        <v>291</v>
      </c>
      <c r="K71" s="755" t="str">
        <f t="shared" si="1"/>
        <v>I</v>
      </c>
      <c r="L71" s="756" t="str">
        <f t="shared" si="2"/>
        <v>G8</v>
      </c>
      <c r="M71" s="756" t="str">
        <f t="shared" si="3"/>
        <v>J5</v>
      </c>
      <c r="N71" s="757" t="str">
        <f t="shared" si="4"/>
        <v/>
      </c>
      <c r="O71" s="8">
        <f t="shared" si="5"/>
        <v>46043</v>
      </c>
      <c r="P71" s="2" t="str">
        <f t="shared" ca="1" si="6"/>
        <v>ATRASADO</v>
      </c>
      <c r="Q71" s="881" t="s">
        <v>1556</v>
      </c>
      <c r="R71" s="878"/>
      <c r="S71" s="9" t="str">
        <f t="shared" si="7"/>
        <v>CANDIDA</v>
      </c>
    </row>
    <row r="72" spans="1:19" x14ac:dyDescent="0.3">
      <c r="A72" s="9">
        <v>69</v>
      </c>
      <c r="B72" s="884" t="s">
        <v>78</v>
      </c>
      <c r="C72" s="879" t="s">
        <v>3441</v>
      </c>
      <c r="D72" s="881" t="s">
        <v>3442</v>
      </c>
      <c r="E72" s="882">
        <v>31864</v>
      </c>
      <c r="F72" s="9">
        <f t="shared" ca="1" si="0"/>
        <v>39</v>
      </c>
      <c r="G72" s="883">
        <v>43692</v>
      </c>
      <c r="H72" s="881" t="s">
        <v>271</v>
      </c>
      <c r="I72" s="929">
        <v>44936</v>
      </c>
      <c r="J72" s="583" t="s">
        <v>275</v>
      </c>
      <c r="K72" s="755" t="str">
        <f t="shared" si="1"/>
        <v>I</v>
      </c>
      <c r="L72" s="756" t="str">
        <f t="shared" si="2"/>
        <v>G8</v>
      </c>
      <c r="M72" s="756" t="str">
        <f t="shared" si="3"/>
        <v/>
      </c>
      <c r="N72" s="757" t="str">
        <f t="shared" si="4"/>
        <v/>
      </c>
      <c r="O72" s="8">
        <f t="shared" si="5"/>
        <v>46032</v>
      </c>
      <c r="P72" s="2" t="str">
        <f t="shared" ca="1" si="6"/>
        <v>ATRASADO</v>
      </c>
      <c r="Q72" s="881" t="s">
        <v>1556</v>
      </c>
      <c r="R72" s="878"/>
      <c r="S72" s="9" t="str">
        <f t="shared" si="7"/>
        <v/>
      </c>
    </row>
    <row r="73" spans="1:19" x14ac:dyDescent="0.3">
      <c r="A73" s="9">
        <v>70</v>
      </c>
      <c r="B73" s="884" t="s">
        <v>78</v>
      </c>
      <c r="C73" s="879" t="s">
        <v>3443</v>
      </c>
      <c r="D73" s="881" t="s">
        <v>3444</v>
      </c>
      <c r="E73" s="882">
        <v>32239</v>
      </c>
      <c r="F73" s="9">
        <f t="shared" ca="1" si="0"/>
        <v>38</v>
      </c>
      <c r="G73" s="883">
        <v>44407</v>
      </c>
      <c r="H73" s="881" t="s">
        <v>271</v>
      </c>
      <c r="I73" s="929">
        <v>44935</v>
      </c>
      <c r="J73" s="583" t="s">
        <v>271</v>
      </c>
      <c r="K73" s="755" t="str">
        <f t="shared" si="1"/>
        <v>I</v>
      </c>
      <c r="L73" s="756" t="str">
        <f t="shared" si="2"/>
        <v>G8</v>
      </c>
      <c r="M73" s="756" t="str">
        <f t="shared" si="3"/>
        <v>J1</v>
      </c>
      <c r="N73" s="757" t="str">
        <f t="shared" si="4"/>
        <v/>
      </c>
      <c r="O73" s="8">
        <f t="shared" si="5"/>
        <v>46031</v>
      </c>
      <c r="P73" s="2" t="str">
        <f t="shared" ca="1" si="6"/>
        <v>ATRASADO</v>
      </c>
      <c r="Q73" s="881" t="s">
        <v>1556</v>
      </c>
      <c r="R73" s="878"/>
      <c r="S73" s="9" t="str">
        <f t="shared" si="7"/>
        <v/>
      </c>
    </row>
    <row r="74" spans="1:19" x14ac:dyDescent="0.3">
      <c r="A74" s="9">
        <v>71</v>
      </c>
      <c r="B74" s="884" t="s">
        <v>78</v>
      </c>
      <c r="C74" s="879" t="s">
        <v>3445</v>
      </c>
      <c r="D74" s="881" t="s">
        <v>3446</v>
      </c>
      <c r="E74" s="882">
        <v>31993</v>
      </c>
      <c r="F74" s="9">
        <f t="shared" ca="1" si="0"/>
        <v>39</v>
      </c>
      <c r="G74" s="883">
        <v>43231</v>
      </c>
      <c r="H74" s="881" t="s">
        <v>993</v>
      </c>
      <c r="I74" s="929">
        <v>44930</v>
      </c>
      <c r="J74" s="583" t="s">
        <v>8</v>
      </c>
      <c r="K74" s="755" t="str">
        <f t="shared" si="1"/>
        <v>SI</v>
      </c>
      <c r="L74" s="756" t="str">
        <f t="shared" si="2"/>
        <v xml:space="preserve">N </v>
      </c>
      <c r="M74" s="756" t="str">
        <f t="shared" si="3"/>
        <v>RE</v>
      </c>
      <c r="N74" s="757" t="str">
        <f t="shared" si="4"/>
        <v>GI</v>
      </c>
      <c r="O74" s="8">
        <f t="shared" si="5"/>
        <v>46026</v>
      </c>
      <c r="P74" s="2" t="str">
        <f t="shared" ca="1" si="6"/>
        <v>ATRASADO</v>
      </c>
      <c r="Q74" s="881" t="s">
        <v>1556</v>
      </c>
      <c r="R74" s="880"/>
      <c r="S74" s="9" t="str">
        <f t="shared" si="7"/>
        <v/>
      </c>
    </row>
    <row r="75" spans="1:19" x14ac:dyDescent="0.3">
      <c r="A75" s="9">
        <v>72</v>
      </c>
      <c r="B75" s="892" t="s">
        <v>78</v>
      </c>
      <c r="C75" s="888" t="s">
        <v>3447</v>
      </c>
      <c r="D75" s="886" t="s">
        <v>3448</v>
      </c>
      <c r="E75" s="890">
        <v>25279</v>
      </c>
      <c r="F75" s="9">
        <f t="shared" ca="1" si="0"/>
        <v>57</v>
      </c>
      <c r="G75" s="891">
        <v>44159</v>
      </c>
      <c r="H75" s="886" t="s">
        <v>275</v>
      </c>
      <c r="I75" s="930">
        <v>44951</v>
      </c>
      <c r="J75" s="583" t="s">
        <v>8</v>
      </c>
      <c r="K75" s="755" t="str">
        <f t="shared" si="1"/>
        <v>SI</v>
      </c>
      <c r="L75" s="756" t="str">
        <f t="shared" si="2"/>
        <v xml:space="preserve">N </v>
      </c>
      <c r="M75" s="756" t="str">
        <f t="shared" si="3"/>
        <v>RE</v>
      </c>
      <c r="N75" s="757" t="str">
        <f t="shared" si="4"/>
        <v>GI</v>
      </c>
      <c r="O75" s="8">
        <f t="shared" si="5"/>
        <v>46047</v>
      </c>
      <c r="P75" s="2" t="str">
        <f t="shared" ca="1" si="6"/>
        <v>ATRASADO</v>
      </c>
      <c r="Q75" s="886" t="s">
        <v>1556</v>
      </c>
      <c r="R75" s="889"/>
      <c r="S75" s="9" t="str">
        <f t="shared" si="7"/>
        <v/>
      </c>
    </row>
    <row r="76" spans="1:19" x14ac:dyDescent="0.3">
      <c r="A76" s="9">
        <v>73</v>
      </c>
      <c r="B76" s="892" t="s">
        <v>78</v>
      </c>
      <c r="C76" s="888" t="s">
        <v>3449</v>
      </c>
      <c r="D76" s="886" t="s">
        <v>3450</v>
      </c>
      <c r="E76" s="890">
        <v>27002</v>
      </c>
      <c r="F76" s="9">
        <f t="shared" ca="1" si="0"/>
        <v>52</v>
      </c>
      <c r="G76" s="891">
        <v>43463</v>
      </c>
      <c r="H76" s="886" t="s">
        <v>8</v>
      </c>
      <c r="I76" s="930">
        <v>44929</v>
      </c>
      <c r="J76" s="583" t="s">
        <v>8</v>
      </c>
      <c r="K76" s="755" t="str">
        <f t="shared" si="1"/>
        <v>SI</v>
      </c>
      <c r="L76" s="756" t="str">
        <f t="shared" si="2"/>
        <v xml:space="preserve">N </v>
      </c>
      <c r="M76" s="756" t="str">
        <f t="shared" si="3"/>
        <v>RE</v>
      </c>
      <c r="N76" s="757" t="str">
        <f t="shared" si="4"/>
        <v>GI</v>
      </c>
      <c r="O76" s="8">
        <f t="shared" si="5"/>
        <v>46025</v>
      </c>
      <c r="P76" s="2" t="str">
        <f t="shared" ca="1" si="6"/>
        <v>ATRASADO</v>
      </c>
      <c r="Q76" s="886" t="s">
        <v>1556</v>
      </c>
      <c r="R76" s="893"/>
      <c r="S76" s="9" t="str">
        <f t="shared" si="7"/>
        <v/>
      </c>
    </row>
    <row r="77" spans="1:19" x14ac:dyDescent="0.3">
      <c r="A77" s="9">
        <v>74</v>
      </c>
      <c r="B77" s="892" t="s">
        <v>78</v>
      </c>
      <c r="C77" s="888" t="s">
        <v>3451</v>
      </c>
      <c r="D77" s="886" t="s">
        <v>3452</v>
      </c>
      <c r="E77" s="890">
        <v>33977</v>
      </c>
      <c r="F77" s="9">
        <f t="shared" ca="1" si="0"/>
        <v>33</v>
      </c>
      <c r="G77" s="891">
        <v>43816</v>
      </c>
      <c r="H77" s="886" t="s">
        <v>275</v>
      </c>
      <c r="I77" s="930">
        <v>44951</v>
      </c>
      <c r="J77" s="583" t="s">
        <v>271</v>
      </c>
      <c r="K77" s="755" t="str">
        <f t="shared" si="1"/>
        <v>I</v>
      </c>
      <c r="L77" s="756" t="str">
        <f t="shared" si="2"/>
        <v>G8</v>
      </c>
      <c r="M77" s="756" t="str">
        <f t="shared" si="3"/>
        <v>J1</v>
      </c>
      <c r="N77" s="757" t="str">
        <f t="shared" si="4"/>
        <v/>
      </c>
      <c r="O77" s="8">
        <f t="shared" si="5"/>
        <v>46047</v>
      </c>
      <c r="P77" s="2" t="str">
        <f t="shared" ca="1" si="6"/>
        <v>ATRASADO</v>
      </c>
      <c r="Q77" s="886" t="s">
        <v>1556</v>
      </c>
      <c r="R77" s="889"/>
      <c r="S77" s="9" t="str">
        <f t="shared" si="7"/>
        <v/>
      </c>
    </row>
    <row r="78" spans="1:19" x14ac:dyDescent="0.3">
      <c r="A78" s="9">
        <v>75</v>
      </c>
      <c r="B78" s="892" t="s">
        <v>78</v>
      </c>
      <c r="C78" s="888" t="s">
        <v>3453</v>
      </c>
      <c r="D78" s="886" t="s">
        <v>3454</v>
      </c>
      <c r="E78" s="890">
        <v>35122</v>
      </c>
      <c r="F78" s="9">
        <f t="shared" ca="1" si="0"/>
        <v>30</v>
      </c>
      <c r="G78" s="891">
        <v>43610</v>
      </c>
      <c r="H78" s="886" t="s">
        <v>340</v>
      </c>
      <c r="I78" s="930">
        <v>44934</v>
      </c>
      <c r="J78" s="583" t="s">
        <v>275</v>
      </c>
      <c r="K78" s="755" t="str">
        <f t="shared" si="1"/>
        <v>I</v>
      </c>
      <c r="L78" s="756" t="str">
        <f t="shared" si="2"/>
        <v>G8</v>
      </c>
      <c r="M78" s="756" t="str">
        <f t="shared" si="3"/>
        <v/>
      </c>
      <c r="N78" s="757" t="str">
        <f t="shared" si="4"/>
        <v/>
      </c>
      <c r="O78" s="8">
        <f t="shared" si="5"/>
        <v>46030</v>
      </c>
      <c r="P78" s="2" t="str">
        <f t="shared" ca="1" si="6"/>
        <v>ATRASADO</v>
      </c>
      <c r="Q78" s="886" t="s">
        <v>1556</v>
      </c>
      <c r="R78" s="889"/>
      <c r="S78" s="9" t="str">
        <f t="shared" si="7"/>
        <v/>
      </c>
    </row>
    <row r="79" spans="1:19" x14ac:dyDescent="0.3">
      <c r="A79" s="9">
        <v>76</v>
      </c>
      <c r="B79" s="899" t="s">
        <v>78</v>
      </c>
      <c r="C79" s="894" t="s">
        <v>3455</v>
      </c>
      <c r="D79" s="896" t="s">
        <v>3456</v>
      </c>
      <c r="E79" s="897">
        <v>20805</v>
      </c>
      <c r="F79" s="9">
        <f t="shared" ca="1" si="0"/>
        <v>69</v>
      </c>
      <c r="G79" s="898">
        <v>44402</v>
      </c>
      <c r="H79" s="896" t="s">
        <v>275</v>
      </c>
      <c r="I79" s="931">
        <v>44944</v>
      </c>
      <c r="J79" s="583" t="s">
        <v>275</v>
      </c>
      <c r="K79" s="755" t="str">
        <f t="shared" si="1"/>
        <v>I</v>
      </c>
      <c r="L79" s="756" t="str">
        <f t="shared" si="2"/>
        <v>G8</v>
      </c>
      <c r="M79" s="756" t="str">
        <f t="shared" si="3"/>
        <v/>
      </c>
      <c r="N79" s="757" t="str">
        <f t="shared" si="4"/>
        <v/>
      </c>
      <c r="O79" s="8">
        <f t="shared" si="5"/>
        <v>46040</v>
      </c>
      <c r="P79" s="2" t="str">
        <f t="shared" ca="1" si="6"/>
        <v>ATRASADO</v>
      </c>
      <c r="Q79" s="896" t="s">
        <v>1556</v>
      </c>
      <c r="R79" s="895"/>
      <c r="S79" s="9" t="str">
        <f t="shared" si="7"/>
        <v/>
      </c>
    </row>
    <row r="80" spans="1:19" x14ac:dyDescent="0.3">
      <c r="A80" s="9">
        <v>77</v>
      </c>
      <c r="B80" s="899" t="s">
        <v>78</v>
      </c>
      <c r="C80" s="894" t="s">
        <v>3457</v>
      </c>
      <c r="D80" s="896" t="s">
        <v>3458</v>
      </c>
      <c r="E80" s="897">
        <v>23603</v>
      </c>
      <c r="F80" s="9">
        <f t="shared" ca="1" si="0"/>
        <v>62</v>
      </c>
      <c r="G80" s="898">
        <v>43828</v>
      </c>
      <c r="H80" s="896" t="s">
        <v>271</v>
      </c>
      <c r="I80" s="931">
        <v>44946</v>
      </c>
      <c r="J80" s="583" t="s">
        <v>271</v>
      </c>
      <c r="K80" s="755" t="str">
        <f t="shared" si="1"/>
        <v>I</v>
      </c>
      <c r="L80" s="756" t="str">
        <f t="shared" si="2"/>
        <v>G8</v>
      </c>
      <c r="M80" s="756" t="str">
        <f t="shared" si="3"/>
        <v>J1</v>
      </c>
      <c r="N80" s="757" t="str">
        <f t="shared" si="4"/>
        <v/>
      </c>
      <c r="O80" s="8">
        <f t="shared" si="5"/>
        <v>46042</v>
      </c>
      <c r="P80" s="2" t="str">
        <f t="shared" ca="1" si="6"/>
        <v>ATRASADO</v>
      </c>
      <c r="Q80" s="896" t="s">
        <v>1556</v>
      </c>
      <c r="R80" s="895"/>
      <c r="S80" s="9" t="str">
        <f t="shared" si="7"/>
        <v/>
      </c>
    </row>
    <row r="81" spans="1:19" x14ac:dyDescent="0.3">
      <c r="A81" s="9">
        <v>78</v>
      </c>
      <c r="B81" s="906" t="s">
        <v>78</v>
      </c>
      <c r="C81" s="901" t="s">
        <v>3459</v>
      </c>
      <c r="D81" s="903" t="s">
        <v>3460</v>
      </c>
      <c r="E81" s="904">
        <v>30672</v>
      </c>
      <c r="F81" s="9">
        <f t="shared" ca="1" si="0"/>
        <v>42</v>
      </c>
      <c r="G81" s="905">
        <v>43622</v>
      </c>
      <c r="H81" s="903" t="s">
        <v>271</v>
      </c>
      <c r="I81" s="932">
        <v>44951</v>
      </c>
      <c r="J81" s="583" t="s">
        <v>340</v>
      </c>
      <c r="K81" s="755" t="str">
        <f t="shared" si="1"/>
        <v>I</v>
      </c>
      <c r="L81" s="756" t="str">
        <f t="shared" si="2"/>
        <v>G8</v>
      </c>
      <c r="M81" s="756" t="str">
        <f t="shared" si="3"/>
        <v>S</v>
      </c>
      <c r="N81" s="757" t="str">
        <f t="shared" si="4"/>
        <v/>
      </c>
      <c r="O81" s="8">
        <f t="shared" si="5"/>
        <v>45316</v>
      </c>
      <c r="P81" s="2" t="str">
        <f t="shared" ca="1" si="6"/>
        <v>ATRASADO</v>
      </c>
      <c r="Q81" s="903" t="s">
        <v>1556</v>
      </c>
      <c r="R81" s="900"/>
      <c r="S81" s="9" t="str">
        <f t="shared" si="7"/>
        <v/>
      </c>
    </row>
    <row r="82" spans="1:19" x14ac:dyDescent="0.3">
      <c r="A82" s="9">
        <v>79</v>
      </c>
      <c r="B82" s="906" t="s">
        <v>78</v>
      </c>
      <c r="C82" s="901" t="s">
        <v>3461</v>
      </c>
      <c r="D82" s="908" t="s">
        <v>3462</v>
      </c>
      <c r="E82" s="904">
        <v>26295</v>
      </c>
      <c r="F82" s="9">
        <f t="shared" ca="1" si="0"/>
        <v>54</v>
      </c>
      <c r="G82" s="905">
        <v>44085</v>
      </c>
      <c r="H82" s="903" t="s">
        <v>275</v>
      </c>
      <c r="I82" s="932">
        <v>44945</v>
      </c>
      <c r="J82" s="583" t="s">
        <v>275</v>
      </c>
      <c r="K82" s="755" t="str">
        <f t="shared" si="1"/>
        <v>I</v>
      </c>
      <c r="L82" s="756" t="str">
        <f t="shared" si="2"/>
        <v>G8</v>
      </c>
      <c r="M82" s="756" t="str">
        <f t="shared" si="3"/>
        <v/>
      </c>
      <c r="N82" s="757" t="str">
        <f t="shared" si="4"/>
        <v/>
      </c>
      <c r="O82" s="8">
        <f t="shared" si="5"/>
        <v>46041</v>
      </c>
      <c r="P82" s="2" t="str">
        <f t="shared" ca="1" si="6"/>
        <v>ATRASADO</v>
      </c>
      <c r="Q82" s="903" t="s">
        <v>1556</v>
      </c>
      <c r="R82" s="907"/>
      <c r="S82" s="9" t="str">
        <f t="shared" si="7"/>
        <v/>
      </c>
    </row>
    <row r="83" spans="1:19" x14ac:dyDescent="0.3">
      <c r="A83" s="9">
        <v>80</v>
      </c>
      <c r="B83" s="906" t="s">
        <v>78</v>
      </c>
      <c r="C83" s="901" t="s">
        <v>3463</v>
      </c>
      <c r="D83" s="903" t="s">
        <v>3464</v>
      </c>
      <c r="E83" s="904">
        <v>32102</v>
      </c>
      <c r="F83" s="9">
        <f t="shared" ca="1" si="0"/>
        <v>38</v>
      </c>
      <c r="G83" s="905">
        <v>44190</v>
      </c>
      <c r="H83" s="903" t="s">
        <v>8</v>
      </c>
      <c r="I83" s="932">
        <v>44942</v>
      </c>
      <c r="J83" s="583" t="s">
        <v>275</v>
      </c>
      <c r="K83" s="755" t="str">
        <f t="shared" si="1"/>
        <v>I</v>
      </c>
      <c r="L83" s="756" t="str">
        <f t="shared" si="2"/>
        <v>G8</v>
      </c>
      <c r="M83" s="756" t="str">
        <f t="shared" si="3"/>
        <v/>
      </c>
      <c r="N83" s="757" t="str">
        <f t="shared" si="4"/>
        <v/>
      </c>
      <c r="O83" s="8">
        <f t="shared" si="5"/>
        <v>46038</v>
      </c>
      <c r="P83" s="2" t="str">
        <f t="shared" ca="1" si="6"/>
        <v>ATRASADO</v>
      </c>
      <c r="Q83" s="903" t="s">
        <v>1556</v>
      </c>
      <c r="R83" s="900"/>
      <c r="S83" s="9" t="str">
        <f t="shared" si="7"/>
        <v/>
      </c>
    </row>
    <row r="84" spans="1:19" x14ac:dyDescent="0.3">
      <c r="A84" s="9">
        <v>81</v>
      </c>
      <c r="B84" s="906" t="s">
        <v>78</v>
      </c>
      <c r="C84" s="901" t="s">
        <v>3465</v>
      </c>
      <c r="D84" s="903" t="s">
        <v>3466</v>
      </c>
      <c r="E84" s="904">
        <v>31637</v>
      </c>
      <c r="F84" s="9">
        <f t="shared" ca="1" si="0"/>
        <v>40</v>
      </c>
      <c r="G84" s="905">
        <v>43404</v>
      </c>
      <c r="H84" s="903" t="s">
        <v>271</v>
      </c>
      <c r="I84" s="932">
        <v>44940</v>
      </c>
      <c r="J84" s="583" t="s">
        <v>8</v>
      </c>
      <c r="K84" s="755" t="str">
        <f t="shared" si="1"/>
        <v>SI</v>
      </c>
      <c r="L84" s="756" t="str">
        <f t="shared" si="2"/>
        <v xml:space="preserve">N </v>
      </c>
      <c r="M84" s="756" t="str">
        <f t="shared" si="3"/>
        <v>RE</v>
      </c>
      <c r="N84" s="757" t="str">
        <f t="shared" si="4"/>
        <v>GI</v>
      </c>
      <c r="O84" s="8">
        <f t="shared" si="5"/>
        <v>46036</v>
      </c>
      <c r="P84" s="2" t="str">
        <f t="shared" ca="1" si="6"/>
        <v>ATRASADO</v>
      </c>
      <c r="Q84" s="903" t="s">
        <v>1556</v>
      </c>
      <c r="R84" s="902"/>
      <c r="S84" s="9" t="str">
        <f t="shared" si="7"/>
        <v/>
      </c>
    </row>
    <row r="85" spans="1:19" x14ac:dyDescent="0.3">
      <c r="A85" s="9">
        <v>82</v>
      </c>
      <c r="B85" s="906" t="s">
        <v>78</v>
      </c>
      <c r="C85" s="901" t="s">
        <v>3467</v>
      </c>
      <c r="D85" s="903" t="s">
        <v>3468</v>
      </c>
      <c r="E85" s="904">
        <v>34433</v>
      </c>
      <c r="F85" s="9">
        <f t="shared" ca="1" si="0"/>
        <v>32</v>
      </c>
      <c r="G85" s="905">
        <v>43735</v>
      </c>
      <c r="H85" s="903" t="s">
        <v>271</v>
      </c>
      <c r="I85" s="932">
        <v>44929</v>
      </c>
      <c r="J85" s="583" t="s">
        <v>8</v>
      </c>
      <c r="K85" s="755" t="str">
        <f t="shared" si="1"/>
        <v>SI</v>
      </c>
      <c r="L85" s="756" t="str">
        <f t="shared" si="2"/>
        <v xml:space="preserve">N </v>
      </c>
      <c r="M85" s="756" t="str">
        <f t="shared" si="3"/>
        <v>RE</v>
      </c>
      <c r="N85" s="757" t="str">
        <f t="shared" si="4"/>
        <v>GI</v>
      </c>
      <c r="O85" s="8">
        <f t="shared" si="5"/>
        <v>46025</v>
      </c>
      <c r="P85" s="2" t="str">
        <f t="shared" ca="1" si="6"/>
        <v>ATRASADO</v>
      </c>
      <c r="Q85" s="903" t="s">
        <v>1556</v>
      </c>
      <c r="R85" s="902"/>
      <c r="S85" s="9" t="str">
        <f t="shared" si="7"/>
        <v/>
      </c>
    </row>
    <row r="86" spans="1:19" x14ac:dyDescent="0.3">
      <c r="A86" s="9">
        <v>83</v>
      </c>
      <c r="B86" s="906" t="s">
        <v>78</v>
      </c>
      <c r="C86" s="901" t="s">
        <v>3469</v>
      </c>
      <c r="D86" s="903" t="s">
        <v>3470</v>
      </c>
      <c r="E86" s="904">
        <v>34664</v>
      </c>
      <c r="F86" s="9">
        <f t="shared" ca="1" si="0"/>
        <v>31</v>
      </c>
      <c r="G86" s="905">
        <v>43892</v>
      </c>
      <c r="H86" s="903" t="s">
        <v>275</v>
      </c>
      <c r="I86" s="932">
        <v>44943</v>
      </c>
      <c r="J86" s="583" t="s">
        <v>275</v>
      </c>
      <c r="K86" s="755" t="str">
        <f t="shared" si="1"/>
        <v>I</v>
      </c>
      <c r="L86" s="756" t="str">
        <f t="shared" si="2"/>
        <v>G8</v>
      </c>
      <c r="M86" s="756" t="str">
        <f t="shared" si="3"/>
        <v/>
      </c>
      <c r="N86" s="757" t="str">
        <f t="shared" si="4"/>
        <v/>
      </c>
      <c r="O86" s="8">
        <f t="shared" si="5"/>
        <v>46039</v>
      </c>
      <c r="P86" s="2" t="str">
        <f t="shared" ca="1" si="6"/>
        <v>ATRASADO</v>
      </c>
      <c r="Q86" s="903" t="s">
        <v>1556</v>
      </c>
      <c r="R86" s="900"/>
      <c r="S86" s="9" t="str">
        <f t="shared" si="7"/>
        <v/>
      </c>
    </row>
    <row r="87" spans="1:19" x14ac:dyDescent="0.3">
      <c r="A87" s="9">
        <v>84</v>
      </c>
      <c r="B87" s="906" t="s">
        <v>78</v>
      </c>
      <c r="C87" s="901" t="s">
        <v>3471</v>
      </c>
      <c r="D87" s="903" t="s">
        <v>3472</v>
      </c>
      <c r="E87" s="904">
        <v>20807</v>
      </c>
      <c r="F87" s="9">
        <f t="shared" ca="1" si="0"/>
        <v>69</v>
      </c>
      <c r="G87" s="905">
        <v>43885</v>
      </c>
      <c r="H87" s="903" t="s">
        <v>275</v>
      </c>
      <c r="I87" s="932">
        <v>44927</v>
      </c>
      <c r="J87" s="583" t="s">
        <v>275</v>
      </c>
      <c r="K87" s="755" t="str">
        <f t="shared" si="1"/>
        <v>I</v>
      </c>
      <c r="L87" s="756" t="str">
        <f t="shared" si="2"/>
        <v>G8</v>
      </c>
      <c r="M87" s="756" t="str">
        <f t="shared" si="3"/>
        <v/>
      </c>
      <c r="N87" s="757" t="str">
        <f t="shared" si="4"/>
        <v/>
      </c>
      <c r="O87" s="8">
        <f t="shared" si="5"/>
        <v>46023</v>
      </c>
      <c r="P87" s="2" t="str">
        <f t="shared" ca="1" si="6"/>
        <v>ATRASADO</v>
      </c>
      <c r="Q87" s="903" t="s">
        <v>1556</v>
      </c>
      <c r="R87" s="900"/>
      <c r="S87" s="9" t="str">
        <f t="shared" si="7"/>
        <v/>
      </c>
    </row>
    <row r="88" spans="1:19" x14ac:dyDescent="0.3">
      <c r="A88" s="9">
        <v>85</v>
      </c>
      <c r="B88" s="906" t="s">
        <v>78</v>
      </c>
      <c r="C88" s="901" t="s">
        <v>3473</v>
      </c>
      <c r="D88" s="903" t="s">
        <v>3474</v>
      </c>
      <c r="E88" s="904">
        <v>35029</v>
      </c>
      <c r="F88" s="9">
        <f t="shared" ca="1" si="0"/>
        <v>30</v>
      </c>
      <c r="G88" s="905">
        <v>43763</v>
      </c>
      <c r="H88" s="903" t="s">
        <v>8</v>
      </c>
      <c r="I88" s="932">
        <v>44947</v>
      </c>
      <c r="J88" s="583" t="s">
        <v>8</v>
      </c>
      <c r="K88" s="755" t="str">
        <f t="shared" si="1"/>
        <v>SI</v>
      </c>
      <c r="L88" s="756" t="str">
        <f t="shared" si="2"/>
        <v xml:space="preserve">N </v>
      </c>
      <c r="M88" s="756" t="str">
        <f t="shared" si="3"/>
        <v>RE</v>
      </c>
      <c r="N88" s="757" t="str">
        <f t="shared" si="4"/>
        <v>GI</v>
      </c>
      <c r="O88" s="8">
        <f t="shared" si="5"/>
        <v>46043</v>
      </c>
      <c r="P88" s="2" t="str">
        <f t="shared" ca="1" si="6"/>
        <v>ATRASADO</v>
      </c>
      <c r="Q88" s="903" t="s">
        <v>1556</v>
      </c>
      <c r="R88" s="902"/>
      <c r="S88" s="9" t="str">
        <f t="shared" si="7"/>
        <v/>
      </c>
    </row>
    <row r="89" spans="1:19" x14ac:dyDescent="0.3">
      <c r="A89" s="9">
        <v>86</v>
      </c>
      <c r="B89" s="906" t="s">
        <v>78</v>
      </c>
      <c r="C89" s="901" t="s">
        <v>3475</v>
      </c>
      <c r="D89" s="903" t="s">
        <v>3476</v>
      </c>
      <c r="E89" s="904">
        <v>30778</v>
      </c>
      <c r="F89" s="9">
        <f t="shared" ca="1" si="0"/>
        <v>42</v>
      </c>
      <c r="G89" s="903" t="s">
        <v>8</v>
      </c>
      <c r="H89" s="903" t="s">
        <v>275</v>
      </c>
      <c r="I89" s="932">
        <v>44955</v>
      </c>
      <c r="J89" s="583" t="s">
        <v>340</v>
      </c>
      <c r="K89" s="755" t="str">
        <f t="shared" si="1"/>
        <v>I</v>
      </c>
      <c r="L89" s="756" t="str">
        <f t="shared" si="2"/>
        <v>G8</v>
      </c>
      <c r="M89" s="756" t="str">
        <f t="shared" si="3"/>
        <v>S</v>
      </c>
      <c r="N89" s="757" t="str">
        <f t="shared" si="4"/>
        <v/>
      </c>
      <c r="O89" s="8">
        <f t="shared" si="5"/>
        <v>45320</v>
      </c>
      <c r="P89" s="2" t="str">
        <f t="shared" ca="1" si="6"/>
        <v>ATRASADO</v>
      </c>
      <c r="Q89" s="903" t="s">
        <v>1556</v>
      </c>
      <c r="R89" s="900"/>
      <c r="S89" s="9" t="str">
        <f t="shared" si="7"/>
        <v/>
      </c>
    </row>
    <row r="90" spans="1:19" x14ac:dyDescent="0.3">
      <c r="A90" s="9">
        <v>87</v>
      </c>
      <c r="B90" s="906" t="s">
        <v>78</v>
      </c>
      <c r="C90" s="901" t="s">
        <v>3477</v>
      </c>
      <c r="D90" s="903" t="s">
        <v>3478</v>
      </c>
      <c r="E90" s="904">
        <v>24179</v>
      </c>
      <c r="F90" s="9">
        <f t="shared" ca="1" si="0"/>
        <v>60</v>
      </c>
      <c r="G90" s="905">
        <v>43218</v>
      </c>
      <c r="H90" s="903" t="s">
        <v>271</v>
      </c>
      <c r="I90" s="932">
        <v>44930</v>
      </c>
      <c r="J90" s="583" t="s">
        <v>271</v>
      </c>
      <c r="K90" s="755" t="str">
        <f t="shared" si="1"/>
        <v>I</v>
      </c>
      <c r="L90" s="756" t="str">
        <f t="shared" si="2"/>
        <v>G8</v>
      </c>
      <c r="M90" s="756" t="str">
        <f t="shared" si="3"/>
        <v>J1</v>
      </c>
      <c r="N90" s="757" t="str">
        <f t="shared" si="4"/>
        <v/>
      </c>
      <c r="O90" s="8">
        <f t="shared" si="5"/>
        <v>46026</v>
      </c>
      <c r="P90" s="2" t="str">
        <f t="shared" ca="1" si="6"/>
        <v>ATRASADO</v>
      </c>
      <c r="Q90" s="903" t="s">
        <v>1556</v>
      </c>
      <c r="R90" s="900"/>
      <c r="S90" s="9" t="str">
        <f t="shared" si="7"/>
        <v/>
      </c>
    </row>
    <row r="91" spans="1:19" x14ac:dyDescent="0.3">
      <c r="A91" s="9">
        <v>88</v>
      </c>
      <c r="B91" s="906" t="s">
        <v>78</v>
      </c>
      <c r="C91" s="901" t="s">
        <v>3479</v>
      </c>
      <c r="D91" s="903" t="s">
        <v>3480</v>
      </c>
      <c r="E91" s="904">
        <v>31219</v>
      </c>
      <c r="F91" s="9">
        <f t="shared" ca="1" si="0"/>
        <v>41</v>
      </c>
      <c r="G91" s="905">
        <v>43959</v>
      </c>
      <c r="H91" s="903" t="s">
        <v>320</v>
      </c>
      <c r="I91" s="932">
        <v>44954</v>
      </c>
      <c r="J91" s="583" t="s">
        <v>275</v>
      </c>
      <c r="K91" s="755" t="str">
        <f t="shared" si="1"/>
        <v>I</v>
      </c>
      <c r="L91" s="756" t="str">
        <f t="shared" si="2"/>
        <v>G8</v>
      </c>
      <c r="M91" s="756" t="str">
        <f t="shared" si="3"/>
        <v/>
      </c>
      <c r="N91" s="757" t="str">
        <f t="shared" si="4"/>
        <v/>
      </c>
      <c r="O91" s="8">
        <f t="shared" si="5"/>
        <v>46050</v>
      </c>
      <c r="P91" s="2" t="str">
        <f t="shared" ca="1" si="6"/>
        <v>ATRASADO</v>
      </c>
      <c r="Q91" s="903" t="s">
        <v>1556</v>
      </c>
      <c r="R91" s="900"/>
      <c r="S91" s="9" t="str">
        <f t="shared" si="7"/>
        <v/>
      </c>
    </row>
    <row r="92" spans="1:19" x14ac:dyDescent="0.3">
      <c r="A92" s="9">
        <v>89</v>
      </c>
      <c r="B92" s="906" t="s">
        <v>78</v>
      </c>
      <c r="C92" s="901" t="s">
        <v>3481</v>
      </c>
      <c r="D92" s="903" t="s">
        <v>3482</v>
      </c>
      <c r="E92" s="904">
        <v>21316</v>
      </c>
      <c r="F92" s="9">
        <f t="shared" ca="1" si="0"/>
        <v>68</v>
      </c>
      <c r="G92" s="905">
        <v>43525</v>
      </c>
      <c r="H92" s="903" t="s">
        <v>275</v>
      </c>
      <c r="I92" s="932">
        <v>44927</v>
      </c>
      <c r="J92" s="583" t="s">
        <v>275</v>
      </c>
      <c r="K92" s="755" t="str">
        <f t="shared" si="1"/>
        <v>I</v>
      </c>
      <c r="L92" s="756" t="str">
        <f t="shared" si="2"/>
        <v>G8</v>
      </c>
      <c r="M92" s="756" t="str">
        <f t="shared" si="3"/>
        <v/>
      </c>
      <c r="N92" s="757" t="str">
        <f t="shared" si="4"/>
        <v/>
      </c>
      <c r="O92" s="8">
        <f t="shared" si="5"/>
        <v>46023</v>
      </c>
      <c r="P92" s="2" t="str">
        <f t="shared" ca="1" si="6"/>
        <v>ATRASADO</v>
      </c>
      <c r="Q92" s="903" t="s">
        <v>1556</v>
      </c>
      <c r="R92" s="902"/>
      <c r="S92" s="9" t="str">
        <f t="shared" si="7"/>
        <v/>
      </c>
    </row>
    <row r="93" spans="1:19" x14ac:dyDescent="0.3">
      <c r="A93" s="9">
        <v>90</v>
      </c>
      <c r="B93" s="915" t="s">
        <v>78</v>
      </c>
      <c r="C93" s="910" t="s">
        <v>3483</v>
      </c>
      <c r="D93" s="912" t="s">
        <v>3484</v>
      </c>
      <c r="E93" s="913">
        <v>24736</v>
      </c>
      <c r="F93" s="9">
        <f t="shared" ca="1" si="0"/>
        <v>59</v>
      </c>
      <c r="G93" s="914">
        <v>43535</v>
      </c>
      <c r="H93" s="912" t="s">
        <v>275</v>
      </c>
      <c r="I93" s="933">
        <v>44940</v>
      </c>
      <c r="J93" s="583" t="s">
        <v>275</v>
      </c>
      <c r="K93" s="755" t="str">
        <f t="shared" si="1"/>
        <v>I</v>
      </c>
      <c r="L93" s="756" t="str">
        <f t="shared" si="2"/>
        <v>G8</v>
      </c>
      <c r="M93" s="756" t="str">
        <f t="shared" si="3"/>
        <v/>
      </c>
      <c r="N93" s="757" t="str">
        <f t="shared" si="4"/>
        <v/>
      </c>
      <c r="O93" s="8">
        <f t="shared" si="5"/>
        <v>46036</v>
      </c>
      <c r="P93" s="2" t="str">
        <f t="shared" ca="1" si="6"/>
        <v>ATRASADO</v>
      </c>
      <c r="Q93" s="912" t="s">
        <v>1556</v>
      </c>
      <c r="R93" s="909"/>
      <c r="S93" s="9" t="str">
        <f t="shared" si="7"/>
        <v/>
      </c>
    </row>
    <row r="94" spans="1:19" x14ac:dyDescent="0.3">
      <c r="A94" s="9">
        <v>91</v>
      </c>
      <c r="B94" s="915" t="s">
        <v>78</v>
      </c>
      <c r="C94" s="910" t="s">
        <v>3485</v>
      </c>
      <c r="D94" s="912" t="s">
        <v>3486</v>
      </c>
      <c r="E94" s="913">
        <v>33819</v>
      </c>
      <c r="F94" s="9">
        <f t="shared" ca="1" si="0"/>
        <v>34</v>
      </c>
      <c r="G94" s="914">
        <v>43721</v>
      </c>
      <c r="H94" s="912" t="s">
        <v>340</v>
      </c>
      <c r="I94" s="933">
        <v>44930</v>
      </c>
      <c r="J94" s="583" t="s">
        <v>275</v>
      </c>
      <c r="K94" s="755" t="str">
        <f t="shared" si="1"/>
        <v>I</v>
      </c>
      <c r="L94" s="756" t="str">
        <f t="shared" si="2"/>
        <v>G8</v>
      </c>
      <c r="M94" s="756" t="str">
        <f t="shared" si="3"/>
        <v/>
      </c>
      <c r="N94" s="757" t="str">
        <f t="shared" si="4"/>
        <v/>
      </c>
      <c r="O94" s="8">
        <f t="shared" si="5"/>
        <v>46026</v>
      </c>
      <c r="P94" s="2" t="str">
        <f t="shared" ca="1" si="6"/>
        <v>ATRASADO</v>
      </c>
      <c r="Q94" s="912" t="s">
        <v>1556</v>
      </c>
      <c r="R94" s="909"/>
      <c r="S94" s="9" t="str">
        <f t="shared" si="7"/>
        <v/>
      </c>
    </row>
    <row r="95" spans="1:19" x14ac:dyDescent="0.3">
      <c r="A95" s="9">
        <v>92</v>
      </c>
      <c r="B95" s="915" t="s">
        <v>78</v>
      </c>
      <c r="C95" s="910" t="s">
        <v>3487</v>
      </c>
      <c r="D95" s="912" t="s">
        <v>3488</v>
      </c>
      <c r="E95" s="913">
        <v>30422</v>
      </c>
      <c r="F95" s="9">
        <f t="shared" ca="1" si="0"/>
        <v>43</v>
      </c>
      <c r="G95" s="914">
        <v>43115</v>
      </c>
      <c r="H95" s="912" t="s">
        <v>275</v>
      </c>
      <c r="I95" s="933">
        <v>44931</v>
      </c>
      <c r="J95" s="583" t="s">
        <v>275</v>
      </c>
      <c r="K95" s="755" t="str">
        <f t="shared" si="1"/>
        <v>I</v>
      </c>
      <c r="L95" s="756" t="str">
        <f t="shared" si="2"/>
        <v>G8</v>
      </c>
      <c r="M95" s="756" t="str">
        <f t="shared" si="3"/>
        <v/>
      </c>
      <c r="N95" s="757" t="str">
        <f t="shared" si="4"/>
        <v/>
      </c>
      <c r="O95" s="8">
        <f t="shared" si="5"/>
        <v>46027</v>
      </c>
      <c r="P95" s="2" t="str">
        <f t="shared" ca="1" si="6"/>
        <v>ATRASADO</v>
      </c>
      <c r="Q95" s="912" t="s">
        <v>1556</v>
      </c>
      <c r="R95" s="911"/>
      <c r="S95" s="9" t="str">
        <f t="shared" si="7"/>
        <v/>
      </c>
    </row>
    <row r="96" spans="1:19" x14ac:dyDescent="0.3">
      <c r="A96" s="9">
        <v>93</v>
      </c>
      <c r="B96" s="915" t="s">
        <v>78</v>
      </c>
      <c r="C96" s="910" t="s">
        <v>3489</v>
      </c>
      <c r="D96" s="912" t="s">
        <v>3490</v>
      </c>
      <c r="E96" s="913">
        <v>31382</v>
      </c>
      <c r="F96" s="9">
        <f t="shared" ca="1" si="0"/>
        <v>40</v>
      </c>
      <c r="G96" s="914">
        <v>44591</v>
      </c>
      <c r="H96" s="912" t="s">
        <v>271</v>
      </c>
      <c r="I96" s="933">
        <v>44935</v>
      </c>
      <c r="J96" s="583" t="s">
        <v>8</v>
      </c>
      <c r="K96" s="755" t="str">
        <f t="shared" si="1"/>
        <v>SI</v>
      </c>
      <c r="L96" s="756" t="str">
        <f t="shared" si="2"/>
        <v xml:space="preserve">N </v>
      </c>
      <c r="M96" s="756" t="str">
        <f t="shared" si="3"/>
        <v>RE</v>
      </c>
      <c r="N96" s="757" t="str">
        <f t="shared" si="4"/>
        <v>GI</v>
      </c>
      <c r="O96" s="8">
        <f t="shared" si="5"/>
        <v>46031</v>
      </c>
      <c r="P96" s="2" t="str">
        <f t="shared" ca="1" si="6"/>
        <v>ATRASADO</v>
      </c>
      <c r="Q96" s="912" t="s">
        <v>1556</v>
      </c>
      <c r="R96" s="911"/>
      <c r="S96" s="9" t="str">
        <f t="shared" si="7"/>
        <v/>
      </c>
    </row>
    <row r="97" spans="1:19" x14ac:dyDescent="0.3">
      <c r="A97" s="9">
        <v>94</v>
      </c>
      <c r="B97" s="915" t="s">
        <v>78</v>
      </c>
      <c r="C97" s="910" t="s">
        <v>3491</v>
      </c>
      <c r="D97" s="912" t="s">
        <v>3492</v>
      </c>
      <c r="E97" s="913">
        <v>34903</v>
      </c>
      <c r="F97" s="9">
        <f t="shared" ca="1" si="0"/>
        <v>31</v>
      </c>
      <c r="G97" s="914">
        <v>44192</v>
      </c>
      <c r="H97" s="912" t="s">
        <v>275</v>
      </c>
      <c r="I97" s="933">
        <v>44937</v>
      </c>
      <c r="J97" s="583" t="s">
        <v>275</v>
      </c>
      <c r="K97" s="755" t="str">
        <f t="shared" si="1"/>
        <v>I</v>
      </c>
      <c r="L97" s="756" t="str">
        <f t="shared" si="2"/>
        <v>G8</v>
      </c>
      <c r="M97" s="756" t="str">
        <f t="shared" si="3"/>
        <v/>
      </c>
      <c r="N97" s="757" t="str">
        <f t="shared" si="4"/>
        <v/>
      </c>
      <c r="O97" s="8">
        <f t="shared" si="5"/>
        <v>46033</v>
      </c>
      <c r="P97" s="2" t="str">
        <f t="shared" ca="1" si="6"/>
        <v>ATRASADO</v>
      </c>
      <c r="Q97" s="912" t="s">
        <v>1556</v>
      </c>
      <c r="R97" s="909"/>
      <c r="S97" s="9" t="str">
        <f t="shared" si="7"/>
        <v/>
      </c>
    </row>
    <row r="98" spans="1:19" x14ac:dyDescent="0.3">
      <c r="A98" s="9">
        <v>95</v>
      </c>
      <c r="B98" s="915" t="s">
        <v>78</v>
      </c>
      <c r="C98" s="910" t="s">
        <v>3493</v>
      </c>
      <c r="D98" s="912" t="s">
        <v>3494</v>
      </c>
      <c r="E98" s="913">
        <v>31089</v>
      </c>
      <c r="F98" s="9">
        <f t="shared" ca="1" si="0"/>
        <v>41</v>
      </c>
      <c r="G98" s="914">
        <v>43501</v>
      </c>
      <c r="H98" s="912" t="s">
        <v>275</v>
      </c>
      <c r="I98" s="933">
        <v>44954</v>
      </c>
      <c r="J98" s="583" t="s">
        <v>275</v>
      </c>
      <c r="K98" s="755" t="str">
        <f t="shared" si="1"/>
        <v>I</v>
      </c>
      <c r="L98" s="756" t="str">
        <f t="shared" si="2"/>
        <v>G8</v>
      </c>
      <c r="M98" s="756" t="str">
        <f t="shared" si="3"/>
        <v/>
      </c>
      <c r="N98" s="757" t="str">
        <f t="shared" si="4"/>
        <v/>
      </c>
      <c r="O98" s="8">
        <f t="shared" si="5"/>
        <v>46050</v>
      </c>
      <c r="P98" s="2" t="str">
        <f t="shared" ca="1" si="6"/>
        <v>ATRASADO</v>
      </c>
      <c r="Q98" s="912" t="s">
        <v>1556</v>
      </c>
      <c r="R98" s="911"/>
      <c r="S98" s="9" t="str">
        <f t="shared" si="7"/>
        <v/>
      </c>
    </row>
    <row r="99" spans="1:19" x14ac:dyDescent="0.3">
      <c r="A99" s="9">
        <v>96</v>
      </c>
      <c r="B99" s="915" t="s">
        <v>78</v>
      </c>
      <c r="C99" s="910" t="s">
        <v>3495</v>
      </c>
      <c r="D99" s="912" t="s">
        <v>3496</v>
      </c>
      <c r="E99" s="913">
        <v>36337</v>
      </c>
      <c r="F99" s="9">
        <f t="shared" ca="1" si="0"/>
        <v>27</v>
      </c>
      <c r="G99" s="914">
        <v>43802</v>
      </c>
      <c r="H99" s="912" t="s">
        <v>8</v>
      </c>
      <c r="I99" s="933">
        <v>44931</v>
      </c>
      <c r="J99" s="583" t="s">
        <v>8</v>
      </c>
      <c r="K99" s="755" t="str">
        <f t="shared" si="1"/>
        <v>SI</v>
      </c>
      <c r="L99" s="756" t="str">
        <f t="shared" si="2"/>
        <v xml:space="preserve">N </v>
      </c>
      <c r="M99" s="756" t="str">
        <f t="shared" si="3"/>
        <v>RE</v>
      </c>
      <c r="N99" s="757" t="str">
        <f t="shared" si="4"/>
        <v>GI</v>
      </c>
      <c r="O99" s="8">
        <f t="shared" si="5"/>
        <v>46027</v>
      </c>
      <c r="P99" s="2" t="str">
        <f t="shared" ca="1" si="6"/>
        <v>ATRASADO</v>
      </c>
      <c r="Q99" s="912" t="s">
        <v>1556</v>
      </c>
      <c r="R99" s="909"/>
      <c r="S99" s="9" t="str">
        <f t="shared" si="7"/>
        <v/>
      </c>
    </row>
    <row r="100" spans="1:19" x14ac:dyDescent="0.3">
      <c r="A100" s="9">
        <v>97</v>
      </c>
      <c r="B100" s="915" t="s">
        <v>78</v>
      </c>
      <c r="C100" s="910" t="s">
        <v>3497</v>
      </c>
      <c r="D100" s="912" t="s">
        <v>3498</v>
      </c>
      <c r="E100" s="913">
        <v>25766</v>
      </c>
      <c r="F100" s="9">
        <f t="shared" ca="1" si="0"/>
        <v>56</v>
      </c>
      <c r="G100" s="914">
        <v>44443</v>
      </c>
      <c r="H100" s="912" t="s">
        <v>275</v>
      </c>
      <c r="I100" s="933">
        <v>44929</v>
      </c>
      <c r="J100" s="583" t="s">
        <v>8</v>
      </c>
      <c r="K100" s="755" t="str">
        <f t="shared" si="1"/>
        <v>SI</v>
      </c>
      <c r="L100" s="756" t="str">
        <f t="shared" si="2"/>
        <v xml:space="preserve">N </v>
      </c>
      <c r="M100" s="756" t="str">
        <f t="shared" si="3"/>
        <v>RE</v>
      </c>
      <c r="N100" s="757" t="str">
        <f t="shared" si="4"/>
        <v>GI</v>
      </c>
      <c r="O100" s="8">
        <f t="shared" si="5"/>
        <v>46025</v>
      </c>
      <c r="P100" s="2" t="str">
        <f t="shared" ca="1" si="6"/>
        <v>ATRASADO</v>
      </c>
      <c r="Q100" s="912" t="s">
        <v>1556</v>
      </c>
      <c r="R100" s="909"/>
      <c r="S100" s="9" t="str">
        <f t="shared" si="7"/>
        <v/>
      </c>
    </row>
    <row r="101" spans="1:19" x14ac:dyDescent="0.3">
      <c r="A101" s="9">
        <v>98</v>
      </c>
      <c r="B101" s="915" t="s">
        <v>78</v>
      </c>
      <c r="C101" s="910" t="s">
        <v>3499</v>
      </c>
      <c r="D101" s="912" t="s">
        <v>3500</v>
      </c>
      <c r="E101" s="913">
        <v>26030</v>
      </c>
      <c r="F101" s="9">
        <f t="shared" ca="1" si="0"/>
        <v>55</v>
      </c>
      <c r="G101" s="912" t="s">
        <v>8</v>
      </c>
      <c r="H101" s="912" t="s">
        <v>275</v>
      </c>
      <c r="I101" s="933">
        <v>44943</v>
      </c>
      <c r="J101" s="1130" t="s">
        <v>275</v>
      </c>
      <c r="K101" s="755" t="str">
        <f t="shared" si="1"/>
        <v>I</v>
      </c>
      <c r="L101" s="756" t="str">
        <f t="shared" si="2"/>
        <v>G8</v>
      </c>
      <c r="M101" s="756" t="str">
        <f t="shared" si="3"/>
        <v/>
      </c>
      <c r="N101" s="757" t="str">
        <f t="shared" si="4"/>
        <v/>
      </c>
      <c r="O101" s="8">
        <f t="shared" si="5"/>
        <v>46039</v>
      </c>
      <c r="P101" s="2" t="str">
        <f t="shared" ca="1" si="6"/>
        <v>ATRASADO</v>
      </c>
      <c r="Q101" s="912" t="s">
        <v>1556</v>
      </c>
      <c r="R101" s="909"/>
      <c r="S101" s="9" t="str">
        <f t="shared" si="7"/>
        <v/>
      </c>
    </row>
    <row r="102" spans="1:19" x14ac:dyDescent="0.3">
      <c r="A102" s="9">
        <v>99</v>
      </c>
      <c r="B102" s="922" t="s">
        <v>78</v>
      </c>
      <c r="C102" s="918" t="s">
        <v>3501</v>
      </c>
      <c r="D102" s="919" t="s">
        <v>3502</v>
      </c>
      <c r="E102" s="920">
        <v>32879</v>
      </c>
      <c r="F102" s="9">
        <f t="shared" ca="1" si="0"/>
        <v>36</v>
      </c>
      <c r="G102" s="921">
        <v>44601</v>
      </c>
      <c r="H102" s="919" t="s">
        <v>300</v>
      </c>
      <c r="I102" s="934">
        <v>44947</v>
      </c>
      <c r="J102" s="583" t="s">
        <v>275</v>
      </c>
      <c r="K102" s="755" t="str">
        <f t="shared" si="1"/>
        <v>I</v>
      </c>
      <c r="L102" s="756" t="str">
        <f t="shared" si="2"/>
        <v>G8</v>
      </c>
      <c r="M102" s="756" t="str">
        <f t="shared" si="3"/>
        <v/>
      </c>
      <c r="N102" s="757" t="str">
        <f t="shared" si="4"/>
        <v/>
      </c>
      <c r="O102" s="8">
        <f t="shared" si="5"/>
        <v>46043</v>
      </c>
      <c r="P102" s="2" t="str">
        <f t="shared" ca="1" si="6"/>
        <v>ATRASADO</v>
      </c>
      <c r="Q102" s="919" t="s">
        <v>1556</v>
      </c>
      <c r="R102" s="917"/>
      <c r="S102" s="9" t="str">
        <f t="shared" si="7"/>
        <v/>
      </c>
    </row>
    <row r="103" spans="1:19" x14ac:dyDescent="0.3">
      <c r="A103" s="9">
        <v>100</v>
      </c>
      <c r="B103" s="922" t="s">
        <v>78</v>
      </c>
      <c r="C103" s="918" t="s">
        <v>3503</v>
      </c>
      <c r="D103" s="919" t="s">
        <v>3504</v>
      </c>
      <c r="E103" s="920">
        <v>32800</v>
      </c>
      <c r="F103" s="9">
        <f t="shared" ca="1" si="0"/>
        <v>36</v>
      </c>
      <c r="G103" s="921">
        <v>44553</v>
      </c>
      <c r="H103" s="919" t="s">
        <v>271</v>
      </c>
      <c r="I103" s="934">
        <v>44946</v>
      </c>
      <c r="J103" s="583" t="s">
        <v>8</v>
      </c>
      <c r="K103" s="755" t="str">
        <f t="shared" si="1"/>
        <v>SI</v>
      </c>
      <c r="L103" s="756" t="str">
        <f t="shared" si="2"/>
        <v xml:space="preserve">N </v>
      </c>
      <c r="M103" s="756" t="str">
        <f t="shared" si="3"/>
        <v>RE</v>
      </c>
      <c r="N103" s="757" t="str">
        <f t="shared" si="4"/>
        <v>GI</v>
      </c>
      <c r="O103" s="8">
        <f t="shared" si="5"/>
        <v>46042</v>
      </c>
      <c r="P103" s="2" t="str">
        <f t="shared" ca="1" si="6"/>
        <v>ATRASADO</v>
      </c>
      <c r="Q103" s="919" t="s">
        <v>1556</v>
      </c>
      <c r="R103" s="917"/>
      <c r="S103" s="9" t="str">
        <f t="shared" si="7"/>
        <v/>
      </c>
    </row>
    <row r="104" spans="1:19" x14ac:dyDescent="0.3">
      <c r="A104" s="9">
        <v>101</v>
      </c>
      <c r="B104" s="922" t="s">
        <v>56</v>
      </c>
      <c r="C104" s="918" t="s">
        <v>3505</v>
      </c>
      <c r="D104" s="919" t="s">
        <v>3506</v>
      </c>
      <c r="E104" s="920">
        <v>23190</v>
      </c>
      <c r="F104" s="9">
        <f t="shared" ca="1" si="0"/>
        <v>63</v>
      </c>
      <c r="G104" s="921">
        <v>43244</v>
      </c>
      <c r="H104" s="919" t="s">
        <v>8</v>
      </c>
      <c r="I104" s="934">
        <v>44930</v>
      </c>
      <c r="J104" s="1131" t="s">
        <v>275</v>
      </c>
      <c r="K104" s="755" t="str">
        <f t="shared" si="1"/>
        <v>I</v>
      </c>
      <c r="L104" s="756" t="str">
        <f t="shared" si="2"/>
        <v>G8</v>
      </c>
      <c r="M104" s="756" t="str">
        <f t="shared" si="3"/>
        <v/>
      </c>
      <c r="N104" s="757" t="str">
        <f t="shared" si="4"/>
        <v/>
      </c>
      <c r="O104" s="8">
        <f t="shared" si="5"/>
        <v>46026</v>
      </c>
      <c r="P104" s="2" t="str">
        <f t="shared" ca="1" si="6"/>
        <v>ATRASADO</v>
      </c>
      <c r="Q104" s="919" t="s">
        <v>1556</v>
      </c>
      <c r="R104" s="917"/>
      <c r="S104" s="9" t="str">
        <f t="shared" si="7"/>
        <v/>
      </c>
    </row>
    <row r="105" spans="1:19" x14ac:dyDescent="0.3">
      <c r="A105" s="9">
        <v>102</v>
      </c>
      <c r="B105" s="922" t="s">
        <v>78</v>
      </c>
      <c r="C105" s="918" t="s">
        <v>3507</v>
      </c>
      <c r="D105" s="919" t="s">
        <v>3508</v>
      </c>
      <c r="E105" s="920">
        <v>22748</v>
      </c>
      <c r="F105" s="9">
        <f t="shared" ca="1" si="0"/>
        <v>64</v>
      </c>
      <c r="G105" s="921">
        <v>43678</v>
      </c>
      <c r="H105" s="919" t="s">
        <v>320</v>
      </c>
      <c r="I105" s="934">
        <v>44942</v>
      </c>
      <c r="J105" s="583" t="s">
        <v>8</v>
      </c>
      <c r="K105" s="755" t="str">
        <f t="shared" si="1"/>
        <v>SI</v>
      </c>
      <c r="L105" s="756" t="str">
        <f t="shared" si="2"/>
        <v xml:space="preserve">N </v>
      </c>
      <c r="M105" s="756" t="str">
        <f t="shared" si="3"/>
        <v>RE</v>
      </c>
      <c r="N105" s="757" t="str">
        <f t="shared" si="4"/>
        <v>GI</v>
      </c>
      <c r="O105" s="8">
        <f t="shared" si="5"/>
        <v>46038</v>
      </c>
      <c r="P105" s="2" t="str">
        <f t="shared" ca="1" si="6"/>
        <v>ATRASADO</v>
      </c>
      <c r="Q105" s="919" t="s">
        <v>1556</v>
      </c>
      <c r="R105" s="917"/>
      <c r="S105" s="9" t="str">
        <f t="shared" si="7"/>
        <v/>
      </c>
    </row>
    <row r="106" spans="1:19" x14ac:dyDescent="0.3">
      <c r="A106" s="9">
        <v>103</v>
      </c>
      <c r="B106" s="313" t="s">
        <v>579</v>
      </c>
      <c r="C106" t="s">
        <v>3509</v>
      </c>
      <c r="D106" s="9" t="s">
        <v>3510</v>
      </c>
      <c r="E106" s="2">
        <v>35254</v>
      </c>
      <c r="F106" s="9">
        <f t="shared" ca="1" si="0"/>
        <v>30</v>
      </c>
      <c r="G106" s="9">
        <v>43384</v>
      </c>
      <c r="H106" s="9" t="s">
        <v>275</v>
      </c>
      <c r="I106" s="936">
        <v>44937</v>
      </c>
      <c r="J106" s="1117" t="s">
        <v>1060</v>
      </c>
      <c r="K106" s="755" t="str">
        <f t="shared" si="1"/>
        <v>H1</v>
      </c>
      <c r="L106" s="756" t="str">
        <f t="shared" si="2"/>
        <v>O3</v>
      </c>
      <c r="M106" s="756" t="str">
        <f t="shared" si="3"/>
        <v/>
      </c>
      <c r="N106" s="757" t="str">
        <f t="shared" si="4"/>
        <v/>
      </c>
      <c r="O106" s="8">
        <f t="shared" si="5"/>
        <v>45118</v>
      </c>
      <c r="P106" s="9" t="str">
        <f t="shared" ca="1" si="6"/>
        <v>ATRASADO</v>
      </c>
      <c r="Q106" s="9" t="s">
        <v>341</v>
      </c>
      <c r="S106" s="9" t="str">
        <f t="shared" si="7"/>
        <v/>
      </c>
    </row>
    <row r="107" spans="1:19" x14ac:dyDescent="0.3">
      <c r="A107" s="9">
        <v>104</v>
      </c>
      <c r="B107" s="313" t="s">
        <v>579</v>
      </c>
      <c r="C107" s="10" t="s">
        <v>3511</v>
      </c>
      <c r="D107" s="9" t="s">
        <v>3512</v>
      </c>
      <c r="E107" s="2">
        <v>23380</v>
      </c>
      <c r="F107" s="9">
        <f t="shared" ca="1" si="0"/>
        <v>62</v>
      </c>
      <c r="G107" s="9">
        <v>43311</v>
      </c>
      <c r="H107" s="9" t="s">
        <v>271</v>
      </c>
      <c r="I107" s="936">
        <v>44954</v>
      </c>
      <c r="J107" s="1117" t="s">
        <v>275</v>
      </c>
      <c r="K107" s="755" t="str">
        <f t="shared" si="1"/>
        <v>I</v>
      </c>
      <c r="L107" s="756" t="str">
        <f t="shared" si="2"/>
        <v>G8</v>
      </c>
      <c r="M107" s="756" t="str">
        <f t="shared" si="3"/>
        <v/>
      </c>
      <c r="N107" s="757" t="str">
        <f t="shared" si="4"/>
        <v/>
      </c>
      <c r="O107" s="8">
        <f t="shared" si="5"/>
        <v>46050</v>
      </c>
      <c r="P107" s="9" t="str">
        <f t="shared" ca="1" si="6"/>
        <v>ATRASADO</v>
      </c>
      <c r="Q107" s="9" t="s">
        <v>341</v>
      </c>
      <c r="S107" s="9" t="str">
        <f t="shared" si="7"/>
        <v/>
      </c>
    </row>
    <row r="108" spans="1:19" x14ac:dyDescent="0.3">
      <c r="A108" s="9">
        <v>105</v>
      </c>
      <c r="B108" s="313" t="s">
        <v>579</v>
      </c>
      <c r="C108" s="10" t="s">
        <v>3513</v>
      </c>
      <c r="D108" s="9" t="s">
        <v>3514</v>
      </c>
      <c r="E108" s="2">
        <v>27351</v>
      </c>
      <c r="F108" s="9">
        <f t="shared" ca="1" si="0"/>
        <v>51</v>
      </c>
      <c r="G108" s="9">
        <v>44257</v>
      </c>
      <c r="H108" s="9" t="s">
        <v>275</v>
      </c>
      <c r="I108" s="936">
        <v>44936</v>
      </c>
      <c r="J108" s="1117" t="s">
        <v>275</v>
      </c>
      <c r="K108" s="755" t="str">
        <f t="shared" si="1"/>
        <v>I</v>
      </c>
      <c r="L108" s="756" t="str">
        <f t="shared" si="2"/>
        <v>G8</v>
      </c>
      <c r="M108" s="756" t="str">
        <f t="shared" si="3"/>
        <v/>
      </c>
      <c r="N108" s="757" t="str">
        <f t="shared" si="4"/>
        <v/>
      </c>
      <c r="O108" s="8">
        <f t="shared" si="5"/>
        <v>46032</v>
      </c>
      <c r="P108" s="9" t="str">
        <f t="shared" ca="1" si="6"/>
        <v>ATRASADO</v>
      </c>
      <c r="Q108" s="9" t="s">
        <v>341</v>
      </c>
      <c r="S108" s="9" t="str">
        <f t="shared" si="7"/>
        <v/>
      </c>
    </row>
    <row r="109" spans="1:19" x14ac:dyDescent="0.3">
      <c r="A109" s="9">
        <v>106</v>
      </c>
      <c r="B109" s="313" t="s">
        <v>579</v>
      </c>
      <c r="C109" s="10" t="s">
        <v>3515</v>
      </c>
      <c r="D109" s="9" t="s">
        <v>3516</v>
      </c>
      <c r="E109" s="2">
        <v>25978</v>
      </c>
      <c r="F109" s="9">
        <f t="shared" ca="1" si="0"/>
        <v>55</v>
      </c>
      <c r="G109" s="9">
        <v>44359</v>
      </c>
      <c r="H109" s="9" t="s">
        <v>8</v>
      </c>
      <c r="I109" s="936">
        <v>44955</v>
      </c>
      <c r="J109" s="1117" t="s">
        <v>8</v>
      </c>
      <c r="K109" s="755" t="str">
        <f t="shared" si="1"/>
        <v>SI</v>
      </c>
      <c r="L109" s="756" t="str">
        <f t="shared" si="2"/>
        <v xml:space="preserve">N </v>
      </c>
      <c r="M109" s="756" t="str">
        <f t="shared" si="3"/>
        <v>RE</v>
      </c>
      <c r="N109" s="757" t="str">
        <f t="shared" si="4"/>
        <v>GI</v>
      </c>
      <c r="O109" s="8">
        <f t="shared" si="5"/>
        <v>46051</v>
      </c>
      <c r="P109" s="9" t="str">
        <f t="shared" ca="1" si="6"/>
        <v>ATRASADO</v>
      </c>
      <c r="Q109" s="9" t="s">
        <v>341</v>
      </c>
      <c r="S109" s="9" t="str">
        <f t="shared" si="7"/>
        <v/>
      </c>
    </row>
    <row r="110" spans="1:19" x14ac:dyDescent="0.3">
      <c r="A110" s="9">
        <v>107</v>
      </c>
      <c r="B110" s="313" t="s">
        <v>579</v>
      </c>
      <c r="C110" s="10" t="s">
        <v>3517</v>
      </c>
      <c r="D110" s="9" t="s">
        <v>3518</v>
      </c>
      <c r="E110" s="2">
        <v>24474</v>
      </c>
      <c r="F110" s="9">
        <f t="shared" ca="1" si="0"/>
        <v>59</v>
      </c>
      <c r="G110" s="9">
        <v>43443</v>
      </c>
      <c r="H110" s="9" t="s">
        <v>8</v>
      </c>
      <c r="I110" s="936">
        <v>44951</v>
      </c>
      <c r="J110" s="1117" t="s">
        <v>275</v>
      </c>
      <c r="K110" s="755" t="str">
        <f t="shared" si="1"/>
        <v>I</v>
      </c>
      <c r="L110" s="756" t="str">
        <f t="shared" si="2"/>
        <v>G8</v>
      </c>
      <c r="M110" s="756" t="str">
        <f t="shared" si="3"/>
        <v/>
      </c>
      <c r="N110" s="757" t="str">
        <f t="shared" si="4"/>
        <v/>
      </c>
      <c r="O110" s="8">
        <f t="shared" si="5"/>
        <v>46047</v>
      </c>
      <c r="P110" s="9" t="str">
        <f t="shared" ca="1" si="6"/>
        <v>ATRASADO</v>
      </c>
      <c r="Q110" s="9" t="s">
        <v>341</v>
      </c>
      <c r="S110" s="9" t="str">
        <f t="shared" si="7"/>
        <v/>
      </c>
    </row>
    <row r="111" spans="1:19" x14ac:dyDescent="0.3">
      <c r="A111" s="9">
        <v>108</v>
      </c>
      <c r="B111" s="313" t="s">
        <v>579</v>
      </c>
      <c r="C111" s="10" t="s">
        <v>3519</v>
      </c>
      <c r="D111" s="9" t="s">
        <v>3520</v>
      </c>
      <c r="E111" s="2">
        <v>35367</v>
      </c>
      <c r="F111" s="9">
        <f t="shared" ca="1" si="0"/>
        <v>29</v>
      </c>
      <c r="G111" s="9">
        <v>43196</v>
      </c>
      <c r="H111" s="9" t="s">
        <v>941</v>
      </c>
      <c r="I111" s="936">
        <v>44948</v>
      </c>
      <c r="J111" s="1117" t="s">
        <v>291</v>
      </c>
      <c r="K111" s="755" t="str">
        <f t="shared" si="1"/>
        <v>I</v>
      </c>
      <c r="L111" s="756" t="str">
        <f t="shared" si="2"/>
        <v>G8</v>
      </c>
      <c r="M111" s="756" t="str">
        <f t="shared" si="3"/>
        <v>J5</v>
      </c>
      <c r="N111" s="757" t="str">
        <f t="shared" si="4"/>
        <v/>
      </c>
      <c r="O111" s="8">
        <f t="shared" si="5"/>
        <v>46044</v>
      </c>
      <c r="P111" s="9" t="str">
        <f t="shared" ca="1" si="6"/>
        <v>ATRASADO</v>
      </c>
      <c r="Q111" s="9" t="s">
        <v>341</v>
      </c>
      <c r="S111" s="9" t="str">
        <f t="shared" si="7"/>
        <v>CANDIDA</v>
      </c>
    </row>
    <row r="112" spans="1:19" x14ac:dyDescent="0.3">
      <c r="A112" s="9">
        <v>109</v>
      </c>
      <c r="B112" s="943" t="s">
        <v>111</v>
      </c>
      <c r="C112" s="938" t="s">
        <v>3521</v>
      </c>
      <c r="D112" s="940" t="s">
        <v>3522</v>
      </c>
      <c r="E112" s="941">
        <v>25059</v>
      </c>
      <c r="F112" s="9">
        <f t="shared" ca="1" si="0"/>
        <v>58</v>
      </c>
      <c r="G112" s="942">
        <v>43349</v>
      </c>
      <c r="H112" s="940" t="s">
        <v>271</v>
      </c>
      <c r="I112" s="941">
        <v>44954</v>
      </c>
      <c r="J112" s="583" t="s">
        <v>271</v>
      </c>
      <c r="K112" s="755" t="str">
        <f t="shared" si="1"/>
        <v>I</v>
      </c>
      <c r="L112" s="756" t="str">
        <f t="shared" si="2"/>
        <v>G8</v>
      </c>
      <c r="M112" s="756" t="str">
        <f t="shared" si="3"/>
        <v>J1</v>
      </c>
      <c r="N112" s="757" t="str">
        <f t="shared" si="4"/>
        <v/>
      </c>
      <c r="O112" s="8">
        <f t="shared" si="5"/>
        <v>46050</v>
      </c>
      <c r="P112" s="9" t="str">
        <f t="shared" ca="1" si="6"/>
        <v>ATRASADO</v>
      </c>
      <c r="Q112" s="940" t="s">
        <v>1556</v>
      </c>
      <c r="R112" s="937"/>
      <c r="S112" s="9" t="str">
        <f t="shared" si="7"/>
        <v/>
      </c>
    </row>
    <row r="113" spans="1:19" x14ac:dyDescent="0.3">
      <c r="A113" s="9">
        <v>110</v>
      </c>
      <c r="B113" s="943" t="s">
        <v>111</v>
      </c>
      <c r="C113" s="938" t="s">
        <v>3523</v>
      </c>
      <c r="D113" s="940" t="s">
        <v>3524</v>
      </c>
      <c r="E113" s="941">
        <v>33770</v>
      </c>
      <c r="F113" s="9">
        <f t="shared" ca="1" si="0"/>
        <v>34</v>
      </c>
      <c r="G113" s="942">
        <v>44451</v>
      </c>
      <c r="H113" s="940" t="s">
        <v>271</v>
      </c>
      <c r="I113" s="941">
        <v>44934</v>
      </c>
      <c r="J113" s="583" t="s">
        <v>275</v>
      </c>
      <c r="K113" s="755" t="str">
        <f t="shared" si="1"/>
        <v>I</v>
      </c>
      <c r="L113" s="756" t="str">
        <f t="shared" si="2"/>
        <v>G8</v>
      </c>
      <c r="M113" s="756" t="str">
        <f t="shared" si="3"/>
        <v/>
      </c>
      <c r="N113" s="757" t="str">
        <f t="shared" si="4"/>
        <v/>
      </c>
      <c r="O113" s="8">
        <f t="shared" si="5"/>
        <v>46030</v>
      </c>
      <c r="P113" s="9" t="str">
        <f t="shared" ca="1" si="6"/>
        <v>ATRASADO</v>
      </c>
      <c r="Q113" s="940" t="s">
        <v>1556</v>
      </c>
      <c r="R113" s="937"/>
      <c r="S113" s="9" t="str">
        <f t="shared" si="7"/>
        <v/>
      </c>
    </row>
    <row r="114" spans="1:19" x14ac:dyDescent="0.3">
      <c r="A114" s="9">
        <v>111</v>
      </c>
      <c r="B114" s="943" t="s">
        <v>111</v>
      </c>
      <c r="C114" s="938" t="s">
        <v>3525</v>
      </c>
      <c r="D114" s="940" t="s">
        <v>3526</v>
      </c>
      <c r="E114" s="941">
        <v>21665</v>
      </c>
      <c r="F114" s="9">
        <f t="shared" ca="1" si="0"/>
        <v>67</v>
      </c>
      <c r="G114" s="942">
        <v>43254</v>
      </c>
      <c r="H114" s="940" t="s">
        <v>340</v>
      </c>
      <c r="I114" s="941">
        <v>44930</v>
      </c>
      <c r="J114" s="583" t="s">
        <v>275</v>
      </c>
      <c r="K114" s="755" t="str">
        <f t="shared" si="1"/>
        <v>I</v>
      </c>
      <c r="L114" s="756" t="str">
        <f t="shared" si="2"/>
        <v>G8</v>
      </c>
      <c r="M114" s="756" t="str">
        <f t="shared" si="3"/>
        <v/>
      </c>
      <c r="N114" s="757" t="str">
        <f t="shared" si="4"/>
        <v/>
      </c>
      <c r="O114" s="8">
        <f t="shared" si="5"/>
        <v>46026</v>
      </c>
      <c r="P114" s="9" t="str">
        <f t="shared" ca="1" si="6"/>
        <v>ATRASADO</v>
      </c>
      <c r="Q114" s="940" t="s">
        <v>1556</v>
      </c>
      <c r="R114" s="937"/>
      <c r="S114" s="9" t="str">
        <f t="shared" si="7"/>
        <v/>
      </c>
    </row>
    <row r="115" spans="1:19" x14ac:dyDescent="0.3">
      <c r="A115" s="9">
        <v>112</v>
      </c>
      <c r="B115" s="943" t="s">
        <v>111</v>
      </c>
      <c r="C115" s="938" t="s">
        <v>3527</v>
      </c>
      <c r="D115" s="940" t="s">
        <v>3528</v>
      </c>
      <c r="E115" s="941">
        <v>29506</v>
      </c>
      <c r="F115" s="9">
        <f t="shared" ca="1" si="0"/>
        <v>45</v>
      </c>
      <c r="G115" s="942">
        <v>44018</v>
      </c>
      <c r="H115" s="940" t="s">
        <v>8</v>
      </c>
      <c r="I115" s="941">
        <v>44929</v>
      </c>
      <c r="J115" s="1116" t="s">
        <v>275</v>
      </c>
      <c r="K115" s="755" t="str">
        <f t="shared" si="1"/>
        <v>I</v>
      </c>
      <c r="L115" s="756" t="str">
        <f t="shared" si="2"/>
        <v>G8</v>
      </c>
      <c r="M115" s="756" t="str">
        <f t="shared" si="3"/>
        <v/>
      </c>
      <c r="N115" s="757" t="str">
        <f t="shared" si="4"/>
        <v/>
      </c>
      <c r="O115" s="8">
        <f t="shared" si="5"/>
        <v>46025</v>
      </c>
      <c r="P115" s="9" t="str">
        <f t="shared" ca="1" si="6"/>
        <v>ATRASADO</v>
      </c>
      <c r="Q115" s="940" t="s">
        <v>1556</v>
      </c>
      <c r="R115" s="939"/>
      <c r="S115" s="9" t="str">
        <f t="shared" si="7"/>
        <v/>
      </c>
    </row>
    <row r="116" spans="1:19" x14ac:dyDescent="0.3">
      <c r="A116" s="9">
        <v>113</v>
      </c>
      <c r="B116" s="943" t="s">
        <v>111</v>
      </c>
      <c r="C116" s="938" t="s">
        <v>3529</v>
      </c>
      <c r="D116" s="940" t="s">
        <v>3530</v>
      </c>
      <c r="E116" s="941">
        <v>34937</v>
      </c>
      <c r="F116" s="9">
        <f t="shared" ca="1" si="0"/>
        <v>31</v>
      </c>
      <c r="G116" s="942">
        <v>44060</v>
      </c>
      <c r="H116" s="940" t="s">
        <v>275</v>
      </c>
      <c r="I116" s="941">
        <v>44945</v>
      </c>
      <c r="J116" s="583" t="s">
        <v>327</v>
      </c>
      <c r="K116" s="755" t="str">
        <f t="shared" si="1"/>
        <v>I</v>
      </c>
      <c r="L116" s="756" t="str">
        <f t="shared" si="2"/>
        <v>G7</v>
      </c>
      <c r="M116" s="756" t="str">
        <f t="shared" si="3"/>
        <v>S</v>
      </c>
      <c r="N116" s="757" t="str">
        <f t="shared" si="4"/>
        <v/>
      </c>
      <c r="O116" s="8">
        <f t="shared" si="5"/>
        <v>45310</v>
      </c>
      <c r="P116" s="9" t="str">
        <f t="shared" ca="1" si="6"/>
        <v>ATRASADO</v>
      </c>
      <c r="Q116" s="940" t="s">
        <v>1556</v>
      </c>
      <c r="R116" s="939"/>
      <c r="S116" s="9" t="str">
        <f t="shared" si="7"/>
        <v/>
      </c>
    </row>
    <row r="117" spans="1:19" x14ac:dyDescent="0.3">
      <c r="A117" s="9">
        <v>114</v>
      </c>
      <c r="B117" s="943" t="s">
        <v>111</v>
      </c>
      <c r="C117" s="938" t="s">
        <v>3531</v>
      </c>
      <c r="D117" s="940" t="s">
        <v>3532</v>
      </c>
      <c r="E117" s="941">
        <v>33824</v>
      </c>
      <c r="F117" s="9">
        <f t="shared" ca="1" si="0"/>
        <v>34</v>
      </c>
      <c r="G117" s="942">
        <v>43511</v>
      </c>
      <c r="H117" s="940" t="s">
        <v>271</v>
      </c>
      <c r="I117" s="941">
        <v>44931</v>
      </c>
      <c r="J117" s="583" t="s">
        <v>8</v>
      </c>
      <c r="K117" s="755" t="str">
        <f t="shared" si="1"/>
        <v>SI</v>
      </c>
      <c r="L117" s="756" t="str">
        <f t="shared" si="2"/>
        <v xml:space="preserve">N </v>
      </c>
      <c r="M117" s="756" t="str">
        <f t="shared" si="3"/>
        <v>RE</v>
      </c>
      <c r="N117" s="757" t="str">
        <f t="shared" si="4"/>
        <v>GI</v>
      </c>
      <c r="O117" s="8">
        <f t="shared" si="5"/>
        <v>46027</v>
      </c>
      <c r="P117" s="9" t="str">
        <f t="shared" ca="1" si="6"/>
        <v>ATRASADO</v>
      </c>
      <c r="Q117" s="940" t="s">
        <v>1556</v>
      </c>
      <c r="R117" s="937"/>
      <c r="S117" s="9" t="str">
        <f t="shared" si="7"/>
        <v/>
      </c>
    </row>
    <row r="118" spans="1:19" x14ac:dyDescent="0.3">
      <c r="A118" s="9">
        <v>115</v>
      </c>
      <c r="B118" s="943" t="s">
        <v>111</v>
      </c>
      <c r="C118" s="938" t="s">
        <v>3533</v>
      </c>
      <c r="D118" s="940" t="s">
        <v>3534</v>
      </c>
      <c r="E118" s="941">
        <v>28752</v>
      </c>
      <c r="F118" s="9">
        <f t="shared" ca="1" si="0"/>
        <v>48</v>
      </c>
      <c r="G118" s="940" t="s">
        <v>8</v>
      </c>
      <c r="H118" s="940" t="s">
        <v>275</v>
      </c>
      <c r="I118" s="941">
        <v>44934</v>
      </c>
      <c r="J118" s="583" t="s">
        <v>271</v>
      </c>
      <c r="K118" s="755" t="str">
        <f t="shared" si="1"/>
        <v>I</v>
      </c>
      <c r="L118" s="756" t="str">
        <f t="shared" si="2"/>
        <v>G8</v>
      </c>
      <c r="M118" s="756" t="str">
        <f t="shared" si="3"/>
        <v>J1</v>
      </c>
      <c r="N118" s="757" t="str">
        <f t="shared" si="4"/>
        <v/>
      </c>
      <c r="O118" s="8">
        <f t="shared" si="5"/>
        <v>46030</v>
      </c>
      <c r="P118" s="9" t="str">
        <f t="shared" ca="1" si="6"/>
        <v>ATRASADO</v>
      </c>
      <c r="Q118" s="940" t="s">
        <v>1556</v>
      </c>
      <c r="R118" s="937"/>
      <c r="S118" s="9" t="str">
        <f t="shared" si="7"/>
        <v/>
      </c>
    </row>
    <row r="119" spans="1:19" x14ac:dyDescent="0.3">
      <c r="A119" s="9">
        <v>116</v>
      </c>
      <c r="B119" s="943" t="s">
        <v>111</v>
      </c>
      <c r="C119" s="938" t="s">
        <v>3535</v>
      </c>
      <c r="D119" s="940" t="s">
        <v>3536</v>
      </c>
      <c r="E119" s="941">
        <v>29146</v>
      </c>
      <c r="F119" s="9">
        <f t="shared" ca="1" si="0"/>
        <v>46</v>
      </c>
      <c r="G119" s="942">
        <v>44459</v>
      </c>
      <c r="H119" s="940" t="s">
        <v>528</v>
      </c>
      <c r="I119" s="941">
        <v>44950</v>
      </c>
      <c r="J119" s="583" t="s">
        <v>305</v>
      </c>
      <c r="K119" s="755" t="str">
        <f t="shared" si="1"/>
        <v>I</v>
      </c>
      <c r="L119" s="756" t="str">
        <f t="shared" si="2"/>
        <v>J1</v>
      </c>
      <c r="M119" s="756" t="str">
        <f t="shared" si="3"/>
        <v/>
      </c>
      <c r="N119" s="757" t="str">
        <f t="shared" si="4"/>
        <v/>
      </c>
      <c r="O119" s="8">
        <f t="shared" si="5"/>
        <v>46046</v>
      </c>
      <c r="P119" s="9" t="str">
        <f t="shared" ca="1" si="6"/>
        <v>ATRASADO</v>
      </c>
      <c r="Q119" s="940" t="s">
        <v>1556</v>
      </c>
      <c r="R119" s="939" t="s">
        <v>1842</v>
      </c>
      <c r="S119" s="9" t="str">
        <f t="shared" si="7"/>
        <v/>
      </c>
    </row>
    <row r="120" spans="1:19" x14ac:dyDescent="0.3">
      <c r="A120" s="9">
        <v>117</v>
      </c>
      <c r="B120" s="943" t="s">
        <v>111</v>
      </c>
      <c r="C120" s="938" t="s">
        <v>3537</v>
      </c>
      <c r="D120" s="940" t="s">
        <v>3538</v>
      </c>
      <c r="E120" s="941">
        <v>36550</v>
      </c>
      <c r="F120" s="9">
        <f t="shared" ca="1" si="0"/>
        <v>26</v>
      </c>
      <c r="G120" s="942">
        <v>43351</v>
      </c>
      <c r="H120" s="940" t="s">
        <v>8</v>
      </c>
      <c r="I120" s="941">
        <v>44947</v>
      </c>
      <c r="J120" s="583" t="s">
        <v>8</v>
      </c>
      <c r="K120" s="755" t="str">
        <f t="shared" si="1"/>
        <v>SI</v>
      </c>
      <c r="L120" s="756" t="str">
        <f t="shared" si="2"/>
        <v xml:space="preserve">N </v>
      </c>
      <c r="M120" s="756" t="str">
        <f t="shared" si="3"/>
        <v>RE</v>
      </c>
      <c r="N120" s="757" t="str">
        <f t="shared" si="4"/>
        <v>GI</v>
      </c>
      <c r="O120" s="8">
        <f t="shared" si="5"/>
        <v>46043</v>
      </c>
      <c r="P120" s="9" t="str">
        <f t="shared" ca="1" si="6"/>
        <v>ATRASADO</v>
      </c>
      <c r="Q120" s="940" t="s">
        <v>1556</v>
      </c>
      <c r="R120" s="937"/>
      <c r="S120" s="9" t="str">
        <f t="shared" si="7"/>
        <v/>
      </c>
    </row>
    <row r="121" spans="1:19" x14ac:dyDescent="0.3">
      <c r="A121" s="9">
        <v>118</v>
      </c>
      <c r="B121" s="950" t="s">
        <v>346</v>
      </c>
      <c r="C121" s="945" t="s">
        <v>3539</v>
      </c>
      <c r="D121" s="947" t="s">
        <v>3540</v>
      </c>
      <c r="E121" s="948">
        <v>34256</v>
      </c>
      <c r="F121" s="9">
        <f t="shared" ca="1" si="0"/>
        <v>32</v>
      </c>
      <c r="G121" s="949">
        <v>43502</v>
      </c>
      <c r="H121" s="947" t="s">
        <v>275</v>
      </c>
      <c r="I121" s="948">
        <v>44942</v>
      </c>
      <c r="J121" s="583" t="s">
        <v>275</v>
      </c>
      <c r="K121" s="755" t="str">
        <f t="shared" si="1"/>
        <v>I</v>
      </c>
      <c r="L121" s="756" t="str">
        <f t="shared" si="2"/>
        <v>G8</v>
      </c>
      <c r="M121" s="756" t="str">
        <f t="shared" si="3"/>
        <v/>
      </c>
      <c r="N121" s="757" t="str">
        <f t="shared" si="4"/>
        <v/>
      </c>
      <c r="O121" s="8">
        <f t="shared" si="5"/>
        <v>46038</v>
      </c>
      <c r="P121" s="9" t="str">
        <f t="shared" ca="1" si="6"/>
        <v>ATRASADO</v>
      </c>
      <c r="Q121" s="947" t="s">
        <v>1556</v>
      </c>
      <c r="R121" s="944"/>
      <c r="S121" s="9" t="str">
        <f t="shared" si="7"/>
        <v/>
      </c>
    </row>
    <row r="122" spans="1:19" x14ac:dyDescent="0.3">
      <c r="A122" s="9">
        <v>119</v>
      </c>
      <c r="B122" s="950" t="s">
        <v>346</v>
      </c>
      <c r="C122" s="945" t="s">
        <v>3541</v>
      </c>
      <c r="D122" s="947" t="s">
        <v>3542</v>
      </c>
      <c r="E122" s="948">
        <v>26704</v>
      </c>
      <c r="F122" s="9">
        <f t="shared" ca="1" si="0"/>
        <v>53</v>
      </c>
      <c r="G122" s="949">
        <v>43883</v>
      </c>
      <c r="H122" s="947" t="s">
        <v>275</v>
      </c>
      <c r="I122" s="948">
        <v>44947</v>
      </c>
      <c r="J122" s="583" t="s">
        <v>275</v>
      </c>
      <c r="K122" s="755" t="str">
        <f t="shared" si="1"/>
        <v>I</v>
      </c>
      <c r="L122" s="756" t="str">
        <f t="shared" si="2"/>
        <v>G8</v>
      </c>
      <c r="M122" s="756" t="str">
        <f t="shared" si="3"/>
        <v/>
      </c>
      <c r="N122" s="757" t="str">
        <f t="shared" si="4"/>
        <v/>
      </c>
      <c r="O122" s="8">
        <f t="shared" si="5"/>
        <v>46043</v>
      </c>
      <c r="P122" s="9" t="str">
        <f t="shared" ca="1" si="6"/>
        <v>ATRASADO</v>
      </c>
      <c r="Q122" s="947" t="s">
        <v>1556</v>
      </c>
      <c r="R122" s="944"/>
      <c r="S122" s="9" t="str">
        <f t="shared" si="7"/>
        <v/>
      </c>
    </row>
    <row r="123" spans="1:19" x14ac:dyDescent="0.3">
      <c r="A123" s="9">
        <v>120</v>
      </c>
      <c r="B123" s="950" t="s">
        <v>346</v>
      </c>
      <c r="C123" s="945" t="s">
        <v>3544</v>
      </c>
      <c r="D123" s="947" t="s">
        <v>3545</v>
      </c>
      <c r="E123" s="948">
        <v>25028</v>
      </c>
      <c r="F123" s="9">
        <f t="shared" ca="1" si="0"/>
        <v>58</v>
      </c>
      <c r="G123" s="947" t="s">
        <v>8</v>
      </c>
      <c r="H123" s="947" t="s">
        <v>271</v>
      </c>
      <c r="I123" s="948">
        <v>44930</v>
      </c>
      <c r="J123" s="583" t="s">
        <v>275</v>
      </c>
      <c r="K123" s="755" t="str">
        <f t="shared" si="1"/>
        <v>I</v>
      </c>
      <c r="L123" s="756" t="str">
        <f t="shared" si="2"/>
        <v>G8</v>
      </c>
      <c r="M123" s="756" t="str">
        <f t="shared" si="3"/>
        <v/>
      </c>
      <c r="N123" s="757" t="str">
        <f t="shared" si="4"/>
        <v/>
      </c>
      <c r="O123" s="8">
        <f t="shared" si="5"/>
        <v>46026</v>
      </c>
      <c r="P123" s="9" t="str">
        <f t="shared" ca="1" si="6"/>
        <v>ATRASADO</v>
      </c>
      <c r="Q123" s="947" t="s">
        <v>1556</v>
      </c>
      <c r="R123" s="946"/>
      <c r="S123" s="9" t="str">
        <f t="shared" si="7"/>
        <v/>
      </c>
    </row>
    <row r="124" spans="1:19" x14ac:dyDescent="0.3">
      <c r="A124" s="9">
        <v>121</v>
      </c>
      <c r="B124" s="950" t="s">
        <v>346</v>
      </c>
      <c r="C124" s="945" t="s">
        <v>3546</v>
      </c>
      <c r="D124" s="947" t="s">
        <v>3547</v>
      </c>
      <c r="E124" s="948">
        <v>30231</v>
      </c>
      <c r="F124" s="9">
        <f t="shared" ca="1" si="0"/>
        <v>43</v>
      </c>
      <c r="G124" s="949">
        <v>43984</v>
      </c>
      <c r="H124" s="947" t="s">
        <v>8</v>
      </c>
      <c r="I124" s="948">
        <v>44942</v>
      </c>
      <c r="J124" s="583" t="s">
        <v>271</v>
      </c>
      <c r="K124" s="755" t="str">
        <f t="shared" si="1"/>
        <v>I</v>
      </c>
      <c r="L124" s="756" t="str">
        <f t="shared" si="2"/>
        <v>G8</v>
      </c>
      <c r="M124" s="756" t="str">
        <f t="shared" si="3"/>
        <v>J1</v>
      </c>
      <c r="N124" s="757" t="str">
        <f t="shared" si="4"/>
        <v/>
      </c>
      <c r="O124" s="8">
        <f t="shared" si="5"/>
        <v>46038</v>
      </c>
      <c r="P124" s="9" t="str">
        <f t="shared" ca="1" si="6"/>
        <v>ATRASADO</v>
      </c>
      <c r="Q124" s="947" t="s">
        <v>1556</v>
      </c>
      <c r="R124" s="944"/>
      <c r="S124" s="9" t="str">
        <f t="shared" si="7"/>
        <v/>
      </c>
    </row>
    <row r="125" spans="1:19" x14ac:dyDescent="0.3">
      <c r="A125" s="9">
        <v>122</v>
      </c>
      <c r="B125" s="950" t="s">
        <v>346</v>
      </c>
      <c r="C125" s="945" t="s">
        <v>3548</v>
      </c>
      <c r="D125" s="947" t="s">
        <v>3549</v>
      </c>
      <c r="E125" s="948">
        <v>22205</v>
      </c>
      <c r="F125" s="9">
        <f t="shared" ca="1" si="0"/>
        <v>65</v>
      </c>
      <c r="G125" s="947" t="s">
        <v>8</v>
      </c>
      <c r="H125" s="947" t="s">
        <v>275</v>
      </c>
      <c r="I125" s="948">
        <v>44954</v>
      </c>
      <c r="J125" s="583" t="s">
        <v>275</v>
      </c>
      <c r="K125" s="755" t="str">
        <f t="shared" si="1"/>
        <v>I</v>
      </c>
      <c r="L125" s="756" t="str">
        <f t="shared" si="2"/>
        <v>G8</v>
      </c>
      <c r="M125" s="756" t="str">
        <f t="shared" si="3"/>
        <v/>
      </c>
      <c r="N125" s="757" t="str">
        <f t="shared" si="4"/>
        <v/>
      </c>
      <c r="O125" s="8">
        <f t="shared" si="5"/>
        <v>46050</v>
      </c>
      <c r="P125" s="9" t="str">
        <f t="shared" ca="1" si="6"/>
        <v>ATRASADO</v>
      </c>
      <c r="Q125" s="947" t="s">
        <v>1556</v>
      </c>
      <c r="R125" s="944"/>
      <c r="S125" s="9" t="str">
        <f t="shared" si="7"/>
        <v/>
      </c>
    </row>
    <row r="126" spans="1:19" x14ac:dyDescent="0.3">
      <c r="A126" s="9">
        <v>123</v>
      </c>
      <c r="B126" s="950" t="s">
        <v>346</v>
      </c>
      <c r="C126" s="945" t="s">
        <v>3550</v>
      </c>
      <c r="D126" s="947" t="s">
        <v>3551</v>
      </c>
      <c r="E126" s="948">
        <v>22862</v>
      </c>
      <c r="F126" s="9">
        <f t="shared" ca="1" si="0"/>
        <v>64</v>
      </c>
      <c r="G126" s="949">
        <v>44148</v>
      </c>
      <c r="H126" s="947" t="s">
        <v>271</v>
      </c>
      <c r="I126" s="948">
        <v>44955</v>
      </c>
      <c r="J126" s="583" t="s">
        <v>275</v>
      </c>
      <c r="K126" s="755" t="str">
        <f t="shared" si="1"/>
        <v>I</v>
      </c>
      <c r="L126" s="756" t="str">
        <f t="shared" si="2"/>
        <v>G8</v>
      </c>
      <c r="M126" s="756" t="str">
        <f t="shared" si="3"/>
        <v/>
      </c>
      <c r="N126" s="757" t="str">
        <f t="shared" si="4"/>
        <v/>
      </c>
      <c r="O126" s="8">
        <f t="shared" si="5"/>
        <v>46051</v>
      </c>
      <c r="P126" s="9" t="str">
        <f t="shared" ca="1" si="6"/>
        <v>ATRASADO</v>
      </c>
      <c r="Q126" s="947" t="s">
        <v>1556</v>
      </c>
      <c r="R126" s="944"/>
      <c r="S126" s="9" t="str">
        <f t="shared" si="7"/>
        <v/>
      </c>
    </row>
    <row r="127" spans="1:19" x14ac:dyDescent="0.3">
      <c r="A127" s="9">
        <v>124</v>
      </c>
      <c r="B127" s="950" t="s">
        <v>346</v>
      </c>
      <c r="C127" s="945" t="s">
        <v>3552</v>
      </c>
      <c r="D127" s="947" t="s">
        <v>3553</v>
      </c>
      <c r="E127" s="948">
        <v>34591</v>
      </c>
      <c r="F127" s="9">
        <f t="shared" ca="1" si="0"/>
        <v>32</v>
      </c>
      <c r="G127" s="949">
        <v>44266</v>
      </c>
      <c r="H127" s="947" t="s">
        <v>8</v>
      </c>
      <c r="I127" s="948">
        <v>44952</v>
      </c>
      <c r="J127" s="583" t="s">
        <v>275</v>
      </c>
      <c r="K127" s="755" t="str">
        <f t="shared" si="1"/>
        <v>I</v>
      </c>
      <c r="L127" s="756" t="str">
        <f t="shared" si="2"/>
        <v>G8</v>
      </c>
      <c r="M127" s="756" t="str">
        <f t="shared" si="3"/>
        <v/>
      </c>
      <c r="N127" s="757" t="str">
        <f t="shared" si="4"/>
        <v/>
      </c>
      <c r="O127" s="8">
        <f t="shared" si="5"/>
        <v>46048</v>
      </c>
      <c r="P127" s="9" t="str">
        <f t="shared" ca="1" si="6"/>
        <v>ATRASADO</v>
      </c>
      <c r="Q127" s="947" t="s">
        <v>1556</v>
      </c>
      <c r="R127" s="946"/>
      <c r="S127" s="9" t="str">
        <f t="shared" si="7"/>
        <v/>
      </c>
    </row>
    <row r="128" spans="1:19" x14ac:dyDescent="0.3">
      <c r="A128" s="9">
        <v>125</v>
      </c>
      <c r="B128" s="950" t="s">
        <v>346</v>
      </c>
      <c r="C128" s="945" t="s">
        <v>3554</v>
      </c>
      <c r="D128" s="947" t="s">
        <v>3555</v>
      </c>
      <c r="E128" s="948">
        <v>24235</v>
      </c>
      <c r="F128" s="9">
        <f t="shared" ca="1" si="0"/>
        <v>60</v>
      </c>
      <c r="G128" s="947" t="s">
        <v>8</v>
      </c>
      <c r="H128" s="947" t="s">
        <v>8</v>
      </c>
      <c r="I128" s="948">
        <v>44942</v>
      </c>
      <c r="J128" s="583" t="s">
        <v>275</v>
      </c>
      <c r="K128" s="755" t="str">
        <f t="shared" si="1"/>
        <v>I</v>
      </c>
      <c r="L128" s="756" t="str">
        <f t="shared" si="2"/>
        <v>G8</v>
      </c>
      <c r="M128" s="756" t="str">
        <f t="shared" si="3"/>
        <v/>
      </c>
      <c r="N128" s="757" t="str">
        <f t="shared" si="4"/>
        <v/>
      </c>
      <c r="O128" s="8">
        <f t="shared" si="5"/>
        <v>46038</v>
      </c>
      <c r="P128" s="9" t="str">
        <f t="shared" ca="1" si="6"/>
        <v>ATRASADO</v>
      </c>
      <c r="Q128" s="947" t="s">
        <v>1556</v>
      </c>
      <c r="R128" s="944"/>
      <c r="S128" s="9" t="str">
        <f t="shared" si="7"/>
        <v/>
      </c>
    </row>
    <row r="129" spans="1:19" x14ac:dyDescent="0.3">
      <c r="A129" s="9">
        <v>126</v>
      </c>
      <c r="B129" s="957" t="s">
        <v>45</v>
      </c>
      <c r="C129" s="952" t="s">
        <v>3556</v>
      </c>
      <c r="D129" s="954" t="s">
        <v>3557</v>
      </c>
      <c r="E129" s="955">
        <v>35513</v>
      </c>
      <c r="F129" s="9">
        <f t="shared" ca="1" si="0"/>
        <v>29</v>
      </c>
      <c r="G129" s="956">
        <v>43899</v>
      </c>
      <c r="H129" s="954" t="s">
        <v>275</v>
      </c>
      <c r="I129" s="955">
        <v>44969</v>
      </c>
      <c r="J129" s="583" t="s">
        <v>275</v>
      </c>
      <c r="K129" s="755" t="str">
        <f t="shared" si="1"/>
        <v>I</v>
      </c>
      <c r="L129" s="756" t="str">
        <f t="shared" si="2"/>
        <v>G8</v>
      </c>
      <c r="M129" s="756" t="str">
        <f t="shared" si="3"/>
        <v/>
      </c>
      <c r="N129" s="757" t="str">
        <f t="shared" si="4"/>
        <v/>
      </c>
      <c r="O129" s="8">
        <f t="shared" si="5"/>
        <v>46065</v>
      </c>
      <c r="P129" s="9" t="str">
        <f t="shared" ca="1" si="6"/>
        <v>ATRASADO</v>
      </c>
      <c r="Q129" s="954" t="s">
        <v>1556</v>
      </c>
      <c r="R129" s="951"/>
      <c r="S129" s="9" t="str">
        <f t="shared" si="7"/>
        <v/>
      </c>
    </row>
    <row r="130" spans="1:19" x14ac:dyDescent="0.3">
      <c r="A130" s="9">
        <v>127</v>
      </c>
      <c r="B130" s="957" t="s">
        <v>45</v>
      </c>
      <c r="C130" s="952" t="s">
        <v>3558</v>
      </c>
      <c r="D130" s="954" t="s">
        <v>3559</v>
      </c>
      <c r="E130" s="955">
        <v>30206</v>
      </c>
      <c r="F130" s="9">
        <f t="shared" ca="1" si="0"/>
        <v>44</v>
      </c>
      <c r="G130" s="956">
        <v>43751</v>
      </c>
      <c r="H130" s="954" t="s">
        <v>271</v>
      </c>
      <c r="I130" s="955">
        <v>44975</v>
      </c>
      <c r="J130" s="583" t="s">
        <v>327</v>
      </c>
      <c r="K130" s="755" t="str">
        <f t="shared" si="1"/>
        <v>I</v>
      </c>
      <c r="L130" s="756" t="str">
        <f t="shared" si="2"/>
        <v>G7</v>
      </c>
      <c r="M130" s="756" t="str">
        <f t="shared" si="3"/>
        <v>S</v>
      </c>
      <c r="N130" s="757" t="str">
        <f t="shared" si="4"/>
        <v/>
      </c>
      <c r="O130" s="8">
        <f t="shared" si="5"/>
        <v>45340</v>
      </c>
      <c r="P130" s="9" t="str">
        <f t="shared" ca="1" si="6"/>
        <v>ATRASADO</v>
      </c>
      <c r="Q130" s="954" t="s">
        <v>1556</v>
      </c>
      <c r="R130" s="953"/>
      <c r="S130" s="9" t="str">
        <f t="shared" si="7"/>
        <v/>
      </c>
    </row>
    <row r="131" spans="1:19" x14ac:dyDescent="0.3">
      <c r="A131" s="9">
        <v>128</v>
      </c>
      <c r="B131" s="957" t="s">
        <v>45</v>
      </c>
      <c r="C131" s="952" t="s">
        <v>3560</v>
      </c>
      <c r="D131" s="954" t="s">
        <v>3561</v>
      </c>
      <c r="E131" s="955">
        <v>28774</v>
      </c>
      <c r="F131" s="9">
        <f t="shared" ca="1" si="0"/>
        <v>47</v>
      </c>
      <c r="G131" s="956">
        <v>44010</v>
      </c>
      <c r="H131" s="954" t="s">
        <v>320</v>
      </c>
      <c r="I131" s="955">
        <v>44969</v>
      </c>
      <c r="J131" s="583" t="s">
        <v>275</v>
      </c>
      <c r="K131" s="755" t="str">
        <f t="shared" si="1"/>
        <v>I</v>
      </c>
      <c r="L131" s="756" t="str">
        <f t="shared" si="2"/>
        <v>G8</v>
      </c>
      <c r="M131" s="756" t="str">
        <f t="shared" si="3"/>
        <v/>
      </c>
      <c r="N131" s="757" t="str">
        <f t="shared" si="4"/>
        <v/>
      </c>
      <c r="O131" s="8">
        <f t="shared" si="5"/>
        <v>46065</v>
      </c>
      <c r="P131" s="9" t="str">
        <f t="shared" ca="1" si="6"/>
        <v>ATRASADO</v>
      </c>
      <c r="Q131" s="954" t="s">
        <v>1556</v>
      </c>
      <c r="R131" s="951"/>
      <c r="S131" s="9" t="str">
        <f t="shared" si="7"/>
        <v/>
      </c>
    </row>
    <row r="132" spans="1:19" x14ac:dyDescent="0.3">
      <c r="A132" s="9">
        <v>129</v>
      </c>
      <c r="B132" s="957" t="s">
        <v>45</v>
      </c>
      <c r="C132" s="952" t="s">
        <v>3562</v>
      </c>
      <c r="D132" s="954" t="s">
        <v>3563</v>
      </c>
      <c r="E132" s="955">
        <v>33230</v>
      </c>
      <c r="F132" s="9">
        <f t="shared" ca="1" si="0"/>
        <v>35</v>
      </c>
      <c r="G132" s="954" t="s">
        <v>8</v>
      </c>
      <c r="H132" s="954" t="s">
        <v>275</v>
      </c>
      <c r="I132" s="955">
        <v>44974</v>
      </c>
      <c r="J132" s="583" t="s">
        <v>271</v>
      </c>
      <c r="K132" s="755" t="str">
        <f t="shared" si="1"/>
        <v>I</v>
      </c>
      <c r="L132" s="756" t="str">
        <f t="shared" si="2"/>
        <v>G8</v>
      </c>
      <c r="M132" s="756" t="str">
        <f t="shared" si="3"/>
        <v>J1</v>
      </c>
      <c r="N132" s="757" t="str">
        <f t="shared" si="4"/>
        <v/>
      </c>
      <c r="O132" s="8">
        <f t="shared" si="5"/>
        <v>46070</v>
      </c>
      <c r="P132" s="9" t="str">
        <f t="shared" ca="1" si="6"/>
        <v>ATRASADO</v>
      </c>
      <c r="Q132" s="954" t="s">
        <v>1556</v>
      </c>
      <c r="R132" s="951"/>
      <c r="S132" s="9" t="str">
        <f t="shared" si="7"/>
        <v/>
      </c>
    </row>
    <row r="133" spans="1:19" x14ac:dyDescent="0.3">
      <c r="A133" s="9">
        <v>130</v>
      </c>
      <c r="B133" s="957" t="s">
        <v>45</v>
      </c>
      <c r="C133" s="952" t="s">
        <v>3564</v>
      </c>
      <c r="D133" s="954" t="s">
        <v>3565</v>
      </c>
      <c r="E133" s="955">
        <v>30179</v>
      </c>
      <c r="F133" s="9">
        <f t="shared" ca="1" si="0"/>
        <v>44</v>
      </c>
      <c r="G133" s="954" t="s">
        <v>8</v>
      </c>
      <c r="H133" s="954" t="s">
        <v>271</v>
      </c>
      <c r="I133" s="955">
        <v>44976</v>
      </c>
      <c r="J133" s="583" t="s">
        <v>324</v>
      </c>
      <c r="K133" s="755" t="str">
        <f t="shared" si="1"/>
        <v>G1</v>
      </c>
      <c r="L133" s="756" t="str">
        <f t="shared" si="2"/>
        <v>O5</v>
      </c>
      <c r="M133" s="756" t="str">
        <f t="shared" si="3"/>
        <v/>
      </c>
      <c r="N133" s="757" t="str">
        <f t="shared" si="4"/>
        <v/>
      </c>
      <c r="O133" s="8">
        <f t="shared" si="5"/>
        <v>45065</v>
      </c>
      <c r="P133" s="9" t="str">
        <f t="shared" ca="1" si="6"/>
        <v>ATRASADO</v>
      </c>
      <c r="Q133" s="954" t="s">
        <v>1556</v>
      </c>
      <c r="R133" s="951"/>
      <c r="S133" s="9" t="str">
        <f t="shared" si="7"/>
        <v/>
      </c>
    </row>
    <row r="134" spans="1:19" x14ac:dyDescent="0.3">
      <c r="A134" s="9">
        <v>131</v>
      </c>
      <c r="B134" s="957" t="s">
        <v>45</v>
      </c>
      <c r="C134" s="952" t="s">
        <v>3566</v>
      </c>
      <c r="D134" s="954" t="s">
        <v>3567</v>
      </c>
      <c r="E134" s="955">
        <v>27102</v>
      </c>
      <c r="F134" s="9">
        <f t="shared" ca="1" si="0"/>
        <v>52</v>
      </c>
      <c r="G134" s="956">
        <v>44480</v>
      </c>
      <c r="H134" s="954" t="s">
        <v>2796</v>
      </c>
      <c r="I134" s="955">
        <v>44975</v>
      </c>
      <c r="J134" s="583" t="s">
        <v>275</v>
      </c>
      <c r="K134" s="755" t="str">
        <f t="shared" si="1"/>
        <v>I</v>
      </c>
      <c r="L134" s="756" t="str">
        <f t="shared" si="2"/>
        <v>G8</v>
      </c>
      <c r="M134" s="756" t="str">
        <f t="shared" si="3"/>
        <v/>
      </c>
      <c r="N134" s="757" t="str">
        <f t="shared" si="4"/>
        <v/>
      </c>
      <c r="O134" s="8">
        <f t="shared" si="5"/>
        <v>46071</v>
      </c>
      <c r="P134" s="9" t="str">
        <f t="shared" ca="1" si="6"/>
        <v>ATRASADO</v>
      </c>
      <c r="Q134" s="954" t="s">
        <v>1556</v>
      </c>
      <c r="R134" s="951"/>
      <c r="S134" s="9" t="str">
        <f t="shared" si="7"/>
        <v/>
      </c>
    </row>
    <row r="135" spans="1:19" x14ac:dyDescent="0.3">
      <c r="A135" s="9">
        <v>132</v>
      </c>
      <c r="B135" s="957" t="s">
        <v>45</v>
      </c>
      <c r="C135" s="952" t="s">
        <v>3568</v>
      </c>
      <c r="D135" s="954" t="s">
        <v>3569</v>
      </c>
      <c r="E135" s="955">
        <v>25522</v>
      </c>
      <c r="F135" s="9">
        <f t="shared" ca="1" si="0"/>
        <v>56</v>
      </c>
      <c r="G135" s="956">
        <v>43433</v>
      </c>
      <c r="H135" s="954" t="s">
        <v>271</v>
      </c>
      <c r="I135" s="955">
        <v>44958</v>
      </c>
      <c r="J135" s="583" t="s">
        <v>275</v>
      </c>
      <c r="K135" s="755" t="str">
        <f t="shared" si="1"/>
        <v>I</v>
      </c>
      <c r="L135" s="756" t="str">
        <f t="shared" si="2"/>
        <v>G8</v>
      </c>
      <c r="M135" s="756" t="str">
        <f t="shared" si="3"/>
        <v/>
      </c>
      <c r="N135" s="757" t="str">
        <f t="shared" si="4"/>
        <v/>
      </c>
      <c r="O135" s="8">
        <f t="shared" si="5"/>
        <v>46054</v>
      </c>
      <c r="P135" s="9" t="str">
        <f t="shared" ca="1" si="6"/>
        <v>ATRASADO</v>
      </c>
      <c r="Q135" s="954" t="s">
        <v>1556</v>
      </c>
      <c r="R135" s="951"/>
      <c r="S135" s="9" t="str">
        <f t="shared" si="7"/>
        <v/>
      </c>
    </row>
    <row r="136" spans="1:19" x14ac:dyDescent="0.3">
      <c r="A136" s="9">
        <v>133</v>
      </c>
      <c r="B136" s="957" t="s">
        <v>45</v>
      </c>
      <c r="C136" s="952" t="s">
        <v>3570</v>
      </c>
      <c r="D136" s="954" t="s">
        <v>3571</v>
      </c>
      <c r="E136" s="955">
        <v>22348</v>
      </c>
      <c r="F136" s="9">
        <f t="shared" ca="1" si="0"/>
        <v>65</v>
      </c>
      <c r="G136" s="956">
        <v>44185</v>
      </c>
      <c r="H136" s="954" t="s">
        <v>275</v>
      </c>
      <c r="I136" s="955">
        <v>44977</v>
      </c>
      <c r="J136" s="583" t="s">
        <v>271</v>
      </c>
      <c r="K136" s="755" t="str">
        <f t="shared" si="1"/>
        <v>I</v>
      </c>
      <c r="L136" s="756" t="str">
        <f t="shared" si="2"/>
        <v>G8</v>
      </c>
      <c r="M136" s="756" t="str">
        <f t="shared" si="3"/>
        <v>J1</v>
      </c>
      <c r="N136" s="757" t="str">
        <f t="shared" si="4"/>
        <v/>
      </c>
      <c r="O136" s="8">
        <f t="shared" si="5"/>
        <v>46073</v>
      </c>
      <c r="P136" s="9" t="str">
        <f t="shared" ca="1" si="6"/>
        <v>ATRASADO</v>
      </c>
      <c r="Q136" s="954" t="s">
        <v>1556</v>
      </c>
      <c r="R136" s="953"/>
      <c r="S136" s="9" t="str">
        <f t="shared" si="7"/>
        <v/>
      </c>
    </row>
    <row r="137" spans="1:19" x14ac:dyDescent="0.3">
      <c r="A137" s="9">
        <v>134</v>
      </c>
      <c r="B137" s="957" t="s">
        <v>45</v>
      </c>
      <c r="C137" s="952" t="s">
        <v>3572</v>
      </c>
      <c r="D137" s="954" t="s">
        <v>3573</v>
      </c>
      <c r="E137" s="955">
        <v>23950</v>
      </c>
      <c r="F137" s="9">
        <f t="shared" ca="1" si="0"/>
        <v>61</v>
      </c>
      <c r="G137" s="956">
        <v>43463</v>
      </c>
      <c r="H137" s="954" t="s">
        <v>275</v>
      </c>
      <c r="I137" s="955">
        <v>44985</v>
      </c>
      <c r="J137" s="583" t="s">
        <v>8</v>
      </c>
      <c r="K137" s="755" t="str">
        <f t="shared" si="1"/>
        <v>SI</v>
      </c>
      <c r="L137" s="756" t="str">
        <f t="shared" si="2"/>
        <v xml:space="preserve">N </v>
      </c>
      <c r="M137" s="756" t="str">
        <f t="shared" si="3"/>
        <v>RE</v>
      </c>
      <c r="N137" s="757" t="str">
        <f t="shared" si="4"/>
        <v>GI</v>
      </c>
      <c r="O137" s="8">
        <f t="shared" si="5"/>
        <v>46081</v>
      </c>
      <c r="P137" s="9" t="str">
        <f t="shared" ca="1" si="6"/>
        <v>ATRASADO</v>
      </c>
      <c r="Q137" s="954" t="s">
        <v>1556</v>
      </c>
      <c r="R137" s="951"/>
      <c r="S137" s="9" t="str">
        <f t="shared" si="7"/>
        <v/>
      </c>
    </row>
    <row r="138" spans="1:19" x14ac:dyDescent="0.3">
      <c r="A138" s="9">
        <v>135</v>
      </c>
      <c r="B138" s="957" t="s">
        <v>45</v>
      </c>
      <c r="C138" s="952" t="s">
        <v>3574</v>
      </c>
      <c r="D138" s="954" t="s">
        <v>3575</v>
      </c>
      <c r="E138" s="955">
        <v>31464</v>
      </c>
      <c r="F138" s="9">
        <f t="shared" ca="1" si="0"/>
        <v>40</v>
      </c>
      <c r="G138" s="956">
        <v>44376</v>
      </c>
      <c r="H138" s="954" t="s">
        <v>275</v>
      </c>
      <c r="I138" s="955">
        <v>44959</v>
      </c>
      <c r="J138" s="583" t="s">
        <v>271</v>
      </c>
      <c r="K138" s="755" t="str">
        <f t="shared" si="1"/>
        <v>I</v>
      </c>
      <c r="L138" s="756" t="str">
        <f t="shared" si="2"/>
        <v>G8</v>
      </c>
      <c r="M138" s="756" t="str">
        <f t="shared" si="3"/>
        <v>J1</v>
      </c>
      <c r="N138" s="757" t="str">
        <f t="shared" si="4"/>
        <v/>
      </c>
      <c r="O138" s="8">
        <f t="shared" si="5"/>
        <v>46055</v>
      </c>
      <c r="P138" s="9" t="str">
        <f t="shared" ca="1" si="6"/>
        <v>ATRASADO</v>
      </c>
      <c r="Q138" s="954" t="s">
        <v>1556</v>
      </c>
      <c r="R138" s="953" t="s">
        <v>1842</v>
      </c>
      <c r="S138" s="9" t="str">
        <f t="shared" si="7"/>
        <v/>
      </c>
    </row>
    <row r="139" spans="1:19" x14ac:dyDescent="0.3">
      <c r="A139" s="9">
        <v>136</v>
      </c>
      <c r="B139" s="957" t="s">
        <v>45</v>
      </c>
      <c r="C139" s="952" t="s">
        <v>3576</v>
      </c>
      <c r="D139" s="954" t="s">
        <v>3577</v>
      </c>
      <c r="E139" s="955">
        <v>35451</v>
      </c>
      <c r="F139" s="9">
        <f t="shared" ca="1" si="0"/>
        <v>29</v>
      </c>
      <c r="G139" s="956">
        <v>43584</v>
      </c>
      <c r="H139" s="954" t="s">
        <v>327</v>
      </c>
      <c r="I139" s="955">
        <v>44976</v>
      </c>
      <c r="J139" s="583" t="s">
        <v>8</v>
      </c>
      <c r="K139" s="755" t="str">
        <f t="shared" si="1"/>
        <v>SI</v>
      </c>
      <c r="L139" s="756" t="str">
        <f t="shared" si="2"/>
        <v xml:space="preserve">N </v>
      </c>
      <c r="M139" s="756" t="str">
        <f t="shared" si="3"/>
        <v>RE</v>
      </c>
      <c r="N139" s="757" t="str">
        <f t="shared" si="4"/>
        <v>GI</v>
      </c>
      <c r="O139" s="8">
        <f t="shared" si="5"/>
        <v>46072</v>
      </c>
      <c r="P139" s="9" t="str">
        <f t="shared" ca="1" si="6"/>
        <v>ATRASADO</v>
      </c>
      <c r="Q139" s="954" t="s">
        <v>1556</v>
      </c>
      <c r="R139" s="951"/>
      <c r="S139" s="9" t="str">
        <f t="shared" si="7"/>
        <v/>
      </c>
    </row>
    <row r="140" spans="1:19" x14ac:dyDescent="0.3">
      <c r="A140" s="9">
        <v>137</v>
      </c>
      <c r="B140" s="957" t="s">
        <v>45</v>
      </c>
      <c r="C140" s="952" t="s">
        <v>3578</v>
      </c>
      <c r="D140" s="954" t="s">
        <v>3579</v>
      </c>
      <c r="E140" s="955">
        <v>27447</v>
      </c>
      <c r="F140" s="9">
        <f t="shared" ca="1" si="0"/>
        <v>51</v>
      </c>
      <c r="G140" s="956">
        <v>44421</v>
      </c>
      <c r="H140" s="954" t="s">
        <v>271</v>
      </c>
      <c r="I140" s="955">
        <v>44966</v>
      </c>
      <c r="J140" s="583" t="s">
        <v>291</v>
      </c>
      <c r="K140" s="755" t="str">
        <f t="shared" si="1"/>
        <v>I</v>
      </c>
      <c r="L140" s="756" t="str">
        <f t="shared" si="2"/>
        <v>G8</v>
      </c>
      <c r="M140" s="756" t="str">
        <f t="shared" si="3"/>
        <v>J5</v>
      </c>
      <c r="N140" s="757" t="str">
        <f t="shared" si="4"/>
        <v/>
      </c>
      <c r="O140" s="8">
        <f t="shared" si="5"/>
        <v>46062</v>
      </c>
      <c r="P140" s="9" t="str">
        <f t="shared" ca="1" si="6"/>
        <v>ATRASADO</v>
      </c>
      <c r="Q140" s="954" t="s">
        <v>1556</v>
      </c>
      <c r="R140" s="953"/>
      <c r="S140" s="9" t="str">
        <f t="shared" si="7"/>
        <v>CANDIDA</v>
      </c>
    </row>
    <row r="141" spans="1:19" x14ac:dyDescent="0.3">
      <c r="A141" s="9">
        <v>138</v>
      </c>
      <c r="B141" s="957" t="s">
        <v>45</v>
      </c>
      <c r="C141" s="952" t="s">
        <v>3580</v>
      </c>
      <c r="D141" s="954" t="s">
        <v>3581</v>
      </c>
      <c r="E141" s="955">
        <v>26098</v>
      </c>
      <c r="F141" s="9">
        <f t="shared" ca="1" si="0"/>
        <v>55</v>
      </c>
      <c r="G141" s="956">
        <v>43490</v>
      </c>
      <c r="H141" s="954" t="s">
        <v>8</v>
      </c>
      <c r="I141" s="955">
        <v>44985</v>
      </c>
      <c r="J141" s="583" t="s">
        <v>271</v>
      </c>
      <c r="K141" s="755" t="str">
        <f t="shared" si="1"/>
        <v>I</v>
      </c>
      <c r="L141" s="756" t="str">
        <f t="shared" si="2"/>
        <v>G8</v>
      </c>
      <c r="M141" s="756" t="str">
        <f t="shared" si="3"/>
        <v>J1</v>
      </c>
      <c r="N141" s="757" t="str">
        <f t="shared" si="4"/>
        <v/>
      </c>
      <c r="O141" s="8">
        <f t="shared" si="5"/>
        <v>46081</v>
      </c>
      <c r="P141" s="9" t="str">
        <f t="shared" ca="1" si="6"/>
        <v>ATRASADO</v>
      </c>
      <c r="Q141" s="954" t="s">
        <v>1556</v>
      </c>
      <c r="R141" s="951"/>
      <c r="S141" s="9" t="str">
        <f t="shared" si="7"/>
        <v/>
      </c>
    </row>
    <row r="142" spans="1:19" ht="15.75" customHeight="1" x14ac:dyDescent="0.3">
      <c r="A142" s="9">
        <v>139</v>
      </c>
      <c r="B142" s="957" t="s">
        <v>45</v>
      </c>
      <c r="C142" s="952" t="s">
        <v>3582</v>
      </c>
      <c r="D142" s="954" t="s">
        <v>3583</v>
      </c>
      <c r="E142" s="955">
        <v>26605</v>
      </c>
      <c r="F142" s="9">
        <f t="shared" ca="1" si="0"/>
        <v>53</v>
      </c>
      <c r="G142" s="954" t="s">
        <v>8</v>
      </c>
      <c r="H142" s="954" t="s">
        <v>324</v>
      </c>
      <c r="I142" s="955">
        <v>44959</v>
      </c>
      <c r="J142" s="583" t="s">
        <v>275</v>
      </c>
      <c r="K142" s="755" t="str">
        <f t="shared" si="1"/>
        <v>I</v>
      </c>
      <c r="L142" s="756" t="str">
        <f t="shared" si="2"/>
        <v>G8</v>
      </c>
      <c r="M142" s="756" t="str">
        <f t="shared" si="3"/>
        <v/>
      </c>
      <c r="N142" s="757" t="str">
        <f t="shared" si="4"/>
        <v/>
      </c>
      <c r="O142" s="8">
        <f t="shared" si="5"/>
        <v>46055</v>
      </c>
      <c r="P142" s="9" t="str">
        <f t="shared" ca="1" si="6"/>
        <v>ATRASADO</v>
      </c>
      <c r="Q142" s="954" t="s">
        <v>1556</v>
      </c>
      <c r="R142" s="951"/>
      <c r="S142" s="9" t="str">
        <f t="shared" si="7"/>
        <v/>
      </c>
    </row>
    <row r="143" spans="1:19" x14ac:dyDescent="0.3">
      <c r="A143" s="9">
        <v>140</v>
      </c>
      <c r="B143" s="957" t="s">
        <v>45</v>
      </c>
      <c r="C143" s="952" t="s">
        <v>3584</v>
      </c>
      <c r="D143" s="954" t="s">
        <v>3585</v>
      </c>
      <c r="E143" s="955">
        <v>23029</v>
      </c>
      <c r="F143" s="9">
        <f t="shared" ca="1" si="0"/>
        <v>63</v>
      </c>
      <c r="G143" s="956">
        <v>43648</v>
      </c>
      <c r="H143" s="954" t="s">
        <v>8</v>
      </c>
      <c r="I143" s="955">
        <v>44984</v>
      </c>
      <c r="J143" s="583" t="s">
        <v>8</v>
      </c>
      <c r="K143" s="755" t="str">
        <f t="shared" si="1"/>
        <v>SI</v>
      </c>
      <c r="L143" s="756" t="str">
        <f t="shared" si="2"/>
        <v xml:space="preserve">N </v>
      </c>
      <c r="M143" s="756" t="str">
        <f t="shared" si="3"/>
        <v>RE</v>
      </c>
      <c r="N143" s="757" t="str">
        <f t="shared" si="4"/>
        <v>GI</v>
      </c>
      <c r="O143" s="8">
        <f t="shared" si="5"/>
        <v>46080</v>
      </c>
      <c r="P143" s="9" t="str">
        <f t="shared" ca="1" si="6"/>
        <v>ATRASADO</v>
      </c>
      <c r="Q143" s="954" t="s">
        <v>1556</v>
      </c>
      <c r="R143" s="953"/>
      <c r="S143" s="9" t="str">
        <f t="shared" si="7"/>
        <v/>
      </c>
    </row>
    <row r="144" spans="1:19" x14ac:dyDescent="0.3">
      <c r="A144" s="9">
        <v>141</v>
      </c>
      <c r="B144" s="957" t="s">
        <v>45</v>
      </c>
      <c r="C144" s="952" t="s">
        <v>3586</v>
      </c>
      <c r="D144" s="954" t="s">
        <v>3587</v>
      </c>
      <c r="E144" s="955">
        <v>33956</v>
      </c>
      <c r="F144" s="9">
        <f t="shared" ca="1" si="0"/>
        <v>33</v>
      </c>
      <c r="G144" s="956">
        <v>43565</v>
      </c>
      <c r="H144" s="954" t="s">
        <v>275</v>
      </c>
      <c r="I144" s="955">
        <v>44961</v>
      </c>
      <c r="J144" s="583" t="s">
        <v>340</v>
      </c>
      <c r="K144" s="755" t="str">
        <f t="shared" si="1"/>
        <v>I</v>
      </c>
      <c r="L144" s="756" t="str">
        <f t="shared" si="2"/>
        <v>G8</v>
      </c>
      <c r="M144" s="756" t="str">
        <f t="shared" si="3"/>
        <v>S</v>
      </c>
      <c r="N144" s="757" t="str">
        <f t="shared" si="4"/>
        <v/>
      </c>
      <c r="O144" s="8">
        <f t="shared" si="5"/>
        <v>45326</v>
      </c>
      <c r="P144" s="9" t="str">
        <f t="shared" ca="1" si="6"/>
        <v>ATRASADO</v>
      </c>
      <c r="Q144" s="954" t="s">
        <v>1556</v>
      </c>
      <c r="R144" s="951"/>
      <c r="S144" s="9" t="str">
        <f t="shared" si="7"/>
        <v/>
      </c>
    </row>
    <row r="145" spans="1:19" x14ac:dyDescent="0.3">
      <c r="A145" s="9">
        <v>142</v>
      </c>
      <c r="B145" s="964" t="s">
        <v>312</v>
      </c>
      <c r="C145" s="960" t="s">
        <v>3588</v>
      </c>
      <c r="D145" s="958" t="s">
        <v>3589</v>
      </c>
      <c r="E145" s="962">
        <v>34601</v>
      </c>
      <c r="F145" s="9">
        <f t="shared" ca="1" si="0"/>
        <v>32</v>
      </c>
      <c r="G145" s="963">
        <v>43547</v>
      </c>
      <c r="H145" s="958" t="s">
        <v>275</v>
      </c>
      <c r="I145" s="962">
        <v>44971</v>
      </c>
      <c r="J145" s="583" t="s">
        <v>8</v>
      </c>
      <c r="K145" s="755" t="str">
        <f t="shared" si="1"/>
        <v>SI</v>
      </c>
      <c r="L145" s="756" t="str">
        <f t="shared" si="2"/>
        <v xml:space="preserve">N </v>
      </c>
      <c r="M145" s="756" t="str">
        <f t="shared" si="3"/>
        <v>RE</v>
      </c>
      <c r="N145" s="757" t="str">
        <f t="shared" si="4"/>
        <v>GI</v>
      </c>
      <c r="O145" s="8">
        <f t="shared" si="5"/>
        <v>46067</v>
      </c>
      <c r="P145" s="9" t="str">
        <f t="shared" ca="1" si="6"/>
        <v>ATRASADO</v>
      </c>
      <c r="Q145" s="958" t="s">
        <v>1556</v>
      </c>
      <c r="R145" s="959"/>
      <c r="S145" s="9" t="str">
        <f t="shared" si="7"/>
        <v/>
      </c>
    </row>
    <row r="146" spans="1:19" x14ac:dyDescent="0.3">
      <c r="A146" s="9">
        <v>143</v>
      </c>
      <c r="B146" s="964" t="s">
        <v>312</v>
      </c>
      <c r="C146" s="960" t="s">
        <v>3590</v>
      </c>
      <c r="D146" s="958" t="s">
        <v>3591</v>
      </c>
      <c r="E146" s="962">
        <v>35897</v>
      </c>
      <c r="F146" s="9">
        <f t="shared" ca="1" si="0"/>
        <v>28</v>
      </c>
      <c r="G146" s="963">
        <v>43338</v>
      </c>
      <c r="H146" s="958" t="s">
        <v>327</v>
      </c>
      <c r="I146" s="962">
        <v>44968</v>
      </c>
      <c r="J146" s="583" t="s">
        <v>271</v>
      </c>
      <c r="K146" s="755" t="str">
        <f t="shared" si="1"/>
        <v>I</v>
      </c>
      <c r="L146" s="756" t="str">
        <f t="shared" si="2"/>
        <v>G8</v>
      </c>
      <c r="M146" s="756" t="str">
        <f t="shared" si="3"/>
        <v>J1</v>
      </c>
      <c r="N146" s="757" t="str">
        <f t="shared" si="4"/>
        <v/>
      </c>
      <c r="O146" s="8">
        <f t="shared" si="5"/>
        <v>46064</v>
      </c>
      <c r="P146" s="9" t="str">
        <f t="shared" ca="1" si="6"/>
        <v>ATRASADO</v>
      </c>
      <c r="Q146" s="958" t="s">
        <v>1556</v>
      </c>
      <c r="R146" s="959"/>
      <c r="S146" s="9" t="str">
        <f t="shared" si="7"/>
        <v/>
      </c>
    </row>
    <row r="147" spans="1:19" x14ac:dyDescent="0.3">
      <c r="A147" s="9">
        <v>144</v>
      </c>
      <c r="B147" s="964" t="s">
        <v>312</v>
      </c>
      <c r="C147" s="960" t="s">
        <v>3592</v>
      </c>
      <c r="D147" s="958" t="s">
        <v>3593</v>
      </c>
      <c r="E147" s="962">
        <v>29998</v>
      </c>
      <c r="F147" s="9">
        <f t="shared" ca="1" si="0"/>
        <v>44</v>
      </c>
      <c r="G147" s="963">
        <v>43165</v>
      </c>
      <c r="H147" s="958" t="s">
        <v>271</v>
      </c>
      <c r="I147" s="962">
        <v>44968</v>
      </c>
      <c r="J147" s="583" t="s">
        <v>327</v>
      </c>
      <c r="K147" s="755" t="str">
        <f t="shared" si="1"/>
        <v>I</v>
      </c>
      <c r="L147" s="756" t="str">
        <f t="shared" si="2"/>
        <v>G7</v>
      </c>
      <c r="M147" s="756" t="str">
        <f t="shared" si="3"/>
        <v>S</v>
      </c>
      <c r="N147" s="757" t="str">
        <f t="shared" si="4"/>
        <v/>
      </c>
      <c r="O147" s="8">
        <f t="shared" si="5"/>
        <v>45333</v>
      </c>
      <c r="P147" s="9" t="str">
        <f t="shared" ca="1" si="6"/>
        <v>ATRASADO</v>
      </c>
      <c r="Q147" s="958" t="s">
        <v>1556</v>
      </c>
      <c r="R147" s="961"/>
      <c r="S147" s="9" t="str">
        <f t="shared" si="7"/>
        <v/>
      </c>
    </row>
    <row r="148" spans="1:19" x14ac:dyDescent="0.3">
      <c r="A148" s="9">
        <v>145</v>
      </c>
      <c r="B148" s="964" t="s">
        <v>312</v>
      </c>
      <c r="C148" s="966" t="s">
        <v>3594</v>
      </c>
      <c r="D148" s="958" t="s">
        <v>3595</v>
      </c>
      <c r="E148" s="962">
        <v>26979</v>
      </c>
      <c r="F148" s="9">
        <f t="shared" ca="1" si="0"/>
        <v>52</v>
      </c>
      <c r="G148" s="963">
        <v>43464</v>
      </c>
      <c r="H148" s="958" t="s">
        <v>320</v>
      </c>
      <c r="I148" s="962">
        <v>44975</v>
      </c>
      <c r="J148" s="1088" t="s">
        <v>275</v>
      </c>
      <c r="K148" s="755" t="str">
        <f t="shared" si="1"/>
        <v>I</v>
      </c>
      <c r="L148" s="756" t="str">
        <f t="shared" si="2"/>
        <v>G8</v>
      </c>
      <c r="M148" s="756" t="str">
        <f t="shared" si="3"/>
        <v/>
      </c>
      <c r="N148" s="757" t="str">
        <f t="shared" si="4"/>
        <v/>
      </c>
      <c r="O148" s="8">
        <f t="shared" si="5"/>
        <v>46071</v>
      </c>
      <c r="P148" s="9" t="str">
        <f t="shared" ca="1" si="6"/>
        <v>ATRASADO</v>
      </c>
      <c r="Q148" s="958" t="s">
        <v>1556</v>
      </c>
      <c r="R148" s="959"/>
      <c r="S148" s="9" t="str">
        <f t="shared" si="7"/>
        <v/>
      </c>
    </row>
    <row r="149" spans="1:19" x14ac:dyDescent="0.3">
      <c r="A149" s="9">
        <v>146</v>
      </c>
      <c r="B149" s="970" t="s">
        <v>56</v>
      </c>
      <c r="C149" s="966" t="s">
        <v>3596</v>
      </c>
      <c r="D149" s="968" t="s">
        <v>3597</v>
      </c>
      <c r="E149" s="969">
        <v>28370</v>
      </c>
      <c r="F149" s="9">
        <f t="shared" ca="1" si="0"/>
        <v>49</v>
      </c>
      <c r="G149" s="968" t="s">
        <v>8</v>
      </c>
      <c r="H149" s="968" t="s">
        <v>275</v>
      </c>
      <c r="I149" s="969">
        <v>44968</v>
      </c>
      <c r="J149" s="1131" t="s">
        <v>275</v>
      </c>
      <c r="K149" s="755" t="str">
        <f t="shared" si="1"/>
        <v>I</v>
      </c>
      <c r="L149" s="756" t="str">
        <f t="shared" si="2"/>
        <v>G8</v>
      </c>
      <c r="M149" s="756" t="str">
        <f t="shared" si="3"/>
        <v/>
      </c>
      <c r="N149" s="757" t="str">
        <f t="shared" si="4"/>
        <v/>
      </c>
      <c r="O149" s="8">
        <f t="shared" si="5"/>
        <v>46064</v>
      </c>
      <c r="P149" s="9" t="str">
        <f t="shared" ca="1" si="6"/>
        <v>ATRASADO</v>
      </c>
      <c r="Q149" s="968" t="s">
        <v>1556</v>
      </c>
      <c r="R149" s="967"/>
      <c r="S149" s="9" t="str">
        <f t="shared" si="7"/>
        <v/>
      </c>
    </row>
    <row r="150" spans="1:19" x14ac:dyDescent="0.3">
      <c r="A150" s="9">
        <v>147</v>
      </c>
      <c r="B150" s="970" t="s">
        <v>56</v>
      </c>
      <c r="C150" s="966" t="s">
        <v>3598</v>
      </c>
      <c r="D150" s="968" t="s">
        <v>3599</v>
      </c>
      <c r="E150" s="969">
        <v>22346</v>
      </c>
      <c r="F150" s="9">
        <f t="shared" ca="1" si="0"/>
        <v>65</v>
      </c>
      <c r="G150" s="971">
        <v>44373</v>
      </c>
      <c r="H150" s="968" t="s">
        <v>8</v>
      </c>
      <c r="I150" s="969">
        <v>44974</v>
      </c>
      <c r="J150" s="1154" t="s">
        <v>275</v>
      </c>
      <c r="K150" s="755" t="str">
        <f t="shared" si="1"/>
        <v>I</v>
      </c>
      <c r="L150" s="756" t="str">
        <f t="shared" si="2"/>
        <v>G8</v>
      </c>
      <c r="M150" s="756" t="str">
        <f t="shared" si="3"/>
        <v/>
      </c>
      <c r="N150" s="757" t="str">
        <f t="shared" si="4"/>
        <v/>
      </c>
      <c r="O150" s="8">
        <f t="shared" si="5"/>
        <v>46070</v>
      </c>
      <c r="P150" s="9" t="str">
        <f t="shared" ca="1" si="6"/>
        <v>ATRASADO</v>
      </c>
      <c r="Q150" s="968" t="s">
        <v>1556</v>
      </c>
      <c r="R150" s="965"/>
      <c r="S150" s="9" t="str">
        <f t="shared" si="7"/>
        <v/>
      </c>
    </row>
    <row r="151" spans="1:19" x14ac:dyDescent="0.3">
      <c r="A151" s="9">
        <v>148</v>
      </c>
      <c r="B151" s="970" t="s">
        <v>56</v>
      </c>
      <c r="C151" s="966" t="s">
        <v>3600</v>
      </c>
      <c r="D151" s="968" t="s">
        <v>3601</v>
      </c>
      <c r="E151" s="969">
        <v>20360</v>
      </c>
      <c r="F151" s="9">
        <f t="shared" ca="1" si="0"/>
        <v>71</v>
      </c>
      <c r="G151" s="968" t="s">
        <v>8</v>
      </c>
      <c r="H151" s="968" t="s">
        <v>8</v>
      </c>
      <c r="I151" s="969">
        <v>44982</v>
      </c>
      <c r="J151" s="1154" t="s">
        <v>271</v>
      </c>
      <c r="K151" s="755" t="str">
        <f t="shared" si="1"/>
        <v>I</v>
      </c>
      <c r="L151" s="756" t="str">
        <f t="shared" si="2"/>
        <v>G8</v>
      </c>
      <c r="M151" s="756" t="str">
        <f t="shared" si="3"/>
        <v>J1</v>
      </c>
      <c r="N151" s="757" t="str">
        <f t="shared" si="4"/>
        <v/>
      </c>
      <c r="O151" s="8">
        <f t="shared" si="5"/>
        <v>46078</v>
      </c>
      <c r="P151" s="9" t="str">
        <f t="shared" ca="1" si="6"/>
        <v>ATRASADO</v>
      </c>
      <c r="Q151" s="968" t="s">
        <v>1556</v>
      </c>
      <c r="R151" s="965"/>
      <c r="S151" s="9" t="str">
        <f t="shared" si="7"/>
        <v/>
      </c>
    </row>
    <row r="152" spans="1:19" x14ac:dyDescent="0.3">
      <c r="A152" s="9">
        <v>149</v>
      </c>
      <c r="B152" s="970" t="s">
        <v>56</v>
      </c>
      <c r="C152" s="966" t="s">
        <v>3602</v>
      </c>
      <c r="D152" s="968" t="s">
        <v>3603</v>
      </c>
      <c r="E152" s="969">
        <v>35384</v>
      </c>
      <c r="F152" s="9">
        <f t="shared" ca="1" si="0"/>
        <v>29</v>
      </c>
      <c r="G152" s="971">
        <v>44437</v>
      </c>
      <c r="H152" s="968" t="s">
        <v>8</v>
      </c>
      <c r="I152" s="969">
        <v>44966</v>
      </c>
      <c r="J152" s="1154" t="s">
        <v>271</v>
      </c>
      <c r="K152" s="755" t="str">
        <f t="shared" si="1"/>
        <v>I</v>
      </c>
      <c r="L152" s="756" t="str">
        <f t="shared" si="2"/>
        <v>G8</v>
      </c>
      <c r="M152" s="756" t="str">
        <f t="shared" si="3"/>
        <v>J1</v>
      </c>
      <c r="N152" s="757" t="str">
        <f t="shared" si="4"/>
        <v/>
      </c>
      <c r="O152" s="8">
        <f t="shared" si="5"/>
        <v>46062</v>
      </c>
      <c r="P152" s="9" t="str">
        <f t="shared" ca="1" si="6"/>
        <v>ATRASADO</v>
      </c>
      <c r="Q152" s="968" t="s">
        <v>1556</v>
      </c>
      <c r="R152" s="967"/>
      <c r="S152" s="9" t="str">
        <f t="shared" si="7"/>
        <v/>
      </c>
    </row>
    <row r="153" spans="1:19" x14ac:dyDescent="0.3">
      <c r="A153" s="9">
        <v>150</v>
      </c>
      <c r="B153" s="970" t="s">
        <v>56</v>
      </c>
      <c r="C153" s="966" t="s">
        <v>3604</v>
      </c>
      <c r="D153" s="968" t="s">
        <v>3605</v>
      </c>
      <c r="E153" s="969">
        <v>25838</v>
      </c>
      <c r="F153" s="9">
        <f t="shared" ca="1" si="0"/>
        <v>56</v>
      </c>
      <c r="G153" s="968" t="s">
        <v>8</v>
      </c>
      <c r="H153" s="968" t="s">
        <v>271</v>
      </c>
      <c r="I153" s="969">
        <v>44981</v>
      </c>
      <c r="J153" s="1154" t="s">
        <v>8</v>
      </c>
      <c r="K153" s="755" t="str">
        <f t="shared" si="1"/>
        <v>SI</v>
      </c>
      <c r="L153" s="756" t="str">
        <f t="shared" si="2"/>
        <v xml:space="preserve">N </v>
      </c>
      <c r="M153" s="756" t="str">
        <f t="shared" si="3"/>
        <v>RE</v>
      </c>
      <c r="N153" s="757" t="str">
        <f t="shared" si="4"/>
        <v>GI</v>
      </c>
      <c r="O153" s="8">
        <f t="shared" si="5"/>
        <v>46077</v>
      </c>
      <c r="P153" s="9" t="str">
        <f t="shared" ca="1" si="6"/>
        <v>ATRASADO</v>
      </c>
      <c r="Q153" s="968" t="s">
        <v>1556</v>
      </c>
      <c r="R153" s="967"/>
      <c r="S153" s="9" t="str">
        <f t="shared" si="7"/>
        <v/>
      </c>
    </row>
    <row r="154" spans="1:19" x14ac:dyDescent="0.3">
      <c r="A154" s="9">
        <v>151</v>
      </c>
      <c r="B154" s="978" t="s">
        <v>111</v>
      </c>
      <c r="C154" s="973" t="s">
        <v>3606</v>
      </c>
      <c r="D154" s="975" t="s">
        <v>3607</v>
      </c>
      <c r="E154" s="976">
        <v>35073</v>
      </c>
      <c r="F154" s="9">
        <f t="shared" ca="1" si="0"/>
        <v>30</v>
      </c>
      <c r="G154" s="977">
        <v>44152</v>
      </c>
      <c r="H154" s="975" t="s">
        <v>317</v>
      </c>
      <c r="I154" s="976">
        <v>44965</v>
      </c>
      <c r="J154" s="583" t="s">
        <v>8</v>
      </c>
      <c r="K154" s="755" t="str">
        <f t="shared" si="1"/>
        <v>SI</v>
      </c>
      <c r="L154" s="756" t="str">
        <f t="shared" si="2"/>
        <v xml:space="preserve">N </v>
      </c>
      <c r="M154" s="756" t="str">
        <f t="shared" si="3"/>
        <v>RE</v>
      </c>
      <c r="N154" s="757" t="str">
        <f t="shared" si="4"/>
        <v>GI</v>
      </c>
      <c r="O154" s="8">
        <f t="shared" si="5"/>
        <v>46061</v>
      </c>
      <c r="P154" s="9" t="str">
        <f t="shared" ca="1" si="6"/>
        <v>ATRASADO</v>
      </c>
      <c r="Q154" s="975" t="s">
        <v>1556</v>
      </c>
      <c r="R154" s="974" t="s">
        <v>2540</v>
      </c>
      <c r="S154" s="9" t="str">
        <f t="shared" si="7"/>
        <v/>
      </c>
    </row>
    <row r="155" spans="1:19" x14ac:dyDescent="0.3">
      <c r="A155" s="9">
        <v>152</v>
      </c>
      <c r="B155" s="978" t="s">
        <v>111</v>
      </c>
      <c r="C155" s="973" t="s">
        <v>3608</v>
      </c>
      <c r="D155" s="975" t="s">
        <v>3609</v>
      </c>
      <c r="E155" s="976">
        <v>28372</v>
      </c>
      <c r="F155" s="9">
        <f t="shared" ca="1" si="0"/>
        <v>49</v>
      </c>
      <c r="G155" s="977">
        <v>43257</v>
      </c>
      <c r="H155" s="975" t="s">
        <v>275</v>
      </c>
      <c r="I155" s="976">
        <v>44979</v>
      </c>
      <c r="J155" s="583" t="s">
        <v>8</v>
      </c>
      <c r="K155" s="755" t="str">
        <f t="shared" si="1"/>
        <v>SI</v>
      </c>
      <c r="L155" s="756" t="str">
        <f t="shared" si="2"/>
        <v xml:space="preserve">N </v>
      </c>
      <c r="M155" s="756" t="str">
        <f t="shared" si="3"/>
        <v>RE</v>
      </c>
      <c r="N155" s="757" t="str">
        <f t="shared" si="4"/>
        <v>GI</v>
      </c>
      <c r="O155" s="8">
        <f t="shared" si="5"/>
        <v>46075</v>
      </c>
      <c r="P155" s="9" t="str">
        <f t="shared" ca="1" si="6"/>
        <v>ATRASADO</v>
      </c>
      <c r="Q155" s="975" t="s">
        <v>1556</v>
      </c>
      <c r="R155" s="972"/>
      <c r="S155" s="9" t="str">
        <f t="shared" si="7"/>
        <v/>
      </c>
    </row>
    <row r="156" spans="1:19" x14ac:dyDescent="0.3">
      <c r="A156" s="9">
        <v>153</v>
      </c>
      <c r="B156" s="978" t="s">
        <v>111</v>
      </c>
      <c r="C156" s="973" t="s">
        <v>3610</v>
      </c>
      <c r="D156" s="975" t="s">
        <v>3611</v>
      </c>
      <c r="E156" s="976">
        <v>20519</v>
      </c>
      <c r="F156" s="9">
        <f t="shared" ca="1" si="0"/>
        <v>70</v>
      </c>
      <c r="G156" s="977">
        <v>44317</v>
      </c>
      <c r="H156" s="975" t="s">
        <v>275</v>
      </c>
      <c r="I156" s="976">
        <v>44983</v>
      </c>
      <c r="J156" s="583" t="s">
        <v>271</v>
      </c>
      <c r="K156" s="755" t="str">
        <f t="shared" si="1"/>
        <v>I</v>
      </c>
      <c r="L156" s="756" t="str">
        <f t="shared" si="2"/>
        <v>G8</v>
      </c>
      <c r="M156" s="756" t="str">
        <f t="shared" si="3"/>
        <v>J1</v>
      </c>
      <c r="N156" s="757" t="str">
        <f t="shared" si="4"/>
        <v/>
      </c>
      <c r="O156" s="8">
        <f t="shared" si="5"/>
        <v>46079</v>
      </c>
      <c r="P156" s="9" t="str">
        <f t="shared" ca="1" si="6"/>
        <v>ATRASADO</v>
      </c>
      <c r="Q156" s="975" t="s">
        <v>1556</v>
      </c>
      <c r="R156" s="972"/>
      <c r="S156" s="9" t="str">
        <f t="shared" si="7"/>
        <v/>
      </c>
    </row>
    <row r="157" spans="1:19" x14ac:dyDescent="0.3">
      <c r="A157" s="9">
        <v>154</v>
      </c>
      <c r="B157" s="978" t="s">
        <v>346</v>
      </c>
      <c r="C157" s="973" t="s">
        <v>3612</v>
      </c>
      <c r="D157" s="975" t="s">
        <v>3613</v>
      </c>
      <c r="E157" s="976">
        <v>27507</v>
      </c>
      <c r="F157" s="9">
        <f t="shared" ca="1" si="0"/>
        <v>51</v>
      </c>
      <c r="G157" s="977">
        <v>44067</v>
      </c>
      <c r="H157" s="975" t="s">
        <v>327</v>
      </c>
      <c r="I157" s="976">
        <v>44974</v>
      </c>
      <c r="J157" s="583" t="s">
        <v>271</v>
      </c>
      <c r="K157" s="755" t="str">
        <f t="shared" si="1"/>
        <v>I</v>
      </c>
      <c r="L157" s="756" t="str">
        <f t="shared" si="2"/>
        <v>G8</v>
      </c>
      <c r="M157" s="756" t="str">
        <f t="shared" si="3"/>
        <v>J1</v>
      </c>
      <c r="N157" s="757" t="str">
        <f t="shared" si="4"/>
        <v/>
      </c>
      <c r="O157" s="8">
        <f t="shared" si="5"/>
        <v>46070</v>
      </c>
      <c r="P157" s="9" t="str">
        <f t="shared" ca="1" si="6"/>
        <v>ATRASADO</v>
      </c>
      <c r="Q157" s="975" t="s">
        <v>1556</v>
      </c>
      <c r="R157" s="972"/>
      <c r="S157" s="9" t="str">
        <f t="shared" si="7"/>
        <v/>
      </c>
    </row>
    <row r="158" spans="1:19" x14ac:dyDescent="0.3">
      <c r="A158" s="9">
        <v>155</v>
      </c>
      <c r="B158" s="313" t="s">
        <v>75</v>
      </c>
      <c r="C158" s="10" t="s">
        <v>3614</v>
      </c>
      <c r="D158" s="9" t="s">
        <v>3615</v>
      </c>
      <c r="E158" s="295">
        <v>31594</v>
      </c>
      <c r="F158" s="9">
        <f t="shared" ca="1" si="0"/>
        <v>40</v>
      </c>
      <c r="G158" s="9">
        <v>43495</v>
      </c>
      <c r="H158" s="9" t="s">
        <v>8</v>
      </c>
      <c r="I158" s="976">
        <v>44963</v>
      </c>
      <c r="J158" s="1154" t="s">
        <v>8</v>
      </c>
      <c r="K158" s="755" t="str">
        <f t="shared" si="1"/>
        <v>SI</v>
      </c>
      <c r="L158" s="756" t="str">
        <f t="shared" si="2"/>
        <v xml:space="preserve">N </v>
      </c>
      <c r="M158" s="756" t="str">
        <f t="shared" si="3"/>
        <v>RE</v>
      </c>
      <c r="N158" s="757" t="str">
        <f t="shared" si="4"/>
        <v>GI</v>
      </c>
      <c r="O158" s="8">
        <f t="shared" si="5"/>
        <v>46059</v>
      </c>
      <c r="P158" s="9" t="str">
        <f t="shared" ca="1" si="6"/>
        <v>ATRASADO</v>
      </c>
      <c r="Q158" s="9" t="s">
        <v>919</v>
      </c>
      <c r="S158" s="9" t="str">
        <f t="shared" si="7"/>
        <v/>
      </c>
    </row>
    <row r="159" spans="1:19" x14ac:dyDescent="0.3">
      <c r="A159" s="9">
        <v>156</v>
      </c>
      <c r="B159" s="313" t="s">
        <v>75</v>
      </c>
      <c r="C159" s="10" t="s">
        <v>3616</v>
      </c>
      <c r="D159" s="9" t="s">
        <v>3617</v>
      </c>
      <c r="E159" s="295">
        <v>23331</v>
      </c>
      <c r="F159" s="9">
        <f t="shared" ca="1" si="0"/>
        <v>62</v>
      </c>
      <c r="G159" s="979">
        <v>44408</v>
      </c>
      <c r="H159" s="9" t="s">
        <v>8</v>
      </c>
      <c r="I159" s="976">
        <v>44973</v>
      </c>
      <c r="J159" s="1117" t="s">
        <v>340</v>
      </c>
      <c r="K159" s="755" t="str">
        <f t="shared" si="1"/>
        <v>I</v>
      </c>
      <c r="L159" s="756" t="str">
        <f t="shared" si="2"/>
        <v>G8</v>
      </c>
      <c r="M159" s="756" t="str">
        <f t="shared" si="3"/>
        <v>S</v>
      </c>
      <c r="N159" s="757" t="str">
        <f t="shared" si="4"/>
        <v/>
      </c>
      <c r="O159" s="8">
        <f t="shared" si="5"/>
        <v>45338</v>
      </c>
      <c r="P159" s="9" t="str">
        <f t="shared" ca="1" si="6"/>
        <v>ATRASADO</v>
      </c>
      <c r="Q159" s="9" t="s">
        <v>919</v>
      </c>
      <c r="S159" s="9" t="str">
        <f t="shared" si="7"/>
        <v/>
      </c>
    </row>
    <row r="160" spans="1:19" x14ac:dyDescent="0.3">
      <c r="A160" s="9">
        <v>157</v>
      </c>
      <c r="B160" s="313" t="s">
        <v>111</v>
      </c>
      <c r="C160" s="10" t="s">
        <v>3618</v>
      </c>
      <c r="D160" s="9" t="s">
        <v>3619</v>
      </c>
      <c r="E160" s="295">
        <v>28618</v>
      </c>
      <c r="F160" s="9">
        <f t="shared" ca="1" si="0"/>
        <v>48</v>
      </c>
      <c r="G160" s="979">
        <v>43277</v>
      </c>
      <c r="H160" s="9" t="s">
        <v>271</v>
      </c>
      <c r="I160" s="976">
        <v>44970</v>
      </c>
      <c r="J160" s="1117" t="s">
        <v>735</v>
      </c>
      <c r="K160" s="755" t="str">
        <f t="shared" si="1"/>
        <v>G3</v>
      </c>
      <c r="L160" s="756" t="str">
        <f t="shared" si="2"/>
        <v>O5</v>
      </c>
      <c r="M160" s="756" t="str">
        <f t="shared" si="3"/>
        <v/>
      </c>
      <c r="N160" s="757" t="str">
        <f t="shared" si="4"/>
        <v/>
      </c>
      <c r="O160" s="8">
        <f t="shared" si="5"/>
        <v>45059</v>
      </c>
      <c r="P160" s="9" t="str">
        <f t="shared" ca="1" si="6"/>
        <v>ATRASADO</v>
      </c>
      <c r="Q160" s="9" t="s">
        <v>919</v>
      </c>
      <c r="S160" s="9" t="str">
        <f t="shared" si="7"/>
        <v/>
      </c>
    </row>
    <row r="161" spans="1:19" x14ac:dyDescent="0.3">
      <c r="A161" s="9">
        <v>158</v>
      </c>
      <c r="B161" s="313" t="s">
        <v>111</v>
      </c>
      <c r="C161" s="10" t="s">
        <v>3620</v>
      </c>
      <c r="D161" s="9" t="s">
        <v>3621</v>
      </c>
      <c r="E161" s="295">
        <v>24725</v>
      </c>
      <c r="F161" s="9">
        <f t="shared" ca="1" si="0"/>
        <v>59</v>
      </c>
      <c r="G161" s="979">
        <v>43657</v>
      </c>
      <c r="H161" s="9" t="s">
        <v>271</v>
      </c>
      <c r="I161" s="976">
        <v>44984</v>
      </c>
      <c r="J161" s="1117" t="s">
        <v>8</v>
      </c>
      <c r="K161" s="755" t="str">
        <f t="shared" si="1"/>
        <v>SI</v>
      </c>
      <c r="L161" s="756" t="str">
        <f t="shared" si="2"/>
        <v xml:space="preserve">N </v>
      </c>
      <c r="M161" s="756" t="str">
        <f t="shared" si="3"/>
        <v>RE</v>
      </c>
      <c r="N161" s="757" t="str">
        <f t="shared" si="4"/>
        <v>GI</v>
      </c>
      <c r="O161" s="8">
        <f t="shared" si="5"/>
        <v>46080</v>
      </c>
      <c r="P161" s="9" t="str">
        <f t="shared" ca="1" si="6"/>
        <v>ATRASADO</v>
      </c>
      <c r="Q161" s="9" t="s">
        <v>919</v>
      </c>
      <c r="S161" s="9" t="str">
        <f t="shared" si="7"/>
        <v/>
      </c>
    </row>
    <row r="162" spans="1:19" x14ac:dyDescent="0.3">
      <c r="A162" s="9">
        <v>159</v>
      </c>
      <c r="B162" s="313" t="s">
        <v>111</v>
      </c>
      <c r="C162" s="10" t="s">
        <v>3622</v>
      </c>
      <c r="D162" s="9" t="s">
        <v>3623</v>
      </c>
      <c r="E162" s="295">
        <v>20937</v>
      </c>
      <c r="F162" s="9">
        <f t="shared" ca="1" si="0"/>
        <v>69</v>
      </c>
      <c r="G162" s="979">
        <v>43257</v>
      </c>
      <c r="H162" s="9" t="s">
        <v>8</v>
      </c>
      <c r="I162" s="976">
        <v>44978</v>
      </c>
      <c r="J162" s="1117" t="s">
        <v>8</v>
      </c>
      <c r="K162" s="755" t="str">
        <f t="shared" si="1"/>
        <v>SI</v>
      </c>
      <c r="L162" s="756" t="str">
        <f t="shared" si="2"/>
        <v xml:space="preserve">N </v>
      </c>
      <c r="M162" s="756" t="str">
        <f t="shared" si="3"/>
        <v>RE</v>
      </c>
      <c r="N162" s="757" t="str">
        <f t="shared" si="4"/>
        <v>GI</v>
      </c>
      <c r="O162" s="8">
        <f t="shared" si="5"/>
        <v>46074</v>
      </c>
      <c r="P162" s="9" t="str">
        <f t="shared" ca="1" si="6"/>
        <v>ATRASADO</v>
      </c>
      <c r="Q162" s="9" t="s">
        <v>919</v>
      </c>
      <c r="S162" s="9" t="str">
        <f t="shared" si="7"/>
        <v/>
      </c>
    </row>
    <row r="163" spans="1:19" x14ac:dyDescent="0.3">
      <c r="A163" s="9">
        <v>160</v>
      </c>
      <c r="B163" s="987" t="s">
        <v>111</v>
      </c>
      <c r="C163" s="982" t="s">
        <v>3624</v>
      </c>
      <c r="D163" s="984" t="s">
        <v>3625</v>
      </c>
      <c r="E163" s="985">
        <v>25757</v>
      </c>
      <c r="F163" s="9">
        <f t="shared" ca="1" si="0"/>
        <v>56</v>
      </c>
      <c r="G163" s="986">
        <v>44147</v>
      </c>
      <c r="H163" s="984" t="s">
        <v>275</v>
      </c>
      <c r="I163" s="985">
        <v>44975</v>
      </c>
      <c r="J163" s="583" t="s">
        <v>275</v>
      </c>
      <c r="K163" s="755" t="str">
        <f t="shared" si="1"/>
        <v>I</v>
      </c>
      <c r="L163" s="756" t="str">
        <f t="shared" si="2"/>
        <v>G8</v>
      </c>
      <c r="M163" s="756" t="str">
        <f t="shared" si="3"/>
        <v/>
      </c>
      <c r="N163" s="757" t="str">
        <f t="shared" si="4"/>
        <v/>
      </c>
      <c r="O163" s="8">
        <f t="shared" si="5"/>
        <v>46071</v>
      </c>
      <c r="P163" s="9" t="str">
        <f t="shared" ca="1" si="6"/>
        <v>ATRASADO</v>
      </c>
      <c r="Q163" s="984" t="s">
        <v>1556</v>
      </c>
      <c r="R163" s="981"/>
      <c r="S163" s="9" t="str">
        <f t="shared" si="7"/>
        <v/>
      </c>
    </row>
    <row r="164" spans="1:19" x14ac:dyDescent="0.3">
      <c r="A164" s="9">
        <v>161</v>
      </c>
      <c r="B164" s="987" t="s">
        <v>75</v>
      </c>
      <c r="C164" s="982" t="s">
        <v>3626</v>
      </c>
      <c r="D164" s="984" t="s">
        <v>3627</v>
      </c>
      <c r="E164" s="985">
        <v>29040</v>
      </c>
      <c r="F164" s="9">
        <f t="shared" ca="1" si="0"/>
        <v>47</v>
      </c>
      <c r="G164" s="986">
        <v>44632</v>
      </c>
      <c r="H164" s="984" t="s">
        <v>8</v>
      </c>
      <c r="I164" s="985">
        <v>44964</v>
      </c>
      <c r="J164" s="583" t="s">
        <v>275</v>
      </c>
      <c r="K164" s="755" t="str">
        <f t="shared" si="1"/>
        <v>I</v>
      </c>
      <c r="L164" s="756" t="str">
        <f t="shared" si="2"/>
        <v>G8</v>
      </c>
      <c r="M164" s="756" t="str">
        <f t="shared" si="3"/>
        <v/>
      </c>
      <c r="N164" s="757" t="str">
        <f t="shared" si="4"/>
        <v/>
      </c>
      <c r="O164" s="8">
        <f t="shared" si="5"/>
        <v>46060</v>
      </c>
      <c r="P164" s="9" t="str">
        <f t="shared" ca="1" si="6"/>
        <v>ATRASADO</v>
      </c>
      <c r="Q164" s="984" t="s">
        <v>1556</v>
      </c>
      <c r="R164" s="981"/>
      <c r="S164" s="9" t="str">
        <f t="shared" si="7"/>
        <v/>
      </c>
    </row>
    <row r="165" spans="1:19" x14ac:dyDescent="0.3">
      <c r="A165" s="9">
        <v>162</v>
      </c>
      <c r="B165" s="987" t="s">
        <v>75</v>
      </c>
      <c r="C165" s="982" t="s">
        <v>3628</v>
      </c>
      <c r="D165" s="984" t="s">
        <v>3629</v>
      </c>
      <c r="E165" s="985">
        <v>25984</v>
      </c>
      <c r="F165" s="9">
        <f t="shared" ca="1" si="0"/>
        <v>55</v>
      </c>
      <c r="G165" s="986">
        <v>43185</v>
      </c>
      <c r="H165" s="984" t="s">
        <v>271</v>
      </c>
      <c r="I165" s="985">
        <v>44977</v>
      </c>
      <c r="J165" s="583" t="s">
        <v>275</v>
      </c>
      <c r="K165" s="755" t="str">
        <f t="shared" si="1"/>
        <v>I</v>
      </c>
      <c r="L165" s="756" t="str">
        <f t="shared" si="2"/>
        <v>G8</v>
      </c>
      <c r="M165" s="756" t="str">
        <f t="shared" si="3"/>
        <v/>
      </c>
      <c r="N165" s="757" t="str">
        <f t="shared" si="4"/>
        <v/>
      </c>
      <c r="O165" s="8">
        <f t="shared" si="5"/>
        <v>46073</v>
      </c>
      <c r="P165" s="9" t="str">
        <f t="shared" ca="1" si="6"/>
        <v>ATRASADO</v>
      </c>
      <c r="Q165" s="984" t="s">
        <v>1556</v>
      </c>
      <c r="R165" s="981"/>
      <c r="S165" s="9" t="str">
        <f t="shared" si="7"/>
        <v/>
      </c>
    </row>
    <row r="166" spans="1:19" x14ac:dyDescent="0.3">
      <c r="A166" s="9">
        <v>163</v>
      </c>
      <c r="B166" s="987" t="s">
        <v>111</v>
      </c>
      <c r="C166" s="982" t="s">
        <v>3630</v>
      </c>
      <c r="D166" s="984" t="s">
        <v>3631</v>
      </c>
      <c r="E166" s="985">
        <v>24021</v>
      </c>
      <c r="F166" s="9">
        <f t="shared" ca="1" si="0"/>
        <v>60</v>
      </c>
      <c r="G166" s="986">
        <v>43177</v>
      </c>
      <c r="H166" s="984" t="s">
        <v>8</v>
      </c>
      <c r="I166" s="985">
        <v>44966</v>
      </c>
      <c r="J166" s="583" t="s">
        <v>271</v>
      </c>
      <c r="K166" s="755" t="str">
        <f t="shared" si="1"/>
        <v>I</v>
      </c>
      <c r="L166" s="756" t="str">
        <f t="shared" si="2"/>
        <v>G8</v>
      </c>
      <c r="M166" s="756" t="str">
        <f t="shared" si="3"/>
        <v>J1</v>
      </c>
      <c r="N166" s="757" t="str">
        <f t="shared" si="4"/>
        <v/>
      </c>
      <c r="O166" s="8">
        <f t="shared" si="5"/>
        <v>46062</v>
      </c>
      <c r="P166" s="9" t="str">
        <f t="shared" ca="1" si="6"/>
        <v>ATRASADO</v>
      </c>
      <c r="Q166" s="984" t="s">
        <v>1556</v>
      </c>
      <c r="R166" s="983"/>
      <c r="S166" s="9" t="str">
        <f t="shared" si="7"/>
        <v/>
      </c>
    </row>
    <row r="167" spans="1:19" x14ac:dyDescent="0.3">
      <c r="A167" s="9">
        <v>164</v>
      </c>
      <c r="B167" s="987" t="s">
        <v>111</v>
      </c>
      <c r="C167" s="982" t="s">
        <v>3632</v>
      </c>
      <c r="D167" s="984" t="s">
        <v>3633</v>
      </c>
      <c r="E167" s="985">
        <v>25163</v>
      </c>
      <c r="F167" s="9">
        <f t="shared" ca="1" si="0"/>
        <v>57</v>
      </c>
      <c r="G167" s="986">
        <v>44427</v>
      </c>
      <c r="H167" s="984" t="s">
        <v>327</v>
      </c>
      <c r="I167" s="985">
        <v>44963</v>
      </c>
      <c r="J167" s="583" t="s">
        <v>327</v>
      </c>
      <c r="K167" s="755" t="str">
        <f t="shared" si="1"/>
        <v>I</v>
      </c>
      <c r="L167" s="756" t="str">
        <f t="shared" si="2"/>
        <v>G7</v>
      </c>
      <c r="M167" s="756" t="str">
        <f t="shared" si="3"/>
        <v>S</v>
      </c>
      <c r="N167" s="757" t="str">
        <f t="shared" si="4"/>
        <v/>
      </c>
      <c r="O167" s="8">
        <f t="shared" si="5"/>
        <v>45328</v>
      </c>
      <c r="P167" s="9" t="str">
        <f t="shared" ca="1" si="6"/>
        <v>ATRASADO</v>
      </c>
      <c r="Q167" s="984" t="s">
        <v>1556</v>
      </c>
      <c r="R167" s="981"/>
      <c r="S167" s="9" t="str">
        <f t="shared" si="7"/>
        <v/>
      </c>
    </row>
    <row r="168" spans="1:19" x14ac:dyDescent="0.3">
      <c r="A168" s="9">
        <v>165</v>
      </c>
      <c r="B168" s="993" t="s">
        <v>312</v>
      </c>
      <c r="C168" s="989" t="s">
        <v>3634</v>
      </c>
      <c r="D168" s="991" t="s">
        <v>3635</v>
      </c>
      <c r="E168" s="992">
        <v>32433</v>
      </c>
      <c r="F168" s="9">
        <f t="shared" ca="1" si="0"/>
        <v>37</v>
      </c>
      <c r="G168" s="991" t="s">
        <v>8</v>
      </c>
      <c r="H168" s="991" t="s">
        <v>275</v>
      </c>
      <c r="I168" s="992">
        <v>44970</v>
      </c>
      <c r="J168" s="583" t="s">
        <v>275</v>
      </c>
      <c r="K168" s="755" t="str">
        <f t="shared" si="1"/>
        <v>I</v>
      </c>
      <c r="L168" s="756" t="str">
        <f t="shared" si="2"/>
        <v>G8</v>
      </c>
      <c r="M168" s="756" t="str">
        <f t="shared" si="3"/>
        <v/>
      </c>
      <c r="N168" s="757" t="str">
        <f t="shared" si="4"/>
        <v/>
      </c>
      <c r="O168" s="8">
        <f t="shared" si="5"/>
        <v>46066</v>
      </c>
      <c r="P168" s="9" t="str">
        <f t="shared" ca="1" si="6"/>
        <v>ATRASADO</v>
      </c>
      <c r="Q168" s="991" t="s">
        <v>1556</v>
      </c>
      <c r="R168" s="988"/>
      <c r="S168" s="9" t="str">
        <f t="shared" si="7"/>
        <v/>
      </c>
    </row>
    <row r="169" spans="1:19" x14ac:dyDescent="0.3">
      <c r="A169" s="9">
        <v>166</v>
      </c>
      <c r="B169" s="993" t="s">
        <v>312</v>
      </c>
      <c r="C169" s="989" t="s">
        <v>3636</v>
      </c>
      <c r="D169" s="991" t="s">
        <v>3637</v>
      </c>
      <c r="E169" s="992">
        <v>29779</v>
      </c>
      <c r="F169" s="9">
        <f t="shared" ca="1" si="0"/>
        <v>45</v>
      </c>
      <c r="G169" s="994">
        <v>44439</v>
      </c>
      <c r="H169" s="991" t="s">
        <v>271</v>
      </c>
      <c r="I169" s="992">
        <v>44966</v>
      </c>
      <c r="J169" s="583" t="s">
        <v>275</v>
      </c>
      <c r="K169" s="755" t="str">
        <f t="shared" si="1"/>
        <v>I</v>
      </c>
      <c r="L169" s="756" t="str">
        <f t="shared" si="2"/>
        <v>G8</v>
      </c>
      <c r="M169" s="756" t="str">
        <f t="shared" si="3"/>
        <v/>
      </c>
      <c r="N169" s="757" t="str">
        <f t="shared" si="4"/>
        <v/>
      </c>
      <c r="O169" s="8">
        <f t="shared" si="5"/>
        <v>46062</v>
      </c>
      <c r="P169" s="9" t="str">
        <f t="shared" ca="1" si="6"/>
        <v>ATRASADO</v>
      </c>
      <c r="Q169" s="991" t="s">
        <v>1556</v>
      </c>
      <c r="R169" s="988"/>
      <c r="S169" s="9" t="str">
        <f t="shared" si="7"/>
        <v/>
      </c>
    </row>
    <row r="170" spans="1:19" x14ac:dyDescent="0.3">
      <c r="A170" s="9">
        <v>167</v>
      </c>
      <c r="B170" s="993" t="s">
        <v>312</v>
      </c>
      <c r="C170" s="989" t="s">
        <v>3638</v>
      </c>
      <c r="D170" s="991" t="s">
        <v>3639</v>
      </c>
      <c r="E170" s="992">
        <v>23120</v>
      </c>
      <c r="F170" s="9">
        <f t="shared" ca="1" si="0"/>
        <v>63</v>
      </c>
      <c r="G170" s="994">
        <v>44512</v>
      </c>
      <c r="H170" s="991" t="s">
        <v>275</v>
      </c>
      <c r="I170" s="992">
        <v>44965</v>
      </c>
      <c r="J170" s="583" t="s">
        <v>8</v>
      </c>
      <c r="K170" s="755" t="str">
        <f t="shared" si="1"/>
        <v>SI</v>
      </c>
      <c r="L170" s="756" t="str">
        <f t="shared" si="2"/>
        <v xml:space="preserve">N </v>
      </c>
      <c r="M170" s="756" t="str">
        <f t="shared" si="3"/>
        <v>RE</v>
      </c>
      <c r="N170" s="757" t="str">
        <f t="shared" si="4"/>
        <v>GI</v>
      </c>
      <c r="O170" s="8">
        <f t="shared" si="5"/>
        <v>46061</v>
      </c>
      <c r="P170" s="9" t="str">
        <f t="shared" ca="1" si="6"/>
        <v>ATRASADO</v>
      </c>
      <c r="Q170" s="991" t="s">
        <v>1556</v>
      </c>
      <c r="R170" s="988"/>
      <c r="S170" s="9" t="str">
        <f t="shared" si="7"/>
        <v/>
      </c>
    </row>
    <row r="171" spans="1:19" x14ac:dyDescent="0.3">
      <c r="A171" s="9">
        <v>168</v>
      </c>
      <c r="B171" s="993" t="s">
        <v>312</v>
      </c>
      <c r="C171" s="989" t="s">
        <v>3640</v>
      </c>
      <c r="D171" s="991" t="s">
        <v>3641</v>
      </c>
      <c r="E171" s="992">
        <v>29375</v>
      </c>
      <c r="F171" s="9">
        <f t="shared" ca="1" si="0"/>
        <v>46</v>
      </c>
      <c r="G171" s="994">
        <v>43201</v>
      </c>
      <c r="H171" s="991" t="s">
        <v>271</v>
      </c>
      <c r="I171" s="992">
        <v>44963</v>
      </c>
      <c r="J171" s="583" t="s">
        <v>1661</v>
      </c>
      <c r="K171" s="755" t="str">
        <f t="shared" si="1"/>
        <v>G5</v>
      </c>
      <c r="L171" s="756" t="str">
        <f t="shared" si="2"/>
        <v>O5</v>
      </c>
      <c r="M171" s="756" t="str">
        <f t="shared" si="3"/>
        <v/>
      </c>
      <c r="N171" s="757" t="str">
        <f t="shared" si="4"/>
        <v/>
      </c>
      <c r="O171" s="8">
        <f t="shared" si="5"/>
        <v>45052</v>
      </c>
      <c r="P171" s="9" t="str">
        <f t="shared" ca="1" si="6"/>
        <v>ATRASADO</v>
      </c>
      <c r="Q171" s="991" t="s">
        <v>1556</v>
      </c>
      <c r="R171" s="988"/>
      <c r="S171" s="9" t="str">
        <f t="shared" si="7"/>
        <v/>
      </c>
    </row>
    <row r="172" spans="1:19" x14ac:dyDescent="0.3">
      <c r="A172" s="9">
        <v>169</v>
      </c>
      <c r="B172" s="993" t="s">
        <v>579</v>
      </c>
      <c r="C172" s="989" t="s">
        <v>3642</v>
      </c>
      <c r="D172" s="991" t="s">
        <v>3643</v>
      </c>
      <c r="E172" s="992">
        <v>24047</v>
      </c>
      <c r="F172" s="9">
        <f t="shared" ca="1" si="0"/>
        <v>60</v>
      </c>
      <c r="G172" s="994">
        <v>43550</v>
      </c>
      <c r="H172" s="991" t="s">
        <v>320</v>
      </c>
      <c r="I172" s="992">
        <v>44972</v>
      </c>
      <c r="J172" s="1154" t="s">
        <v>271</v>
      </c>
      <c r="K172" s="755" t="str">
        <f t="shared" si="1"/>
        <v>I</v>
      </c>
      <c r="L172" s="756" t="str">
        <f t="shared" si="2"/>
        <v>G8</v>
      </c>
      <c r="M172" s="756" t="str">
        <f t="shared" si="3"/>
        <v>J1</v>
      </c>
      <c r="N172" s="757" t="str">
        <f t="shared" si="4"/>
        <v/>
      </c>
      <c r="O172" s="8">
        <f t="shared" si="5"/>
        <v>46068</v>
      </c>
      <c r="P172" s="9" t="str">
        <f t="shared" ca="1" si="6"/>
        <v>ATRASADO</v>
      </c>
      <c r="Q172" s="991" t="s">
        <v>1556</v>
      </c>
      <c r="R172" s="988"/>
      <c r="S172" s="9" t="str">
        <f t="shared" si="7"/>
        <v/>
      </c>
    </row>
    <row r="173" spans="1:19" x14ac:dyDescent="0.3">
      <c r="A173" s="9">
        <v>170</v>
      </c>
      <c r="B173" s="993" t="s">
        <v>111</v>
      </c>
      <c r="C173" s="989" t="s">
        <v>3644</v>
      </c>
      <c r="D173" s="991" t="s">
        <v>3645</v>
      </c>
      <c r="E173" s="992">
        <v>32103</v>
      </c>
      <c r="F173" s="9">
        <f t="shared" ca="1" si="0"/>
        <v>38</v>
      </c>
      <c r="G173" s="994">
        <v>43582</v>
      </c>
      <c r="H173" s="991" t="s">
        <v>271</v>
      </c>
      <c r="I173" s="992">
        <v>44958</v>
      </c>
      <c r="J173" s="583" t="s">
        <v>8</v>
      </c>
      <c r="K173" s="755" t="str">
        <f t="shared" si="1"/>
        <v>SI</v>
      </c>
      <c r="L173" s="756" t="str">
        <f t="shared" si="2"/>
        <v xml:space="preserve">N </v>
      </c>
      <c r="M173" s="756" t="str">
        <f t="shared" si="3"/>
        <v>RE</v>
      </c>
      <c r="N173" s="757" t="str">
        <f t="shared" si="4"/>
        <v>GI</v>
      </c>
      <c r="O173" s="8">
        <f t="shared" si="5"/>
        <v>46054</v>
      </c>
      <c r="P173" s="9" t="str">
        <f t="shared" ca="1" si="6"/>
        <v>ATRASADO</v>
      </c>
      <c r="Q173" s="991" t="s">
        <v>1556</v>
      </c>
      <c r="R173" s="990"/>
      <c r="S173" s="9" t="str">
        <f t="shared" si="7"/>
        <v/>
      </c>
    </row>
    <row r="174" spans="1:19" x14ac:dyDescent="0.3">
      <c r="A174" s="9">
        <v>171</v>
      </c>
      <c r="B174" s="993" t="s">
        <v>579</v>
      </c>
      <c r="C174" s="989" t="s">
        <v>3646</v>
      </c>
      <c r="D174" s="991" t="s">
        <v>3647</v>
      </c>
      <c r="E174" s="992">
        <v>27352</v>
      </c>
      <c r="F174" s="9">
        <f t="shared" ca="1" si="0"/>
        <v>51</v>
      </c>
      <c r="G174" s="994">
        <v>43922</v>
      </c>
      <c r="H174" s="991" t="s">
        <v>8</v>
      </c>
      <c r="I174" s="992">
        <v>44984</v>
      </c>
      <c r="J174" s="583" t="s">
        <v>271</v>
      </c>
      <c r="K174" s="755" t="str">
        <f t="shared" si="1"/>
        <v>I</v>
      </c>
      <c r="L174" s="756" t="str">
        <f t="shared" si="2"/>
        <v>G8</v>
      </c>
      <c r="M174" s="756" t="str">
        <f t="shared" si="3"/>
        <v>J1</v>
      </c>
      <c r="N174" s="757" t="str">
        <f t="shared" si="4"/>
        <v/>
      </c>
      <c r="O174" s="8">
        <f t="shared" si="5"/>
        <v>46080</v>
      </c>
      <c r="P174" s="9" t="str">
        <f t="shared" ca="1" si="6"/>
        <v>ATRASADO</v>
      </c>
      <c r="Q174" s="991" t="s">
        <v>1556</v>
      </c>
      <c r="R174" s="990"/>
      <c r="S174" s="9" t="str">
        <f t="shared" si="7"/>
        <v/>
      </c>
    </row>
    <row r="175" spans="1:19" x14ac:dyDescent="0.3">
      <c r="A175" s="9">
        <v>172</v>
      </c>
      <c r="B175" s="993" t="s">
        <v>579</v>
      </c>
      <c r="C175" s="989" t="s">
        <v>3648</v>
      </c>
      <c r="D175" s="991" t="s">
        <v>3649</v>
      </c>
      <c r="E175" s="992">
        <v>21356</v>
      </c>
      <c r="F175" s="9">
        <f t="shared" ca="1" si="0"/>
        <v>68</v>
      </c>
      <c r="G175" s="994">
        <v>44088</v>
      </c>
      <c r="H175" s="991" t="s">
        <v>271</v>
      </c>
      <c r="I175" s="992">
        <v>44974</v>
      </c>
      <c r="J175" s="583" t="s">
        <v>291</v>
      </c>
      <c r="K175" s="755" t="str">
        <f t="shared" si="1"/>
        <v>I</v>
      </c>
      <c r="L175" s="756" t="str">
        <f t="shared" si="2"/>
        <v>G8</v>
      </c>
      <c r="M175" s="756" t="str">
        <f t="shared" si="3"/>
        <v>J5</v>
      </c>
      <c r="N175" s="757" t="str">
        <f t="shared" si="4"/>
        <v/>
      </c>
      <c r="O175" s="8">
        <f t="shared" si="5"/>
        <v>46070</v>
      </c>
      <c r="P175" s="9" t="str">
        <f t="shared" ca="1" si="6"/>
        <v>ATRASADO</v>
      </c>
      <c r="Q175" s="991" t="s">
        <v>1556</v>
      </c>
      <c r="R175" s="988"/>
      <c r="S175" s="9" t="str">
        <f t="shared" si="7"/>
        <v>CANDIDA</v>
      </c>
    </row>
    <row r="176" spans="1:19" x14ac:dyDescent="0.3">
      <c r="A176" s="9">
        <v>173</v>
      </c>
      <c r="B176" s="993" t="s">
        <v>579</v>
      </c>
      <c r="C176" s="989" t="s">
        <v>3650</v>
      </c>
      <c r="D176" s="991" t="s">
        <v>3651</v>
      </c>
      <c r="E176" s="992">
        <v>24982</v>
      </c>
      <c r="F176" s="9">
        <f t="shared" ca="1" si="0"/>
        <v>58</v>
      </c>
      <c r="G176" s="994">
        <v>43162</v>
      </c>
      <c r="H176" s="991" t="s">
        <v>271</v>
      </c>
      <c r="I176" s="992">
        <v>44979</v>
      </c>
      <c r="J176" s="583" t="s">
        <v>275</v>
      </c>
      <c r="K176" s="755" t="str">
        <f t="shared" si="1"/>
        <v>I</v>
      </c>
      <c r="L176" s="756" t="str">
        <f t="shared" si="2"/>
        <v>G8</v>
      </c>
      <c r="M176" s="756" t="str">
        <f t="shared" si="3"/>
        <v/>
      </c>
      <c r="N176" s="757" t="str">
        <f t="shared" si="4"/>
        <v/>
      </c>
      <c r="O176" s="8">
        <f t="shared" si="5"/>
        <v>46075</v>
      </c>
      <c r="P176" s="9" t="str">
        <f t="shared" ca="1" si="6"/>
        <v>ATRASADO</v>
      </c>
      <c r="Q176" s="991" t="s">
        <v>1556</v>
      </c>
      <c r="R176" s="988"/>
      <c r="S176" s="9" t="str">
        <f t="shared" si="7"/>
        <v/>
      </c>
    </row>
    <row r="177" spans="1:19" x14ac:dyDescent="0.3">
      <c r="A177" s="9">
        <v>174</v>
      </c>
      <c r="B177" s="1001" t="s">
        <v>312</v>
      </c>
      <c r="C177" s="996" t="s">
        <v>3652</v>
      </c>
      <c r="D177" s="998" t="s">
        <v>3653</v>
      </c>
      <c r="E177" s="999">
        <v>26854</v>
      </c>
      <c r="F177" s="9">
        <f t="shared" ca="1" si="0"/>
        <v>53</v>
      </c>
      <c r="G177" s="1000">
        <v>44340</v>
      </c>
      <c r="H177" s="998" t="s">
        <v>8</v>
      </c>
      <c r="I177" s="999">
        <v>44981</v>
      </c>
      <c r="J177" s="583" t="s">
        <v>271</v>
      </c>
      <c r="K177" s="755" t="str">
        <f t="shared" si="1"/>
        <v>I</v>
      </c>
      <c r="L177" s="756" t="str">
        <f t="shared" si="2"/>
        <v>G8</v>
      </c>
      <c r="M177" s="756" t="str">
        <f t="shared" si="3"/>
        <v>J1</v>
      </c>
      <c r="N177" s="757" t="str">
        <f t="shared" si="4"/>
        <v/>
      </c>
      <c r="O177" s="8">
        <f t="shared" si="5"/>
        <v>46077</v>
      </c>
      <c r="P177" s="9" t="str">
        <f t="shared" ca="1" si="6"/>
        <v>ATRASADO</v>
      </c>
      <c r="Q177" s="998" t="s">
        <v>1556</v>
      </c>
      <c r="R177" s="995"/>
      <c r="S177" s="9" t="str">
        <f t="shared" si="7"/>
        <v/>
      </c>
    </row>
    <row r="178" spans="1:19" x14ac:dyDescent="0.3">
      <c r="A178" s="9">
        <v>175</v>
      </c>
      <c r="B178" s="1001" t="s">
        <v>312</v>
      </c>
      <c r="C178" s="996" t="s">
        <v>3654</v>
      </c>
      <c r="D178" s="998" t="s">
        <v>3655</v>
      </c>
      <c r="E178" s="999">
        <v>27007</v>
      </c>
      <c r="F178" s="9">
        <f t="shared" ca="1" si="0"/>
        <v>52</v>
      </c>
      <c r="G178" s="1000">
        <v>43503</v>
      </c>
      <c r="H178" s="998" t="s">
        <v>8</v>
      </c>
      <c r="I178" s="999">
        <v>44962</v>
      </c>
      <c r="J178" s="583" t="s">
        <v>8</v>
      </c>
      <c r="K178" s="755" t="str">
        <f t="shared" si="1"/>
        <v>SI</v>
      </c>
      <c r="L178" s="756" t="str">
        <f t="shared" si="2"/>
        <v xml:space="preserve">N </v>
      </c>
      <c r="M178" s="756" t="str">
        <f t="shared" si="3"/>
        <v>RE</v>
      </c>
      <c r="N178" s="757" t="str">
        <f t="shared" si="4"/>
        <v>GI</v>
      </c>
      <c r="O178" s="8">
        <f t="shared" si="5"/>
        <v>46058</v>
      </c>
      <c r="P178" s="9" t="str">
        <f t="shared" ca="1" si="6"/>
        <v>ATRASADO</v>
      </c>
      <c r="Q178" s="998" t="s">
        <v>1556</v>
      </c>
      <c r="R178" s="995"/>
      <c r="S178" s="9" t="str">
        <f t="shared" si="7"/>
        <v/>
      </c>
    </row>
    <row r="179" spans="1:19" x14ac:dyDescent="0.3">
      <c r="A179" s="9">
        <v>176</v>
      </c>
      <c r="B179" s="1001" t="s">
        <v>312</v>
      </c>
      <c r="C179" s="996" t="s">
        <v>3656</v>
      </c>
      <c r="D179" s="998" t="s">
        <v>3657</v>
      </c>
      <c r="E179" s="999">
        <v>21803</v>
      </c>
      <c r="F179" s="9">
        <f t="shared" ca="1" si="0"/>
        <v>67</v>
      </c>
      <c r="G179" s="1000">
        <v>44628</v>
      </c>
      <c r="H179" s="998" t="s">
        <v>275</v>
      </c>
      <c r="I179" s="999">
        <v>44972</v>
      </c>
      <c r="J179" s="583" t="s">
        <v>275</v>
      </c>
      <c r="K179" s="755" t="str">
        <f t="shared" si="1"/>
        <v>I</v>
      </c>
      <c r="L179" s="756" t="str">
        <f t="shared" si="2"/>
        <v>G8</v>
      </c>
      <c r="M179" s="756" t="str">
        <f t="shared" si="3"/>
        <v/>
      </c>
      <c r="N179" s="757" t="str">
        <f t="shared" si="4"/>
        <v/>
      </c>
      <c r="O179" s="8">
        <f t="shared" si="5"/>
        <v>46068</v>
      </c>
      <c r="P179" s="9" t="str">
        <f t="shared" ca="1" si="6"/>
        <v>ATRASADO</v>
      </c>
      <c r="Q179" s="998" t="s">
        <v>1556</v>
      </c>
      <c r="R179" s="995"/>
      <c r="S179" s="9" t="str">
        <f t="shared" si="7"/>
        <v/>
      </c>
    </row>
    <row r="180" spans="1:19" x14ac:dyDescent="0.3">
      <c r="A180" s="9">
        <v>177</v>
      </c>
      <c r="B180" s="1001" t="s">
        <v>312</v>
      </c>
      <c r="C180" s="996" t="s">
        <v>3658</v>
      </c>
      <c r="D180" s="998" t="s">
        <v>3659</v>
      </c>
      <c r="E180" s="999">
        <v>35220</v>
      </c>
      <c r="F180" s="9">
        <f t="shared" ca="1" si="0"/>
        <v>30</v>
      </c>
      <c r="G180" s="1000">
        <v>44355</v>
      </c>
      <c r="H180" s="998" t="s">
        <v>275</v>
      </c>
      <c r="I180" s="999">
        <v>44985</v>
      </c>
      <c r="J180" s="583" t="s">
        <v>275</v>
      </c>
      <c r="K180" s="755" t="str">
        <f t="shared" si="1"/>
        <v>I</v>
      </c>
      <c r="L180" s="756" t="str">
        <f t="shared" si="2"/>
        <v>G8</v>
      </c>
      <c r="M180" s="756" t="str">
        <f t="shared" si="3"/>
        <v/>
      </c>
      <c r="N180" s="757" t="str">
        <f t="shared" si="4"/>
        <v/>
      </c>
      <c r="O180" s="8">
        <f t="shared" si="5"/>
        <v>46081</v>
      </c>
      <c r="P180" s="9" t="str">
        <f t="shared" ca="1" si="6"/>
        <v>ATRASADO</v>
      </c>
      <c r="Q180" s="998" t="s">
        <v>1556</v>
      </c>
      <c r="R180" s="995"/>
      <c r="S180" s="9" t="str">
        <f t="shared" si="7"/>
        <v/>
      </c>
    </row>
    <row r="181" spans="1:19" x14ac:dyDescent="0.3">
      <c r="A181" s="9">
        <v>178</v>
      </c>
      <c r="B181" s="1001" t="s">
        <v>312</v>
      </c>
      <c r="C181" s="996" t="s">
        <v>3660</v>
      </c>
      <c r="D181" s="998" t="s">
        <v>3661</v>
      </c>
      <c r="E181" s="999">
        <v>34534</v>
      </c>
      <c r="F181" s="9">
        <f t="shared" ca="1" si="0"/>
        <v>32</v>
      </c>
      <c r="G181" s="1000">
        <v>44421</v>
      </c>
      <c r="H181" s="998" t="s">
        <v>275</v>
      </c>
      <c r="I181" s="999">
        <v>44960</v>
      </c>
      <c r="J181" s="583" t="s">
        <v>275</v>
      </c>
      <c r="K181" s="755" t="str">
        <f t="shared" si="1"/>
        <v>I</v>
      </c>
      <c r="L181" s="756" t="str">
        <f t="shared" si="2"/>
        <v>G8</v>
      </c>
      <c r="M181" s="756" t="str">
        <f t="shared" si="3"/>
        <v/>
      </c>
      <c r="N181" s="757" t="str">
        <f t="shared" si="4"/>
        <v/>
      </c>
      <c r="O181" s="8">
        <f t="shared" si="5"/>
        <v>46056</v>
      </c>
      <c r="P181" s="9" t="str">
        <f t="shared" ca="1" si="6"/>
        <v>ATRASADO</v>
      </c>
      <c r="Q181" s="998" t="s">
        <v>1556</v>
      </c>
      <c r="R181" s="995"/>
      <c r="S181" s="9" t="str">
        <f t="shared" si="7"/>
        <v/>
      </c>
    </row>
    <row r="182" spans="1:19" x14ac:dyDescent="0.3">
      <c r="A182" s="9">
        <v>179</v>
      </c>
      <c r="B182" s="1001" t="s">
        <v>312</v>
      </c>
      <c r="C182" s="996" t="s">
        <v>3662</v>
      </c>
      <c r="D182" s="998" t="s">
        <v>3663</v>
      </c>
      <c r="E182" s="999">
        <v>30806</v>
      </c>
      <c r="F182" s="9">
        <f t="shared" ca="1" si="0"/>
        <v>42</v>
      </c>
      <c r="G182" s="1000">
        <v>43702</v>
      </c>
      <c r="H182" s="998" t="s">
        <v>320</v>
      </c>
      <c r="I182" s="999">
        <v>44983</v>
      </c>
      <c r="J182" s="583" t="s">
        <v>340</v>
      </c>
      <c r="K182" s="755" t="str">
        <f t="shared" si="1"/>
        <v>I</v>
      </c>
      <c r="L182" s="756" t="str">
        <f t="shared" si="2"/>
        <v>G8</v>
      </c>
      <c r="M182" s="756" t="str">
        <f t="shared" si="3"/>
        <v>S</v>
      </c>
      <c r="N182" s="757" t="str">
        <f t="shared" si="4"/>
        <v/>
      </c>
      <c r="O182" s="8">
        <f t="shared" si="5"/>
        <v>45348</v>
      </c>
      <c r="P182" s="9" t="str">
        <f t="shared" ca="1" si="6"/>
        <v>ATRASADO</v>
      </c>
      <c r="Q182" s="998" t="s">
        <v>1556</v>
      </c>
      <c r="R182" s="995"/>
      <c r="S182" s="9" t="str">
        <f t="shared" si="7"/>
        <v/>
      </c>
    </row>
    <row r="183" spans="1:19" x14ac:dyDescent="0.3">
      <c r="A183" s="9">
        <v>180</v>
      </c>
      <c r="B183" s="1001" t="s">
        <v>312</v>
      </c>
      <c r="C183" s="996" t="s">
        <v>3664</v>
      </c>
      <c r="D183" s="998" t="s">
        <v>3665</v>
      </c>
      <c r="E183" s="999">
        <v>23112</v>
      </c>
      <c r="F183" s="9">
        <f t="shared" ca="1" si="0"/>
        <v>63</v>
      </c>
      <c r="G183" s="998" t="s">
        <v>8</v>
      </c>
      <c r="H183" s="998" t="s">
        <v>271</v>
      </c>
      <c r="I183" s="999">
        <v>44960</v>
      </c>
      <c r="J183" s="583" t="s">
        <v>275</v>
      </c>
      <c r="K183" s="755" t="str">
        <f t="shared" si="1"/>
        <v>I</v>
      </c>
      <c r="L183" s="756" t="str">
        <f t="shared" si="2"/>
        <v>G8</v>
      </c>
      <c r="M183" s="756" t="str">
        <f t="shared" si="3"/>
        <v/>
      </c>
      <c r="N183" s="757" t="str">
        <f t="shared" si="4"/>
        <v/>
      </c>
      <c r="O183" s="8">
        <f t="shared" si="5"/>
        <v>46056</v>
      </c>
      <c r="P183" s="9" t="str">
        <f t="shared" ca="1" si="6"/>
        <v>ATRASADO</v>
      </c>
      <c r="Q183" s="998" t="s">
        <v>1556</v>
      </c>
      <c r="R183" s="995"/>
      <c r="S183" s="9" t="str">
        <f t="shared" si="7"/>
        <v/>
      </c>
    </row>
    <row r="184" spans="1:19" x14ac:dyDescent="0.3">
      <c r="A184" s="9">
        <v>181</v>
      </c>
      <c r="B184" s="1001" t="s">
        <v>579</v>
      </c>
      <c r="C184" s="996" t="s">
        <v>3666</v>
      </c>
      <c r="D184" s="998" t="s">
        <v>3667</v>
      </c>
      <c r="E184" s="999">
        <v>23870</v>
      </c>
      <c r="F184" s="9">
        <f t="shared" ca="1" si="0"/>
        <v>61</v>
      </c>
      <c r="G184" s="1000">
        <v>43939</v>
      </c>
      <c r="H184" s="998" t="s">
        <v>8</v>
      </c>
      <c r="I184" s="999">
        <v>44958</v>
      </c>
      <c r="J184" s="583" t="s">
        <v>275</v>
      </c>
      <c r="K184" s="755" t="str">
        <f t="shared" si="1"/>
        <v>I</v>
      </c>
      <c r="L184" s="756" t="str">
        <f t="shared" si="2"/>
        <v>G8</v>
      </c>
      <c r="M184" s="756" t="str">
        <f t="shared" si="3"/>
        <v/>
      </c>
      <c r="N184" s="757" t="str">
        <f t="shared" si="4"/>
        <v/>
      </c>
      <c r="O184" s="8">
        <f t="shared" si="5"/>
        <v>46054</v>
      </c>
      <c r="P184" s="9" t="str">
        <f t="shared" ca="1" si="6"/>
        <v>ATRASADO</v>
      </c>
      <c r="Q184" s="998" t="s">
        <v>1556</v>
      </c>
      <c r="R184" s="995"/>
      <c r="S184" s="9" t="str">
        <f t="shared" si="7"/>
        <v/>
      </c>
    </row>
    <row r="185" spans="1:19" x14ac:dyDescent="0.3">
      <c r="A185" s="9">
        <v>182</v>
      </c>
      <c r="B185" s="1001" t="s">
        <v>579</v>
      </c>
      <c r="C185" s="996" t="s">
        <v>3668</v>
      </c>
      <c r="D185" s="998" t="s">
        <v>3669</v>
      </c>
      <c r="E185" s="999">
        <v>31470</v>
      </c>
      <c r="F185" s="9">
        <f t="shared" ca="1" si="0"/>
        <v>40</v>
      </c>
      <c r="G185" s="1000">
        <v>43814</v>
      </c>
      <c r="H185" s="998" t="s">
        <v>275</v>
      </c>
      <c r="I185" s="999">
        <v>44960</v>
      </c>
      <c r="J185" s="583" t="s">
        <v>275</v>
      </c>
      <c r="K185" s="755" t="str">
        <f t="shared" si="1"/>
        <v>I</v>
      </c>
      <c r="L185" s="756" t="str">
        <f t="shared" si="2"/>
        <v>G8</v>
      </c>
      <c r="M185" s="756" t="str">
        <f t="shared" si="3"/>
        <v/>
      </c>
      <c r="N185" s="757" t="str">
        <f t="shared" si="4"/>
        <v/>
      </c>
      <c r="O185" s="8">
        <f t="shared" si="5"/>
        <v>46056</v>
      </c>
      <c r="P185" s="9" t="str">
        <f t="shared" ca="1" si="6"/>
        <v>ATRASADO</v>
      </c>
      <c r="Q185" s="998" t="s">
        <v>1556</v>
      </c>
      <c r="R185" s="997" t="s">
        <v>1842</v>
      </c>
      <c r="S185" s="9" t="str">
        <f t="shared" si="7"/>
        <v/>
      </c>
    </row>
    <row r="186" spans="1:19" x14ac:dyDescent="0.3">
      <c r="A186" s="9">
        <v>183</v>
      </c>
      <c r="B186" s="1001" t="s">
        <v>579</v>
      </c>
      <c r="C186" s="996" t="s">
        <v>3670</v>
      </c>
      <c r="D186" s="998" t="s">
        <v>3671</v>
      </c>
      <c r="E186" s="999">
        <v>28271</v>
      </c>
      <c r="F186" s="9">
        <f t="shared" ca="1" si="0"/>
        <v>49</v>
      </c>
      <c r="G186" s="998" t="s">
        <v>8</v>
      </c>
      <c r="H186" s="998" t="s">
        <v>594</v>
      </c>
      <c r="I186" s="999">
        <v>44973</v>
      </c>
      <c r="J186" s="583" t="s">
        <v>271</v>
      </c>
      <c r="K186" s="755" t="str">
        <f t="shared" si="1"/>
        <v>I</v>
      </c>
      <c r="L186" s="756" t="str">
        <f t="shared" si="2"/>
        <v>G8</v>
      </c>
      <c r="M186" s="756" t="str">
        <f t="shared" si="3"/>
        <v>J1</v>
      </c>
      <c r="N186" s="757" t="str">
        <f t="shared" si="4"/>
        <v/>
      </c>
      <c r="O186" s="8">
        <f t="shared" si="5"/>
        <v>46069</v>
      </c>
      <c r="P186" s="9" t="str">
        <f t="shared" ca="1" si="6"/>
        <v>ATRASADO</v>
      </c>
      <c r="Q186" s="998" t="s">
        <v>1556</v>
      </c>
      <c r="R186" s="997"/>
      <c r="S186" s="9" t="str">
        <f t="shared" si="7"/>
        <v/>
      </c>
    </row>
    <row r="187" spans="1:19" x14ac:dyDescent="0.3">
      <c r="A187" s="9">
        <v>184</v>
      </c>
      <c r="B187" s="1001" t="s">
        <v>579</v>
      </c>
      <c r="C187" s="996" t="s">
        <v>3672</v>
      </c>
      <c r="D187" s="998" t="s">
        <v>3673</v>
      </c>
      <c r="E187" s="999">
        <v>33211</v>
      </c>
      <c r="F187" s="9">
        <f t="shared" ca="1" si="0"/>
        <v>35</v>
      </c>
      <c r="G187" s="1000">
        <v>44395</v>
      </c>
      <c r="H187" s="998" t="s">
        <v>271</v>
      </c>
      <c r="I187" s="999">
        <v>44979</v>
      </c>
      <c r="J187" s="583" t="s">
        <v>735</v>
      </c>
      <c r="K187" s="755" t="str">
        <f t="shared" si="1"/>
        <v>G3</v>
      </c>
      <c r="L187" s="756" t="str">
        <f t="shared" si="2"/>
        <v>O5</v>
      </c>
      <c r="M187" s="756" t="str">
        <f t="shared" si="3"/>
        <v/>
      </c>
      <c r="N187" s="757" t="str">
        <f t="shared" si="4"/>
        <v/>
      </c>
      <c r="O187" s="8">
        <f t="shared" si="5"/>
        <v>45068</v>
      </c>
      <c r="P187" s="9" t="str">
        <f t="shared" ca="1" si="6"/>
        <v>ATRASADO</v>
      </c>
      <c r="Q187" s="998" t="s">
        <v>1556</v>
      </c>
      <c r="R187" s="997"/>
      <c r="S187" s="9" t="str">
        <f t="shared" si="7"/>
        <v/>
      </c>
    </row>
    <row r="188" spans="1:19" x14ac:dyDescent="0.3">
      <c r="A188" s="9">
        <v>185</v>
      </c>
      <c r="B188" s="1001" t="s">
        <v>579</v>
      </c>
      <c r="C188" s="996" t="s">
        <v>3674</v>
      </c>
      <c r="D188" s="998" t="s">
        <v>3675</v>
      </c>
      <c r="E188" s="999">
        <v>23370</v>
      </c>
      <c r="F188" s="9">
        <f t="shared" ca="1" si="0"/>
        <v>62</v>
      </c>
      <c r="G188" s="998" t="s">
        <v>8</v>
      </c>
      <c r="H188" s="998" t="s">
        <v>363</v>
      </c>
      <c r="I188" s="999">
        <v>44980</v>
      </c>
      <c r="J188" s="583" t="s">
        <v>275</v>
      </c>
      <c r="K188" s="755" t="str">
        <f t="shared" si="1"/>
        <v>I</v>
      </c>
      <c r="L188" s="756" t="str">
        <f t="shared" si="2"/>
        <v>G8</v>
      </c>
      <c r="M188" s="756" t="str">
        <f t="shared" si="3"/>
        <v/>
      </c>
      <c r="N188" s="757" t="str">
        <f t="shared" si="4"/>
        <v/>
      </c>
      <c r="O188" s="8">
        <f t="shared" si="5"/>
        <v>46076</v>
      </c>
      <c r="P188" s="9" t="str">
        <f t="shared" ca="1" si="6"/>
        <v>ATRASADO</v>
      </c>
      <c r="Q188" s="998" t="s">
        <v>1556</v>
      </c>
      <c r="R188" s="995"/>
      <c r="S188" s="9" t="str">
        <f t="shared" si="7"/>
        <v/>
      </c>
    </row>
    <row r="189" spans="1:19" x14ac:dyDescent="0.3">
      <c r="A189" s="9">
        <v>186</v>
      </c>
      <c r="B189" s="1001" t="s">
        <v>579</v>
      </c>
      <c r="C189" s="996" t="s">
        <v>3676</v>
      </c>
      <c r="D189" s="998" t="s">
        <v>3677</v>
      </c>
      <c r="E189" s="999">
        <v>25534</v>
      </c>
      <c r="F189" s="9">
        <f t="shared" ca="1" si="0"/>
        <v>56</v>
      </c>
      <c r="G189" s="1000">
        <v>43544</v>
      </c>
      <c r="H189" s="998" t="s">
        <v>275</v>
      </c>
      <c r="I189" s="999">
        <v>44984</v>
      </c>
      <c r="J189" s="583" t="s">
        <v>275</v>
      </c>
      <c r="K189" s="755" t="str">
        <f t="shared" si="1"/>
        <v>I</v>
      </c>
      <c r="L189" s="756" t="str">
        <f t="shared" si="2"/>
        <v>G8</v>
      </c>
      <c r="M189" s="756" t="str">
        <f t="shared" si="3"/>
        <v/>
      </c>
      <c r="N189" s="757" t="str">
        <f t="shared" si="4"/>
        <v/>
      </c>
      <c r="O189" s="8">
        <f t="shared" si="5"/>
        <v>46080</v>
      </c>
      <c r="P189" s="9" t="str">
        <f t="shared" ca="1" si="6"/>
        <v>ATRASADO</v>
      </c>
      <c r="Q189" s="998" t="s">
        <v>1556</v>
      </c>
      <c r="R189" s="997"/>
      <c r="S189" s="9" t="str">
        <f t="shared" si="7"/>
        <v/>
      </c>
    </row>
    <row r="190" spans="1:19" x14ac:dyDescent="0.3">
      <c r="A190" s="9">
        <v>187</v>
      </c>
      <c r="B190" s="1001" t="s">
        <v>579</v>
      </c>
      <c r="C190" s="996" t="s">
        <v>3678</v>
      </c>
      <c r="D190" s="998" t="s">
        <v>3679</v>
      </c>
      <c r="E190" s="999">
        <v>33027</v>
      </c>
      <c r="F190" s="9">
        <f t="shared" ca="1" si="0"/>
        <v>36</v>
      </c>
      <c r="G190" s="1000">
        <v>43548</v>
      </c>
      <c r="H190" s="998" t="s">
        <v>275</v>
      </c>
      <c r="I190" s="999">
        <v>44973</v>
      </c>
      <c r="J190" s="1174" t="s">
        <v>275</v>
      </c>
      <c r="K190" s="755" t="str">
        <f t="shared" si="1"/>
        <v>I</v>
      </c>
      <c r="L190" s="756" t="str">
        <f t="shared" si="2"/>
        <v>G8</v>
      </c>
      <c r="M190" s="756" t="str">
        <f t="shared" si="3"/>
        <v/>
      </c>
      <c r="N190" s="757" t="str">
        <f t="shared" si="4"/>
        <v/>
      </c>
      <c r="O190" s="8">
        <f t="shared" si="5"/>
        <v>46069</v>
      </c>
      <c r="P190" s="9" t="str">
        <f t="shared" ca="1" si="6"/>
        <v>ATRASADO</v>
      </c>
      <c r="Q190" s="998" t="s">
        <v>1556</v>
      </c>
      <c r="R190" s="995"/>
      <c r="S190" s="9" t="str">
        <f t="shared" si="7"/>
        <v/>
      </c>
    </row>
    <row r="191" spans="1:19" x14ac:dyDescent="0.3">
      <c r="A191" s="9">
        <v>188</v>
      </c>
      <c r="B191" s="1001" t="s">
        <v>579</v>
      </c>
      <c r="C191" s="996" t="s">
        <v>3680</v>
      </c>
      <c r="D191" s="998" t="s">
        <v>3681</v>
      </c>
      <c r="E191" s="999">
        <v>31756</v>
      </c>
      <c r="F191" s="9">
        <f t="shared" ca="1" si="0"/>
        <v>39</v>
      </c>
      <c r="G191" s="1000">
        <v>43577</v>
      </c>
      <c r="H191" s="998" t="s">
        <v>320</v>
      </c>
      <c r="I191" s="999">
        <v>44984</v>
      </c>
      <c r="J191" s="1174" t="s">
        <v>340</v>
      </c>
      <c r="K191" s="755" t="str">
        <f t="shared" si="1"/>
        <v>I</v>
      </c>
      <c r="L191" s="756" t="str">
        <f t="shared" si="2"/>
        <v>G8</v>
      </c>
      <c r="M191" s="756" t="str">
        <f t="shared" si="3"/>
        <v>S</v>
      </c>
      <c r="N191" s="757" t="str">
        <f t="shared" si="4"/>
        <v/>
      </c>
      <c r="O191" s="8">
        <f t="shared" si="5"/>
        <v>45349</v>
      </c>
      <c r="P191" s="9" t="str">
        <f t="shared" ca="1" si="6"/>
        <v>ATRASADO</v>
      </c>
      <c r="Q191" s="998" t="s">
        <v>1556</v>
      </c>
      <c r="R191" s="995"/>
      <c r="S191" s="9" t="str">
        <f t="shared" si="7"/>
        <v/>
      </c>
    </row>
    <row r="192" spans="1:19" x14ac:dyDescent="0.3">
      <c r="A192" s="9">
        <v>189</v>
      </c>
      <c r="B192" s="1001" t="s">
        <v>579</v>
      </c>
      <c r="C192" s="996" t="s">
        <v>3682</v>
      </c>
      <c r="D192" s="998" t="s">
        <v>3683</v>
      </c>
      <c r="E192" s="999">
        <v>34796</v>
      </c>
      <c r="F192" s="9">
        <f t="shared" ca="1" si="0"/>
        <v>31</v>
      </c>
      <c r="G192" s="1000">
        <v>43485</v>
      </c>
      <c r="H192" s="998" t="s">
        <v>8</v>
      </c>
      <c r="I192" s="999">
        <v>44972</v>
      </c>
      <c r="J192" s="1174" t="s">
        <v>275</v>
      </c>
      <c r="K192" s="755" t="str">
        <f t="shared" si="1"/>
        <v>I</v>
      </c>
      <c r="L192" s="756" t="str">
        <f t="shared" si="2"/>
        <v>G8</v>
      </c>
      <c r="M192" s="756" t="str">
        <f t="shared" si="3"/>
        <v/>
      </c>
      <c r="N192" s="757" t="str">
        <f t="shared" si="4"/>
        <v/>
      </c>
      <c r="O192" s="8">
        <f t="shared" si="5"/>
        <v>46068</v>
      </c>
      <c r="P192" s="9" t="str">
        <f t="shared" ca="1" si="6"/>
        <v>ATRASADO</v>
      </c>
      <c r="Q192" s="998" t="s">
        <v>1556</v>
      </c>
      <c r="R192" s="997"/>
      <c r="S192" s="9" t="str">
        <f t="shared" si="7"/>
        <v/>
      </c>
    </row>
    <row r="193" spans="1:19" x14ac:dyDescent="0.3">
      <c r="A193" s="9">
        <v>190</v>
      </c>
      <c r="B193" s="1009" t="s">
        <v>312</v>
      </c>
      <c r="C193" s="1004" t="s">
        <v>3684</v>
      </c>
      <c r="D193" s="1006" t="s">
        <v>3685</v>
      </c>
      <c r="E193" s="1007">
        <v>21072</v>
      </c>
      <c r="F193" s="9">
        <f t="shared" ca="1" si="0"/>
        <v>69</v>
      </c>
      <c r="G193" s="1008">
        <v>44309</v>
      </c>
      <c r="H193" s="1006" t="s">
        <v>317</v>
      </c>
      <c r="I193" s="1007">
        <v>44980</v>
      </c>
      <c r="J193" s="583" t="s">
        <v>275</v>
      </c>
      <c r="K193" s="755" t="str">
        <f t="shared" si="1"/>
        <v>I</v>
      </c>
      <c r="L193" s="756" t="str">
        <f t="shared" si="2"/>
        <v>G8</v>
      </c>
      <c r="M193" s="756" t="str">
        <f t="shared" si="3"/>
        <v/>
      </c>
      <c r="N193" s="757" t="str">
        <f t="shared" si="4"/>
        <v/>
      </c>
      <c r="O193" s="8">
        <f t="shared" si="5"/>
        <v>46076</v>
      </c>
      <c r="P193" s="9" t="str">
        <f t="shared" ca="1" si="6"/>
        <v>ATRASADO</v>
      </c>
      <c r="Q193" s="1006" t="s">
        <v>1556</v>
      </c>
      <c r="R193" s="1003"/>
      <c r="S193" s="9" t="str">
        <f t="shared" si="7"/>
        <v/>
      </c>
    </row>
    <row r="194" spans="1:19" x14ac:dyDescent="0.3">
      <c r="A194" s="9">
        <v>191</v>
      </c>
      <c r="B194" s="1009" t="s">
        <v>312</v>
      </c>
      <c r="C194" s="1004" t="s">
        <v>3686</v>
      </c>
      <c r="D194" s="1006" t="s">
        <v>3687</v>
      </c>
      <c r="E194" s="1007">
        <v>35909</v>
      </c>
      <c r="F194" s="9">
        <f t="shared" ca="1" si="0"/>
        <v>28</v>
      </c>
      <c r="G194" s="1006" t="s">
        <v>8</v>
      </c>
      <c r="H194" s="1006" t="s">
        <v>3543</v>
      </c>
      <c r="I194" s="1007">
        <v>44961</v>
      </c>
      <c r="J194" s="583" t="s">
        <v>271</v>
      </c>
      <c r="K194" s="755" t="str">
        <f t="shared" si="1"/>
        <v>I</v>
      </c>
      <c r="L194" s="756" t="str">
        <f t="shared" si="2"/>
        <v>G8</v>
      </c>
      <c r="M194" s="756" t="str">
        <f t="shared" si="3"/>
        <v>J1</v>
      </c>
      <c r="N194" s="757" t="str">
        <f t="shared" si="4"/>
        <v/>
      </c>
      <c r="O194" s="8">
        <f t="shared" si="5"/>
        <v>46057</v>
      </c>
      <c r="P194" s="9" t="str">
        <f t="shared" ca="1" si="6"/>
        <v>ATRASADO</v>
      </c>
      <c r="Q194" s="1006" t="s">
        <v>1556</v>
      </c>
      <c r="R194" s="1003"/>
      <c r="S194" s="9" t="str">
        <f t="shared" si="7"/>
        <v/>
      </c>
    </row>
    <row r="195" spans="1:19" x14ac:dyDescent="0.3">
      <c r="A195" s="9">
        <v>192</v>
      </c>
      <c r="B195" s="1009" t="s">
        <v>312</v>
      </c>
      <c r="C195" s="1004" t="s">
        <v>3688</v>
      </c>
      <c r="D195" s="1006" t="s">
        <v>3689</v>
      </c>
      <c r="E195" s="1007">
        <v>23735</v>
      </c>
      <c r="F195" s="9">
        <f t="shared" ca="1" si="0"/>
        <v>61</v>
      </c>
      <c r="G195" s="1008">
        <v>43617</v>
      </c>
      <c r="H195" s="1006" t="s">
        <v>275</v>
      </c>
      <c r="I195" s="1007">
        <v>44964</v>
      </c>
      <c r="J195" s="583" t="s">
        <v>271</v>
      </c>
      <c r="K195" s="755" t="str">
        <f t="shared" si="1"/>
        <v>I</v>
      </c>
      <c r="L195" s="756" t="str">
        <f t="shared" si="2"/>
        <v>G8</v>
      </c>
      <c r="M195" s="756" t="str">
        <f t="shared" si="3"/>
        <v>J1</v>
      </c>
      <c r="N195" s="757" t="str">
        <f t="shared" si="4"/>
        <v/>
      </c>
      <c r="O195" s="8">
        <f t="shared" si="5"/>
        <v>46060</v>
      </c>
      <c r="P195" s="9" t="str">
        <f t="shared" ca="1" si="6"/>
        <v>ATRASADO</v>
      </c>
      <c r="Q195" s="1006" t="s">
        <v>1556</v>
      </c>
      <c r="R195" s="1003"/>
      <c r="S195" s="9" t="str">
        <f t="shared" si="7"/>
        <v/>
      </c>
    </row>
    <row r="196" spans="1:19" x14ac:dyDescent="0.3">
      <c r="A196" s="9">
        <v>193</v>
      </c>
      <c r="B196" s="1009" t="s">
        <v>312</v>
      </c>
      <c r="C196" s="1004" t="s">
        <v>3690</v>
      </c>
      <c r="D196" s="1006" t="s">
        <v>3691</v>
      </c>
      <c r="E196" s="1007">
        <v>25983</v>
      </c>
      <c r="F196" s="9">
        <f t="shared" ca="1" si="0"/>
        <v>55</v>
      </c>
      <c r="G196" s="1008">
        <v>43563</v>
      </c>
      <c r="H196" s="1006" t="s">
        <v>275</v>
      </c>
      <c r="I196" s="1007">
        <v>44968</v>
      </c>
      <c r="J196" s="583" t="s">
        <v>8</v>
      </c>
      <c r="K196" s="755" t="str">
        <f t="shared" si="1"/>
        <v>SI</v>
      </c>
      <c r="L196" s="756" t="str">
        <f t="shared" si="2"/>
        <v xml:space="preserve">N </v>
      </c>
      <c r="M196" s="756" t="str">
        <f t="shared" si="3"/>
        <v>RE</v>
      </c>
      <c r="N196" s="757" t="str">
        <f t="shared" si="4"/>
        <v>GI</v>
      </c>
      <c r="O196" s="8">
        <f t="shared" si="5"/>
        <v>46064</v>
      </c>
      <c r="P196" s="9" t="str">
        <f t="shared" ca="1" si="6"/>
        <v>ATRASADO</v>
      </c>
      <c r="Q196" s="1006" t="s">
        <v>1556</v>
      </c>
      <c r="R196" s="1003"/>
      <c r="S196" s="9" t="str">
        <f t="shared" si="7"/>
        <v/>
      </c>
    </row>
    <row r="197" spans="1:19" x14ac:dyDescent="0.3">
      <c r="A197" s="9">
        <v>194</v>
      </c>
      <c r="B197" s="1009" t="s">
        <v>312</v>
      </c>
      <c r="C197" s="1004" t="s">
        <v>3692</v>
      </c>
      <c r="D197" s="1006" t="s">
        <v>3693</v>
      </c>
      <c r="E197" s="1007">
        <v>25440</v>
      </c>
      <c r="F197" s="9">
        <f t="shared" ca="1" si="0"/>
        <v>57</v>
      </c>
      <c r="G197" s="1008">
        <v>44229</v>
      </c>
      <c r="H197" s="1006" t="s">
        <v>275</v>
      </c>
      <c r="I197" s="1007">
        <v>44979</v>
      </c>
      <c r="J197" s="583" t="s">
        <v>275</v>
      </c>
      <c r="K197" s="755" t="str">
        <f t="shared" si="1"/>
        <v>I</v>
      </c>
      <c r="L197" s="756" t="str">
        <f t="shared" si="2"/>
        <v>G8</v>
      </c>
      <c r="M197" s="756" t="str">
        <f t="shared" si="3"/>
        <v/>
      </c>
      <c r="N197" s="757" t="str">
        <f t="shared" si="4"/>
        <v/>
      </c>
      <c r="O197" s="8">
        <f t="shared" si="5"/>
        <v>46075</v>
      </c>
      <c r="P197" s="9" t="str">
        <f t="shared" ca="1" si="6"/>
        <v>ATRASADO</v>
      </c>
      <c r="Q197" s="1006" t="s">
        <v>1556</v>
      </c>
      <c r="R197" s="1003"/>
      <c r="S197" s="9" t="str">
        <f t="shared" si="7"/>
        <v/>
      </c>
    </row>
    <row r="198" spans="1:19" x14ac:dyDescent="0.3">
      <c r="A198" s="9">
        <v>195</v>
      </c>
      <c r="B198" s="1009" t="s">
        <v>312</v>
      </c>
      <c r="C198" s="1004" t="s">
        <v>3694</v>
      </c>
      <c r="D198" s="1006" t="s">
        <v>3695</v>
      </c>
      <c r="E198" s="1007">
        <v>25549</v>
      </c>
      <c r="F198" s="9">
        <f t="shared" ca="1" si="0"/>
        <v>56</v>
      </c>
      <c r="G198" s="1008">
        <v>43145</v>
      </c>
      <c r="H198" s="1006" t="s">
        <v>275</v>
      </c>
      <c r="I198" s="1007">
        <v>44963</v>
      </c>
      <c r="J198" s="583" t="s">
        <v>8</v>
      </c>
      <c r="K198" s="755" t="str">
        <f t="shared" si="1"/>
        <v>SI</v>
      </c>
      <c r="L198" s="756" t="str">
        <f t="shared" si="2"/>
        <v xml:space="preserve">N </v>
      </c>
      <c r="M198" s="756" t="str">
        <f t="shared" si="3"/>
        <v>RE</v>
      </c>
      <c r="N198" s="757" t="str">
        <f t="shared" si="4"/>
        <v>GI</v>
      </c>
      <c r="O198" s="8">
        <f t="shared" si="5"/>
        <v>46059</v>
      </c>
      <c r="P198" s="9" t="str">
        <f t="shared" ca="1" si="6"/>
        <v>ATRASADO</v>
      </c>
      <c r="Q198" s="1006" t="s">
        <v>1556</v>
      </c>
      <c r="R198" s="1005"/>
      <c r="S198" s="9" t="str">
        <f t="shared" si="7"/>
        <v/>
      </c>
    </row>
    <row r="199" spans="1:19" x14ac:dyDescent="0.3">
      <c r="A199" s="9">
        <v>196</v>
      </c>
      <c r="B199" s="1009" t="s">
        <v>579</v>
      </c>
      <c r="C199" s="1004" t="s">
        <v>3696</v>
      </c>
      <c r="D199" s="1006" t="s">
        <v>3697</v>
      </c>
      <c r="E199" s="1007">
        <v>34414</v>
      </c>
      <c r="F199" s="9">
        <f t="shared" ca="1" si="0"/>
        <v>32</v>
      </c>
      <c r="G199" s="1008">
        <v>43951</v>
      </c>
      <c r="H199" s="1006" t="s">
        <v>8</v>
      </c>
      <c r="I199" s="1007">
        <v>44981</v>
      </c>
      <c r="J199" s="1174" t="s">
        <v>8</v>
      </c>
      <c r="K199" s="755" t="str">
        <f t="shared" si="1"/>
        <v>SI</v>
      </c>
      <c r="L199" s="756" t="str">
        <f t="shared" si="2"/>
        <v xml:space="preserve">N </v>
      </c>
      <c r="M199" s="756" t="str">
        <f t="shared" si="3"/>
        <v>RE</v>
      </c>
      <c r="N199" s="757" t="str">
        <f t="shared" si="4"/>
        <v>GI</v>
      </c>
      <c r="O199" s="8">
        <f t="shared" si="5"/>
        <v>46077</v>
      </c>
      <c r="P199" s="9" t="str">
        <f t="shared" ca="1" si="6"/>
        <v>ATRASADO</v>
      </c>
      <c r="Q199" s="1006" t="s">
        <v>1556</v>
      </c>
      <c r="R199" s="1003"/>
      <c r="S199" s="9" t="str">
        <f t="shared" si="7"/>
        <v/>
      </c>
    </row>
    <row r="200" spans="1:19" x14ac:dyDescent="0.3">
      <c r="A200" s="9">
        <v>197</v>
      </c>
      <c r="B200" s="1009" t="s">
        <v>579</v>
      </c>
      <c r="C200" s="1004" t="s">
        <v>3698</v>
      </c>
      <c r="D200" s="1006" t="s">
        <v>3699</v>
      </c>
      <c r="E200" s="1007">
        <v>23975</v>
      </c>
      <c r="F200" s="9">
        <f t="shared" ca="1" si="0"/>
        <v>61</v>
      </c>
      <c r="G200" s="1008">
        <v>43367</v>
      </c>
      <c r="H200" s="1006" t="s">
        <v>275</v>
      </c>
      <c r="I200" s="1007">
        <v>44985</v>
      </c>
      <c r="J200" s="1174" t="s">
        <v>8</v>
      </c>
      <c r="K200" s="755" t="str">
        <f t="shared" si="1"/>
        <v>SI</v>
      </c>
      <c r="L200" s="756" t="str">
        <f t="shared" si="2"/>
        <v xml:space="preserve">N </v>
      </c>
      <c r="M200" s="756" t="str">
        <f t="shared" si="3"/>
        <v>RE</v>
      </c>
      <c r="N200" s="757" t="str">
        <f t="shared" si="4"/>
        <v>GI</v>
      </c>
      <c r="O200" s="8">
        <f t="shared" si="5"/>
        <v>46081</v>
      </c>
      <c r="P200" s="9" t="str">
        <f t="shared" ca="1" si="6"/>
        <v>ATRASADO</v>
      </c>
      <c r="Q200" s="1006" t="s">
        <v>1556</v>
      </c>
      <c r="R200" s="1003"/>
      <c r="S200" s="9" t="str">
        <f t="shared" si="7"/>
        <v/>
      </c>
    </row>
    <row r="201" spans="1:19" x14ac:dyDescent="0.3">
      <c r="A201" s="9">
        <v>198</v>
      </c>
      <c r="B201" s="1016" t="s">
        <v>312</v>
      </c>
      <c r="C201" s="1011" t="s">
        <v>3700</v>
      </c>
      <c r="D201" s="1013" t="s">
        <v>3701</v>
      </c>
      <c r="E201" s="1014">
        <v>35568</v>
      </c>
      <c r="F201" s="9">
        <f t="shared" ca="1" si="0"/>
        <v>29</v>
      </c>
      <c r="G201" s="1015">
        <v>43569</v>
      </c>
      <c r="H201" s="1013" t="s">
        <v>271</v>
      </c>
      <c r="I201" s="1014">
        <v>44981</v>
      </c>
      <c r="J201" s="1174" t="s">
        <v>271</v>
      </c>
      <c r="K201" s="755" t="str">
        <f t="shared" si="1"/>
        <v>I</v>
      </c>
      <c r="L201" s="756" t="str">
        <f t="shared" si="2"/>
        <v>G8</v>
      </c>
      <c r="M201" s="756" t="str">
        <f t="shared" si="3"/>
        <v>J1</v>
      </c>
      <c r="N201" s="757" t="str">
        <f t="shared" si="4"/>
        <v/>
      </c>
      <c r="O201" s="8">
        <f t="shared" si="5"/>
        <v>46077</v>
      </c>
      <c r="P201" s="9" t="str">
        <f t="shared" ca="1" si="6"/>
        <v>ATRASADO</v>
      </c>
      <c r="Q201" s="1013" t="s">
        <v>1556</v>
      </c>
      <c r="R201" s="1010"/>
      <c r="S201" s="9" t="str">
        <f t="shared" si="7"/>
        <v/>
      </c>
    </row>
    <row r="202" spans="1:19" x14ac:dyDescent="0.3">
      <c r="A202" s="9">
        <v>199</v>
      </c>
      <c r="B202" s="1016" t="s">
        <v>312</v>
      </c>
      <c r="C202" s="1011" t="s">
        <v>3702</v>
      </c>
      <c r="D202" s="1013" t="s">
        <v>3703</v>
      </c>
      <c r="E202" s="1014">
        <v>21137</v>
      </c>
      <c r="F202" s="9">
        <f t="shared" ca="1" si="0"/>
        <v>68</v>
      </c>
      <c r="G202" s="1015">
        <v>43362</v>
      </c>
      <c r="H202" s="1013" t="s">
        <v>275</v>
      </c>
      <c r="I202" s="1014">
        <v>44968</v>
      </c>
      <c r="J202" s="1174" t="s">
        <v>275</v>
      </c>
      <c r="K202" s="755" t="str">
        <f t="shared" si="1"/>
        <v>I</v>
      </c>
      <c r="L202" s="756" t="str">
        <f t="shared" si="2"/>
        <v>G8</v>
      </c>
      <c r="M202" s="756" t="str">
        <f t="shared" si="3"/>
        <v/>
      </c>
      <c r="N202" s="757" t="str">
        <f t="shared" si="4"/>
        <v/>
      </c>
      <c r="O202" s="8">
        <f t="shared" si="5"/>
        <v>46064</v>
      </c>
      <c r="P202" s="9" t="str">
        <f t="shared" ca="1" si="6"/>
        <v>ATRASADO</v>
      </c>
      <c r="Q202" s="1013" t="s">
        <v>1556</v>
      </c>
      <c r="R202" s="1012"/>
      <c r="S202" s="9" t="str">
        <f t="shared" si="7"/>
        <v/>
      </c>
    </row>
    <row r="203" spans="1:19" x14ac:dyDescent="0.3">
      <c r="A203" s="9">
        <v>200</v>
      </c>
      <c r="B203" s="1016" t="s">
        <v>312</v>
      </c>
      <c r="C203" s="1011" t="s">
        <v>3704</v>
      </c>
      <c r="D203" s="1013" t="s">
        <v>3705</v>
      </c>
      <c r="E203" s="1014">
        <v>22940</v>
      </c>
      <c r="F203" s="9">
        <f t="shared" ca="1" si="0"/>
        <v>63</v>
      </c>
      <c r="G203" s="1015">
        <v>43356</v>
      </c>
      <c r="H203" s="1013" t="s">
        <v>271</v>
      </c>
      <c r="I203" s="1014">
        <v>44962</v>
      </c>
      <c r="J203" s="583" t="s">
        <v>271</v>
      </c>
      <c r="K203" s="755" t="str">
        <f t="shared" si="1"/>
        <v>I</v>
      </c>
      <c r="L203" s="756" t="str">
        <f t="shared" si="2"/>
        <v>G8</v>
      </c>
      <c r="M203" s="756" t="str">
        <f t="shared" si="3"/>
        <v>J1</v>
      </c>
      <c r="N203" s="757" t="str">
        <f t="shared" si="4"/>
        <v/>
      </c>
      <c r="O203" s="8">
        <f t="shared" si="5"/>
        <v>46058</v>
      </c>
      <c r="P203" s="9" t="str">
        <f t="shared" ca="1" si="6"/>
        <v>ATRASADO</v>
      </c>
      <c r="Q203" s="1013" t="s">
        <v>1556</v>
      </c>
      <c r="R203" s="1010"/>
      <c r="S203" s="9" t="str">
        <f t="shared" si="7"/>
        <v/>
      </c>
    </row>
    <row r="204" spans="1:19" x14ac:dyDescent="0.3">
      <c r="A204" s="9">
        <v>201</v>
      </c>
      <c r="B204" s="1016" t="s">
        <v>579</v>
      </c>
      <c r="C204" s="1011" t="s">
        <v>3706</v>
      </c>
      <c r="D204" s="1013" t="s">
        <v>3707</v>
      </c>
      <c r="E204" s="1014">
        <v>21492</v>
      </c>
      <c r="F204" s="9">
        <f t="shared" ca="1" si="0"/>
        <v>67</v>
      </c>
      <c r="G204" s="1015">
        <v>44562</v>
      </c>
      <c r="H204" s="1013" t="s">
        <v>271</v>
      </c>
      <c r="I204" s="1014">
        <v>44984</v>
      </c>
      <c r="J204" s="583" t="s">
        <v>271</v>
      </c>
      <c r="K204" s="755" t="str">
        <f t="shared" si="1"/>
        <v>I</v>
      </c>
      <c r="L204" s="756" t="str">
        <f t="shared" si="2"/>
        <v>G8</v>
      </c>
      <c r="M204" s="756" t="str">
        <f t="shared" si="3"/>
        <v>J1</v>
      </c>
      <c r="N204" s="757" t="str">
        <f t="shared" si="4"/>
        <v/>
      </c>
      <c r="O204" s="8">
        <f t="shared" si="5"/>
        <v>46080</v>
      </c>
      <c r="P204" s="9" t="str">
        <f t="shared" ca="1" si="6"/>
        <v>ATRASADO</v>
      </c>
      <c r="Q204" s="1013" t="s">
        <v>1556</v>
      </c>
      <c r="R204" s="1010"/>
      <c r="S204" s="9" t="str">
        <f t="shared" si="7"/>
        <v/>
      </c>
    </row>
    <row r="205" spans="1:19" x14ac:dyDescent="0.3">
      <c r="A205" s="9">
        <v>202</v>
      </c>
      <c r="B205" s="1016" t="s">
        <v>579</v>
      </c>
      <c r="C205" s="1011" t="s">
        <v>3708</v>
      </c>
      <c r="D205" s="1013" t="s">
        <v>3709</v>
      </c>
      <c r="E205" s="1014">
        <v>26991</v>
      </c>
      <c r="F205" s="9">
        <f t="shared" ca="1" si="0"/>
        <v>52</v>
      </c>
      <c r="G205" s="1015">
        <v>44396</v>
      </c>
      <c r="H205" s="1013" t="s">
        <v>8</v>
      </c>
      <c r="I205" s="1014">
        <v>44959</v>
      </c>
      <c r="J205" s="583" t="s">
        <v>275</v>
      </c>
      <c r="K205" s="755" t="str">
        <f t="shared" si="1"/>
        <v>I</v>
      </c>
      <c r="L205" s="756" t="str">
        <f t="shared" si="2"/>
        <v>G8</v>
      </c>
      <c r="M205" s="756" t="str">
        <f t="shared" si="3"/>
        <v/>
      </c>
      <c r="N205" s="757" t="str">
        <f t="shared" si="4"/>
        <v/>
      </c>
      <c r="O205" s="8">
        <f t="shared" si="5"/>
        <v>46055</v>
      </c>
      <c r="P205" s="9" t="str">
        <f t="shared" ca="1" si="6"/>
        <v>ATRASADO</v>
      </c>
      <c r="Q205" s="1013" t="s">
        <v>1556</v>
      </c>
      <c r="R205" s="1010"/>
      <c r="S205" s="9" t="str">
        <f t="shared" si="7"/>
        <v/>
      </c>
    </row>
    <row r="206" spans="1:19" x14ac:dyDescent="0.3">
      <c r="A206" s="9">
        <v>203</v>
      </c>
      <c r="B206" s="1016" t="s">
        <v>579</v>
      </c>
      <c r="C206" s="1011" t="s">
        <v>3710</v>
      </c>
      <c r="D206" s="1013" t="s">
        <v>3711</v>
      </c>
      <c r="E206" s="1014">
        <v>34653</v>
      </c>
      <c r="F206" s="9">
        <f t="shared" ca="1" si="0"/>
        <v>31</v>
      </c>
      <c r="G206" s="1013" t="s">
        <v>8</v>
      </c>
      <c r="H206" s="1013" t="s">
        <v>275</v>
      </c>
      <c r="I206" s="1014">
        <v>44969</v>
      </c>
      <c r="J206" s="583" t="s">
        <v>275</v>
      </c>
      <c r="K206" s="755" t="str">
        <f t="shared" si="1"/>
        <v>I</v>
      </c>
      <c r="L206" s="756" t="str">
        <f t="shared" si="2"/>
        <v>G8</v>
      </c>
      <c r="M206" s="756" t="str">
        <f t="shared" si="3"/>
        <v/>
      </c>
      <c r="N206" s="757" t="str">
        <f t="shared" si="4"/>
        <v/>
      </c>
      <c r="O206" s="8">
        <f t="shared" si="5"/>
        <v>46065</v>
      </c>
      <c r="P206" s="9" t="str">
        <f t="shared" ca="1" si="6"/>
        <v>ATRASADO</v>
      </c>
      <c r="Q206" s="1013" t="s">
        <v>1556</v>
      </c>
      <c r="R206" s="1010"/>
      <c r="S206" s="9" t="str">
        <f t="shared" si="7"/>
        <v/>
      </c>
    </row>
    <row r="207" spans="1:19" x14ac:dyDescent="0.3">
      <c r="A207" s="9">
        <v>204</v>
      </c>
      <c r="B207" s="1016" t="s">
        <v>579</v>
      </c>
      <c r="C207" s="1011" t="s">
        <v>3712</v>
      </c>
      <c r="D207" s="1013" t="s">
        <v>3713</v>
      </c>
      <c r="E207" s="1014">
        <v>30032</v>
      </c>
      <c r="F207" s="9">
        <f t="shared" ca="1" si="0"/>
        <v>44</v>
      </c>
      <c r="G207" s="1015">
        <v>44138</v>
      </c>
      <c r="H207" s="1013" t="s">
        <v>317</v>
      </c>
      <c r="I207" s="1014">
        <v>44965</v>
      </c>
      <c r="J207" s="583" t="s">
        <v>320</v>
      </c>
      <c r="K207" s="755" t="str">
        <f t="shared" si="1"/>
        <v>I</v>
      </c>
      <c r="L207" s="756" t="str">
        <f t="shared" si="2"/>
        <v>G8</v>
      </c>
      <c r="M207" s="756" t="str">
        <f t="shared" si="3"/>
        <v>J1</v>
      </c>
      <c r="N207" s="757" t="str">
        <f t="shared" si="4"/>
        <v>S</v>
      </c>
      <c r="O207" s="8">
        <f t="shared" si="5"/>
        <v>45330</v>
      </c>
      <c r="P207" s="9" t="str">
        <f t="shared" ca="1" si="6"/>
        <v>ATRASADO</v>
      </c>
      <c r="Q207" s="1013" t="s">
        <v>1556</v>
      </c>
      <c r="R207" s="1010"/>
      <c r="S207" s="9" t="str">
        <f t="shared" si="7"/>
        <v/>
      </c>
    </row>
    <row r="208" spans="1:19" x14ac:dyDescent="0.3">
      <c r="A208" s="9">
        <v>205</v>
      </c>
      <c r="B208" s="1022" t="s">
        <v>312</v>
      </c>
      <c r="C208" s="1018" t="s">
        <v>3714</v>
      </c>
      <c r="D208" s="1020" t="s">
        <v>3715</v>
      </c>
      <c r="E208" s="1021">
        <v>32661</v>
      </c>
      <c r="F208" s="9">
        <f t="shared" ca="1" si="0"/>
        <v>37</v>
      </c>
      <c r="G208" s="1020" t="s">
        <v>8</v>
      </c>
      <c r="H208" s="1020" t="s">
        <v>275</v>
      </c>
      <c r="I208" s="1021">
        <v>44985</v>
      </c>
      <c r="J208" s="583" t="s">
        <v>275</v>
      </c>
      <c r="K208" s="755" t="str">
        <f t="shared" si="1"/>
        <v>I</v>
      </c>
      <c r="L208" s="756" t="str">
        <f t="shared" si="2"/>
        <v>G8</v>
      </c>
      <c r="M208" s="756" t="str">
        <f t="shared" si="3"/>
        <v/>
      </c>
      <c r="N208" s="757" t="str">
        <f t="shared" si="4"/>
        <v/>
      </c>
      <c r="O208" s="8">
        <f t="shared" si="5"/>
        <v>46081</v>
      </c>
      <c r="P208" s="9" t="str">
        <f t="shared" ca="1" si="6"/>
        <v>ATRASADO</v>
      </c>
      <c r="Q208" s="1020" t="s">
        <v>1556</v>
      </c>
      <c r="R208" s="1019"/>
      <c r="S208" s="9" t="str">
        <f t="shared" si="7"/>
        <v/>
      </c>
    </row>
    <row r="209" spans="1:19" x14ac:dyDescent="0.3">
      <c r="A209" s="9">
        <v>206</v>
      </c>
      <c r="B209" s="1022" t="s">
        <v>312</v>
      </c>
      <c r="C209" s="1018" t="s">
        <v>3716</v>
      </c>
      <c r="D209" s="1020" t="s">
        <v>3717</v>
      </c>
      <c r="E209" s="1021">
        <v>35105</v>
      </c>
      <c r="F209" s="9">
        <f t="shared" ca="1" si="0"/>
        <v>30</v>
      </c>
      <c r="G209" s="1023">
        <v>43764</v>
      </c>
      <c r="H209" s="1020" t="s">
        <v>271</v>
      </c>
      <c r="I209" s="1021">
        <v>44984</v>
      </c>
      <c r="J209" s="583" t="s">
        <v>271</v>
      </c>
      <c r="K209" s="755" t="str">
        <f t="shared" si="1"/>
        <v>I</v>
      </c>
      <c r="L209" s="756" t="str">
        <f t="shared" si="2"/>
        <v>G8</v>
      </c>
      <c r="M209" s="756" t="str">
        <f t="shared" si="3"/>
        <v>J1</v>
      </c>
      <c r="N209" s="757" t="str">
        <f t="shared" si="4"/>
        <v/>
      </c>
      <c r="O209" s="8">
        <f t="shared" si="5"/>
        <v>46080</v>
      </c>
      <c r="P209" s="9" t="str">
        <f t="shared" ca="1" si="6"/>
        <v>ATRASADO</v>
      </c>
      <c r="Q209" s="1020" t="s">
        <v>1556</v>
      </c>
      <c r="R209" s="1017"/>
      <c r="S209" s="9" t="str">
        <f t="shared" si="7"/>
        <v/>
      </c>
    </row>
    <row r="210" spans="1:19" x14ac:dyDescent="0.3">
      <c r="A210" s="9">
        <v>207</v>
      </c>
      <c r="B210" s="1022" t="s">
        <v>312</v>
      </c>
      <c r="C210" s="1018" t="s">
        <v>3718</v>
      </c>
      <c r="D210" s="1020" t="s">
        <v>3719</v>
      </c>
      <c r="E210" s="1021">
        <v>32303</v>
      </c>
      <c r="F210" s="9">
        <f t="shared" ca="1" si="0"/>
        <v>38</v>
      </c>
      <c r="G210" s="1023">
        <v>44436</v>
      </c>
      <c r="H210" s="1020" t="s">
        <v>340</v>
      </c>
      <c r="I210" s="1021">
        <v>44972</v>
      </c>
      <c r="J210" s="583" t="s">
        <v>275</v>
      </c>
      <c r="K210" s="755" t="str">
        <f t="shared" si="1"/>
        <v>I</v>
      </c>
      <c r="L210" s="756" t="str">
        <f t="shared" si="2"/>
        <v>G8</v>
      </c>
      <c r="M210" s="756" t="str">
        <f t="shared" si="3"/>
        <v/>
      </c>
      <c r="N210" s="757" t="str">
        <f t="shared" si="4"/>
        <v/>
      </c>
      <c r="O210" s="8">
        <f t="shared" si="5"/>
        <v>46068</v>
      </c>
      <c r="P210" s="9" t="str">
        <f t="shared" ca="1" si="6"/>
        <v>ATRASADO</v>
      </c>
      <c r="Q210" s="1020" t="s">
        <v>1556</v>
      </c>
      <c r="R210" s="1019"/>
      <c r="S210" s="9" t="str">
        <f t="shared" si="7"/>
        <v/>
      </c>
    </row>
    <row r="211" spans="1:19" x14ac:dyDescent="0.3">
      <c r="A211" s="9">
        <v>208</v>
      </c>
      <c r="B211" s="1022" t="s">
        <v>312</v>
      </c>
      <c r="C211" s="1018" t="s">
        <v>3720</v>
      </c>
      <c r="D211" s="1020" t="s">
        <v>3721</v>
      </c>
      <c r="E211" s="1021">
        <v>31823</v>
      </c>
      <c r="F211" s="9">
        <f t="shared" ca="1" si="0"/>
        <v>39</v>
      </c>
      <c r="G211" s="1020" t="s">
        <v>8</v>
      </c>
      <c r="H211" s="1020" t="s">
        <v>275</v>
      </c>
      <c r="I211" s="1021">
        <v>44968</v>
      </c>
      <c r="J211" s="583" t="s">
        <v>275</v>
      </c>
      <c r="K211" s="755" t="str">
        <f t="shared" si="1"/>
        <v>I</v>
      </c>
      <c r="L211" s="756" t="str">
        <f t="shared" si="2"/>
        <v>G8</v>
      </c>
      <c r="M211" s="756" t="str">
        <f t="shared" si="3"/>
        <v/>
      </c>
      <c r="N211" s="757" t="str">
        <f t="shared" si="4"/>
        <v/>
      </c>
      <c r="O211" s="8">
        <f t="shared" si="5"/>
        <v>46064</v>
      </c>
      <c r="P211" s="9" t="str">
        <f t="shared" ca="1" si="6"/>
        <v>ATRASADO</v>
      </c>
      <c r="Q211" s="1020" t="s">
        <v>1556</v>
      </c>
      <c r="R211" s="1017"/>
      <c r="S211" s="9" t="str">
        <f t="shared" si="7"/>
        <v/>
      </c>
    </row>
    <row r="212" spans="1:19" x14ac:dyDescent="0.3">
      <c r="A212" s="9">
        <v>209</v>
      </c>
      <c r="B212" s="1022" t="s">
        <v>312</v>
      </c>
      <c r="C212" s="1018" t="s">
        <v>3722</v>
      </c>
      <c r="D212" s="1020" t="s">
        <v>3723</v>
      </c>
      <c r="E212" s="1021">
        <v>32280</v>
      </c>
      <c r="F212" s="9">
        <f t="shared" ca="1" si="0"/>
        <v>38</v>
      </c>
      <c r="G212" s="1020" t="s">
        <v>8</v>
      </c>
      <c r="H212" s="1020" t="s">
        <v>291</v>
      </c>
      <c r="I212" s="1021">
        <v>44967</v>
      </c>
      <c r="J212" s="583" t="s">
        <v>271</v>
      </c>
      <c r="K212" s="755" t="str">
        <f t="shared" si="1"/>
        <v>I</v>
      </c>
      <c r="L212" s="756" t="str">
        <f t="shared" si="2"/>
        <v>G8</v>
      </c>
      <c r="M212" s="756" t="str">
        <f t="shared" si="3"/>
        <v>J1</v>
      </c>
      <c r="N212" s="757" t="str">
        <f t="shared" si="4"/>
        <v/>
      </c>
      <c r="O212" s="8">
        <f t="shared" si="5"/>
        <v>46063</v>
      </c>
      <c r="P212" s="9" t="str">
        <f t="shared" ca="1" si="6"/>
        <v>ATRASADO</v>
      </c>
      <c r="Q212" s="1020" t="s">
        <v>1556</v>
      </c>
      <c r="R212" s="1017"/>
      <c r="S212" s="9" t="str">
        <f t="shared" si="7"/>
        <v/>
      </c>
    </row>
    <row r="213" spans="1:19" x14ac:dyDescent="0.3">
      <c r="A213" s="9">
        <v>210</v>
      </c>
      <c r="B213" s="1022" t="s">
        <v>312</v>
      </c>
      <c r="C213" s="1018" t="s">
        <v>3724</v>
      </c>
      <c r="D213" s="1020" t="s">
        <v>3725</v>
      </c>
      <c r="E213" s="1021">
        <v>26756</v>
      </c>
      <c r="F213" s="9">
        <f t="shared" ca="1" si="0"/>
        <v>53</v>
      </c>
      <c r="G213" s="1020" t="s">
        <v>8</v>
      </c>
      <c r="H213" s="1020" t="s">
        <v>271</v>
      </c>
      <c r="I213" s="1021">
        <v>44967</v>
      </c>
      <c r="J213" s="583" t="s">
        <v>275</v>
      </c>
      <c r="K213" s="755" t="str">
        <f t="shared" si="1"/>
        <v>I</v>
      </c>
      <c r="L213" s="756" t="str">
        <f t="shared" si="2"/>
        <v>G8</v>
      </c>
      <c r="M213" s="756" t="str">
        <f t="shared" si="3"/>
        <v/>
      </c>
      <c r="N213" s="757" t="str">
        <f t="shared" si="4"/>
        <v/>
      </c>
      <c r="O213" s="8">
        <f t="shared" si="5"/>
        <v>46063</v>
      </c>
      <c r="P213" s="9" t="str">
        <f t="shared" ca="1" si="6"/>
        <v>ATRASADO</v>
      </c>
      <c r="Q213" s="1020" t="s">
        <v>1556</v>
      </c>
      <c r="R213" s="1017"/>
      <c r="S213" s="9" t="str">
        <f t="shared" si="7"/>
        <v/>
      </c>
    </row>
    <row r="214" spans="1:19" x14ac:dyDescent="0.3">
      <c r="A214" s="9">
        <v>211</v>
      </c>
      <c r="B214" s="1022" t="s">
        <v>312</v>
      </c>
      <c r="C214" s="1018" t="s">
        <v>3726</v>
      </c>
      <c r="D214" s="1020" t="s">
        <v>3727</v>
      </c>
      <c r="E214" s="1021">
        <v>26344</v>
      </c>
      <c r="F214" s="9">
        <f t="shared" ca="1" si="0"/>
        <v>54</v>
      </c>
      <c r="G214" s="1023">
        <v>44592</v>
      </c>
      <c r="H214" s="1020" t="s">
        <v>271</v>
      </c>
      <c r="I214" s="1021">
        <v>44981</v>
      </c>
      <c r="J214" s="583" t="s">
        <v>340</v>
      </c>
      <c r="K214" s="755" t="str">
        <f t="shared" si="1"/>
        <v>I</v>
      </c>
      <c r="L214" s="756" t="str">
        <f t="shared" si="2"/>
        <v>G8</v>
      </c>
      <c r="M214" s="756" t="str">
        <f t="shared" si="3"/>
        <v>S</v>
      </c>
      <c r="N214" s="757" t="str">
        <f t="shared" si="4"/>
        <v/>
      </c>
      <c r="O214" s="8">
        <f t="shared" si="5"/>
        <v>45346</v>
      </c>
      <c r="P214" s="9" t="str">
        <f t="shared" ca="1" si="6"/>
        <v>ATRASADO</v>
      </c>
      <c r="Q214" s="1020" t="s">
        <v>1556</v>
      </c>
      <c r="R214" s="1017"/>
      <c r="S214" s="9" t="str">
        <f t="shared" si="7"/>
        <v/>
      </c>
    </row>
    <row r="215" spans="1:19" x14ac:dyDescent="0.3">
      <c r="A215" s="9">
        <v>212</v>
      </c>
      <c r="B215" s="1022" t="s">
        <v>579</v>
      </c>
      <c r="C215" s="1018" t="s">
        <v>3728</v>
      </c>
      <c r="D215" s="1020" t="s">
        <v>3729</v>
      </c>
      <c r="E215" s="1021">
        <v>24936</v>
      </c>
      <c r="F215" s="9">
        <f t="shared" ca="1" si="0"/>
        <v>58</v>
      </c>
      <c r="G215" s="1023">
        <v>44503</v>
      </c>
      <c r="H215" s="1020" t="s">
        <v>275</v>
      </c>
      <c r="I215" s="1021">
        <v>44958</v>
      </c>
      <c r="J215" s="583" t="s">
        <v>271</v>
      </c>
      <c r="K215" s="755" t="str">
        <f t="shared" si="1"/>
        <v>I</v>
      </c>
      <c r="L215" s="756" t="str">
        <f t="shared" si="2"/>
        <v>G8</v>
      </c>
      <c r="M215" s="756" t="str">
        <f t="shared" si="3"/>
        <v>J1</v>
      </c>
      <c r="N215" s="757" t="str">
        <f t="shared" si="4"/>
        <v/>
      </c>
      <c r="O215" s="8">
        <f t="shared" si="5"/>
        <v>46054</v>
      </c>
      <c r="P215" s="9" t="str">
        <f t="shared" ca="1" si="6"/>
        <v>ATRASADO</v>
      </c>
      <c r="Q215" s="1020" t="s">
        <v>1556</v>
      </c>
      <c r="R215" s="1017"/>
      <c r="S215" s="9" t="str">
        <f t="shared" si="7"/>
        <v/>
      </c>
    </row>
    <row r="216" spans="1:19" x14ac:dyDescent="0.3">
      <c r="A216" s="9">
        <v>213</v>
      </c>
      <c r="B216" s="1022" t="s">
        <v>579</v>
      </c>
      <c r="C216" s="1018" t="s">
        <v>3730</v>
      </c>
      <c r="D216" s="1020" t="s">
        <v>3731</v>
      </c>
      <c r="E216" s="1021">
        <v>22366</v>
      </c>
      <c r="F216" s="9">
        <f t="shared" ca="1" si="0"/>
        <v>65</v>
      </c>
      <c r="G216" s="1020" t="s">
        <v>8</v>
      </c>
      <c r="H216" s="1020" t="s">
        <v>271</v>
      </c>
      <c r="I216" s="1021">
        <v>44959</v>
      </c>
      <c r="J216" s="583" t="s">
        <v>363</v>
      </c>
      <c r="K216" s="755" t="str">
        <f t="shared" si="1"/>
        <v>I</v>
      </c>
      <c r="L216" s="756" t="str">
        <f t="shared" si="2"/>
        <v>G8</v>
      </c>
      <c r="M216" s="756" t="str">
        <f t="shared" si="3"/>
        <v>J2</v>
      </c>
      <c r="N216" s="757" t="str">
        <f t="shared" si="4"/>
        <v/>
      </c>
      <c r="O216" s="8">
        <f t="shared" si="5"/>
        <v>46055</v>
      </c>
      <c r="P216" s="9" t="str">
        <f t="shared" ca="1" si="6"/>
        <v>ATRASADO</v>
      </c>
      <c r="Q216" s="1020" t="s">
        <v>1556</v>
      </c>
      <c r="R216" s="1019"/>
      <c r="S216" s="9" t="str">
        <f t="shared" si="7"/>
        <v>TRICOMONAS</v>
      </c>
    </row>
    <row r="217" spans="1:19" x14ac:dyDescent="0.3">
      <c r="A217" s="9">
        <v>214</v>
      </c>
      <c r="B217" s="1022" t="s">
        <v>579</v>
      </c>
      <c r="C217" s="1018" t="s">
        <v>3732</v>
      </c>
      <c r="D217" s="1020" t="s">
        <v>3733</v>
      </c>
      <c r="E217" s="1021">
        <v>30303</v>
      </c>
      <c r="F217" s="9">
        <f t="shared" ca="1" si="0"/>
        <v>43</v>
      </c>
      <c r="G217" s="1023">
        <v>43245</v>
      </c>
      <c r="H217" s="1020" t="s">
        <v>275</v>
      </c>
      <c r="I217" s="1021">
        <v>44983</v>
      </c>
      <c r="J217" s="583" t="s">
        <v>8</v>
      </c>
      <c r="K217" s="755" t="str">
        <f t="shared" si="1"/>
        <v>SI</v>
      </c>
      <c r="L217" s="756" t="str">
        <f t="shared" si="2"/>
        <v xml:space="preserve">N </v>
      </c>
      <c r="M217" s="756" t="str">
        <f t="shared" si="3"/>
        <v>RE</v>
      </c>
      <c r="N217" s="757" t="str">
        <f t="shared" si="4"/>
        <v>GI</v>
      </c>
      <c r="O217" s="8">
        <f t="shared" si="5"/>
        <v>46079</v>
      </c>
      <c r="P217" s="9" t="str">
        <f t="shared" ca="1" si="6"/>
        <v>ATRASADO</v>
      </c>
      <c r="Q217" s="1020" t="s">
        <v>1556</v>
      </c>
      <c r="R217" s="1019"/>
      <c r="S217" s="9" t="str">
        <f t="shared" si="7"/>
        <v/>
      </c>
    </row>
    <row r="218" spans="1:19" x14ac:dyDescent="0.3">
      <c r="A218" s="9">
        <v>215</v>
      </c>
      <c r="B218" s="1030" t="s">
        <v>312</v>
      </c>
      <c r="C218" s="1025" t="s">
        <v>3734</v>
      </c>
      <c r="D218" s="1027" t="s">
        <v>3735</v>
      </c>
      <c r="E218" s="1028">
        <v>33700</v>
      </c>
      <c r="F218" s="9">
        <f t="shared" ca="1" si="0"/>
        <v>34</v>
      </c>
      <c r="G218" s="1029">
        <v>44060</v>
      </c>
      <c r="H218" s="1027" t="s">
        <v>340</v>
      </c>
      <c r="I218" s="1028">
        <v>44981</v>
      </c>
      <c r="J218" s="1174" t="s">
        <v>275</v>
      </c>
      <c r="K218" s="755" t="str">
        <f t="shared" si="1"/>
        <v>I</v>
      </c>
      <c r="L218" s="756" t="str">
        <f t="shared" si="2"/>
        <v>G8</v>
      </c>
      <c r="M218" s="756" t="str">
        <f t="shared" si="3"/>
        <v/>
      </c>
      <c r="N218" s="757" t="str">
        <f t="shared" si="4"/>
        <v/>
      </c>
      <c r="O218" s="8">
        <f t="shared" si="5"/>
        <v>46077</v>
      </c>
      <c r="P218" s="9" t="str">
        <f t="shared" ca="1" si="6"/>
        <v>ATRASADO</v>
      </c>
      <c r="Q218" s="1027" t="s">
        <v>1556</v>
      </c>
      <c r="R218" s="1026"/>
      <c r="S218" s="9" t="str">
        <f t="shared" si="7"/>
        <v/>
      </c>
    </row>
    <row r="219" spans="1:19" x14ac:dyDescent="0.3">
      <c r="A219" s="9">
        <v>216</v>
      </c>
      <c r="B219" s="1030" t="s">
        <v>579</v>
      </c>
      <c r="C219" s="1025" t="s">
        <v>3736</v>
      </c>
      <c r="D219" s="1027" t="s">
        <v>3737</v>
      </c>
      <c r="E219" s="1028">
        <v>27410</v>
      </c>
      <c r="F219" s="9">
        <f t="shared" ca="1" si="0"/>
        <v>51</v>
      </c>
      <c r="G219" s="1029">
        <v>43831</v>
      </c>
      <c r="H219" s="1027" t="s">
        <v>271</v>
      </c>
      <c r="I219" s="1028">
        <v>44959</v>
      </c>
      <c r="J219" s="1175" t="s">
        <v>275</v>
      </c>
      <c r="K219" s="755" t="str">
        <f t="shared" si="1"/>
        <v>I</v>
      </c>
      <c r="L219" s="756" t="str">
        <f t="shared" si="2"/>
        <v>G8</v>
      </c>
      <c r="M219" s="756" t="str">
        <f t="shared" si="3"/>
        <v/>
      </c>
      <c r="N219" s="757" t="str">
        <f t="shared" si="4"/>
        <v/>
      </c>
      <c r="O219" s="8">
        <f t="shared" si="5"/>
        <v>46055</v>
      </c>
      <c r="P219" s="9" t="str">
        <f t="shared" ca="1" si="6"/>
        <v>ATRASADO</v>
      </c>
      <c r="Q219" s="1027" t="s">
        <v>1556</v>
      </c>
      <c r="R219" s="1024"/>
      <c r="S219" s="9" t="str">
        <f t="shared" si="7"/>
        <v/>
      </c>
    </row>
    <row r="220" spans="1:19" x14ac:dyDescent="0.3">
      <c r="A220" s="9">
        <v>217</v>
      </c>
      <c r="B220" s="1030" t="s">
        <v>579</v>
      </c>
      <c r="C220" s="1025" t="s">
        <v>3738</v>
      </c>
      <c r="D220" s="1027" t="s">
        <v>3739</v>
      </c>
      <c r="E220" s="1028">
        <v>24155</v>
      </c>
      <c r="F220" s="9">
        <f t="shared" ca="1" si="0"/>
        <v>60</v>
      </c>
      <c r="G220" s="1029">
        <v>43962</v>
      </c>
      <c r="H220" s="1027" t="s">
        <v>275</v>
      </c>
      <c r="I220" s="1028">
        <v>44984</v>
      </c>
      <c r="J220" s="583" t="s">
        <v>8</v>
      </c>
      <c r="K220" s="755" t="str">
        <f t="shared" si="1"/>
        <v>SI</v>
      </c>
      <c r="L220" s="756" t="str">
        <f t="shared" si="2"/>
        <v xml:space="preserve">N </v>
      </c>
      <c r="M220" s="756" t="str">
        <f t="shared" si="3"/>
        <v>RE</v>
      </c>
      <c r="N220" s="757" t="str">
        <f t="shared" si="4"/>
        <v>GI</v>
      </c>
      <c r="O220" s="8">
        <f t="shared" si="5"/>
        <v>46080</v>
      </c>
      <c r="P220" s="9" t="str">
        <f t="shared" ca="1" si="6"/>
        <v>ATRASADO</v>
      </c>
      <c r="Q220" s="1027" t="s">
        <v>1556</v>
      </c>
      <c r="R220" s="1024"/>
      <c r="S220" s="9" t="str">
        <f t="shared" si="7"/>
        <v/>
      </c>
    </row>
    <row r="221" spans="1:19" x14ac:dyDescent="0.3">
      <c r="A221" s="9">
        <v>218</v>
      </c>
      <c r="B221" s="1030" t="s">
        <v>579</v>
      </c>
      <c r="C221" s="1025" t="s">
        <v>3740</v>
      </c>
      <c r="D221" s="1027" t="s">
        <v>3741</v>
      </c>
      <c r="E221" s="1028">
        <v>35820</v>
      </c>
      <c r="F221" s="9">
        <f t="shared" ca="1" si="0"/>
        <v>28</v>
      </c>
      <c r="G221" s="1029">
        <v>43984</v>
      </c>
      <c r="H221" s="1027" t="s">
        <v>275</v>
      </c>
      <c r="I221" s="1028">
        <v>44965</v>
      </c>
      <c r="J221" s="583" t="s">
        <v>8</v>
      </c>
      <c r="K221" s="755" t="str">
        <f t="shared" si="1"/>
        <v>SI</v>
      </c>
      <c r="L221" s="756" t="str">
        <f t="shared" si="2"/>
        <v xml:space="preserve">N </v>
      </c>
      <c r="M221" s="756" t="str">
        <f t="shared" si="3"/>
        <v>RE</v>
      </c>
      <c r="N221" s="757" t="str">
        <f t="shared" si="4"/>
        <v>GI</v>
      </c>
      <c r="O221" s="8">
        <f t="shared" si="5"/>
        <v>46061</v>
      </c>
      <c r="P221" s="9" t="str">
        <f t="shared" ca="1" si="6"/>
        <v>ATRASADO</v>
      </c>
      <c r="Q221" s="1027" t="s">
        <v>1556</v>
      </c>
      <c r="R221" s="1024"/>
      <c r="S221" s="9" t="str">
        <f t="shared" si="7"/>
        <v/>
      </c>
    </row>
    <row r="222" spans="1:19" x14ac:dyDescent="0.3">
      <c r="A222" s="9">
        <v>219</v>
      </c>
      <c r="B222" s="1030" t="s">
        <v>579</v>
      </c>
      <c r="C222" s="1025" t="s">
        <v>3742</v>
      </c>
      <c r="D222" s="1027" t="s">
        <v>3743</v>
      </c>
      <c r="E222" s="1028">
        <v>25515</v>
      </c>
      <c r="F222" s="9">
        <f t="shared" ca="1" si="0"/>
        <v>56</v>
      </c>
      <c r="G222" s="1027" t="s">
        <v>8</v>
      </c>
      <c r="H222" s="1027" t="s">
        <v>327</v>
      </c>
      <c r="I222" s="1028">
        <v>44970</v>
      </c>
      <c r="J222" s="583" t="s">
        <v>275</v>
      </c>
      <c r="K222" s="755" t="str">
        <f t="shared" si="1"/>
        <v>I</v>
      </c>
      <c r="L222" s="756" t="str">
        <f t="shared" si="2"/>
        <v>G8</v>
      </c>
      <c r="M222" s="756" t="str">
        <f t="shared" si="3"/>
        <v/>
      </c>
      <c r="N222" s="757" t="str">
        <f t="shared" si="4"/>
        <v/>
      </c>
      <c r="O222" s="8">
        <f t="shared" si="5"/>
        <v>46066</v>
      </c>
      <c r="P222" s="9" t="str">
        <f t="shared" ca="1" si="6"/>
        <v>ATRASADO</v>
      </c>
      <c r="Q222" s="1027" t="s">
        <v>1556</v>
      </c>
      <c r="R222" s="1024"/>
      <c r="S222" s="9" t="str">
        <f t="shared" si="7"/>
        <v/>
      </c>
    </row>
    <row r="223" spans="1:19" x14ac:dyDescent="0.3">
      <c r="A223" s="9">
        <v>220</v>
      </c>
      <c r="B223" s="1030" t="s">
        <v>579</v>
      </c>
      <c r="C223" s="1025" t="s">
        <v>3744</v>
      </c>
      <c r="D223" s="1027" t="s">
        <v>3745</v>
      </c>
      <c r="E223" s="1028">
        <v>27989</v>
      </c>
      <c r="F223" s="9">
        <f t="shared" ca="1" si="0"/>
        <v>50</v>
      </c>
      <c r="G223" s="1029">
        <v>43910</v>
      </c>
      <c r="H223" s="1027" t="s">
        <v>8</v>
      </c>
      <c r="I223" s="1028">
        <v>44973</v>
      </c>
      <c r="J223" s="583" t="s">
        <v>291</v>
      </c>
      <c r="K223" s="755" t="str">
        <f t="shared" si="1"/>
        <v>I</v>
      </c>
      <c r="L223" s="756" t="str">
        <f t="shared" si="2"/>
        <v>G8</v>
      </c>
      <c r="M223" s="756" t="str">
        <f t="shared" si="3"/>
        <v>J5</v>
      </c>
      <c r="N223" s="757" t="str">
        <f t="shared" si="4"/>
        <v/>
      </c>
      <c r="O223" s="8">
        <f t="shared" si="5"/>
        <v>46069</v>
      </c>
      <c r="P223" s="9" t="str">
        <f t="shared" ca="1" si="6"/>
        <v>ATRASADO</v>
      </c>
      <c r="Q223" s="1027" t="s">
        <v>1556</v>
      </c>
      <c r="R223" s="1024"/>
      <c r="S223" s="9" t="str">
        <f t="shared" si="7"/>
        <v>CANDIDA</v>
      </c>
    </row>
    <row r="224" spans="1:19" x14ac:dyDescent="0.3">
      <c r="A224" s="9">
        <v>221</v>
      </c>
      <c r="B224" s="1030" t="s">
        <v>579</v>
      </c>
      <c r="C224" s="1025" t="s">
        <v>3746</v>
      </c>
      <c r="D224" s="1027" t="s">
        <v>3747</v>
      </c>
      <c r="E224" s="1028">
        <v>29231</v>
      </c>
      <c r="F224" s="9">
        <f t="shared" ca="1" si="0"/>
        <v>46</v>
      </c>
      <c r="G224" s="1029">
        <v>43983</v>
      </c>
      <c r="H224" s="1027" t="s">
        <v>1606</v>
      </c>
      <c r="I224" s="1028">
        <v>44965</v>
      </c>
      <c r="J224" s="583" t="s">
        <v>271</v>
      </c>
      <c r="K224" s="755" t="str">
        <f t="shared" si="1"/>
        <v>I</v>
      </c>
      <c r="L224" s="756" t="str">
        <f t="shared" si="2"/>
        <v>G8</v>
      </c>
      <c r="M224" s="756" t="str">
        <f t="shared" si="3"/>
        <v>J1</v>
      </c>
      <c r="N224" s="757" t="str">
        <f t="shared" si="4"/>
        <v/>
      </c>
      <c r="O224" s="8">
        <f t="shared" si="5"/>
        <v>46061</v>
      </c>
      <c r="P224" s="9" t="str">
        <f t="shared" ca="1" si="6"/>
        <v>ATRASADO</v>
      </c>
      <c r="Q224" s="1027" t="s">
        <v>1556</v>
      </c>
      <c r="R224" s="1024"/>
      <c r="S224" s="9" t="str">
        <f t="shared" si="7"/>
        <v/>
      </c>
    </row>
    <row r="225" spans="1:19" x14ac:dyDescent="0.3">
      <c r="A225" s="9">
        <v>222</v>
      </c>
      <c r="B225" s="1037" t="s">
        <v>312</v>
      </c>
      <c r="C225" s="1032" t="s">
        <v>3748</v>
      </c>
      <c r="D225" s="1034" t="s">
        <v>3749</v>
      </c>
      <c r="E225" s="1035">
        <v>30871</v>
      </c>
      <c r="F225" s="9">
        <f t="shared" ca="1" si="0"/>
        <v>42</v>
      </c>
      <c r="G225" s="1036">
        <v>43439</v>
      </c>
      <c r="H225" s="1034" t="s">
        <v>271</v>
      </c>
      <c r="I225" s="1035">
        <v>44972</v>
      </c>
      <c r="J225" s="583" t="s">
        <v>275</v>
      </c>
      <c r="K225" s="755" t="str">
        <f t="shared" si="1"/>
        <v>I</v>
      </c>
      <c r="L225" s="756" t="str">
        <f t="shared" si="2"/>
        <v>G8</v>
      </c>
      <c r="M225" s="756" t="str">
        <f t="shared" si="3"/>
        <v/>
      </c>
      <c r="N225" s="757" t="str">
        <f t="shared" si="4"/>
        <v/>
      </c>
      <c r="O225" s="8">
        <f t="shared" si="5"/>
        <v>46068</v>
      </c>
      <c r="P225" s="9" t="str">
        <f t="shared" ca="1" si="6"/>
        <v>ATRASADO</v>
      </c>
      <c r="Q225" s="1034" t="s">
        <v>1556</v>
      </c>
      <c r="R225" s="1031"/>
      <c r="S225" s="9" t="str">
        <f t="shared" si="7"/>
        <v/>
      </c>
    </row>
    <row r="226" spans="1:19" x14ac:dyDescent="0.3">
      <c r="A226" s="9">
        <v>223</v>
      </c>
      <c r="B226" s="1037" t="s">
        <v>312</v>
      </c>
      <c r="C226" s="1032" t="s">
        <v>3750</v>
      </c>
      <c r="D226" s="1034" t="s">
        <v>3751</v>
      </c>
      <c r="E226" s="1035">
        <v>30500</v>
      </c>
      <c r="F226" s="9">
        <f t="shared" ca="1" si="0"/>
        <v>43</v>
      </c>
      <c r="G226" s="1036">
        <v>44166</v>
      </c>
      <c r="H226" s="1034" t="s">
        <v>275</v>
      </c>
      <c r="I226" s="1035">
        <v>44980</v>
      </c>
      <c r="J226" s="1175" t="s">
        <v>271</v>
      </c>
      <c r="K226" s="755" t="str">
        <f t="shared" si="1"/>
        <v>I</v>
      </c>
      <c r="L226" s="756" t="str">
        <f t="shared" si="2"/>
        <v>G8</v>
      </c>
      <c r="M226" s="756" t="str">
        <f t="shared" si="3"/>
        <v>J1</v>
      </c>
      <c r="N226" s="757" t="str">
        <f t="shared" si="4"/>
        <v/>
      </c>
      <c r="O226" s="8">
        <f t="shared" si="5"/>
        <v>46076</v>
      </c>
      <c r="P226" s="9" t="str">
        <f t="shared" ca="1" si="6"/>
        <v>ATRASADO</v>
      </c>
      <c r="Q226" s="1034" t="s">
        <v>1556</v>
      </c>
      <c r="R226" s="1033"/>
      <c r="S226" s="9" t="str">
        <f t="shared" si="7"/>
        <v/>
      </c>
    </row>
    <row r="227" spans="1:19" x14ac:dyDescent="0.3">
      <c r="A227" s="9">
        <v>224</v>
      </c>
      <c r="B227" s="1037" t="s">
        <v>312</v>
      </c>
      <c r="C227" s="1032" t="s">
        <v>3752</v>
      </c>
      <c r="D227" s="1034" t="s">
        <v>3753</v>
      </c>
      <c r="E227" s="1035">
        <v>31779</v>
      </c>
      <c r="F227" s="9">
        <f t="shared" ca="1" si="0"/>
        <v>39</v>
      </c>
      <c r="G227" s="1034" t="s">
        <v>8</v>
      </c>
      <c r="H227" s="1034" t="s">
        <v>271</v>
      </c>
      <c r="I227" s="1035">
        <v>44977</v>
      </c>
      <c r="J227" s="583" t="s">
        <v>275</v>
      </c>
      <c r="K227" s="755" t="str">
        <f t="shared" si="1"/>
        <v>I</v>
      </c>
      <c r="L227" s="756" t="str">
        <f t="shared" si="2"/>
        <v>G8</v>
      </c>
      <c r="M227" s="756" t="str">
        <f t="shared" si="3"/>
        <v/>
      </c>
      <c r="N227" s="757" t="str">
        <f t="shared" si="4"/>
        <v/>
      </c>
      <c r="O227" s="8">
        <f t="shared" si="5"/>
        <v>46073</v>
      </c>
      <c r="P227" s="9" t="str">
        <f t="shared" ca="1" si="6"/>
        <v>ATRASADO</v>
      </c>
      <c r="Q227" s="1034" t="s">
        <v>1556</v>
      </c>
      <c r="R227" s="1033"/>
      <c r="S227" s="9" t="str">
        <f t="shared" si="7"/>
        <v/>
      </c>
    </row>
    <row r="228" spans="1:19" x14ac:dyDescent="0.3">
      <c r="A228" s="9">
        <v>225</v>
      </c>
      <c r="B228" s="1037" t="s">
        <v>579</v>
      </c>
      <c r="C228" s="1032" t="s">
        <v>3754</v>
      </c>
      <c r="D228" s="1034" t="s">
        <v>3755</v>
      </c>
      <c r="E228" s="1035">
        <v>20692</v>
      </c>
      <c r="F228" s="9">
        <f t="shared" ca="1" si="0"/>
        <v>70</v>
      </c>
      <c r="G228" s="1036">
        <v>44557</v>
      </c>
      <c r="H228" s="1034" t="s">
        <v>275</v>
      </c>
      <c r="I228" s="1035">
        <v>44985</v>
      </c>
      <c r="J228" s="583" t="s">
        <v>275</v>
      </c>
      <c r="K228" s="755" t="str">
        <f t="shared" si="1"/>
        <v>I</v>
      </c>
      <c r="L228" s="756" t="str">
        <f t="shared" si="2"/>
        <v>G8</v>
      </c>
      <c r="M228" s="756" t="str">
        <f t="shared" si="3"/>
        <v/>
      </c>
      <c r="N228" s="757" t="str">
        <f t="shared" si="4"/>
        <v/>
      </c>
      <c r="O228" s="8">
        <f t="shared" si="5"/>
        <v>46081</v>
      </c>
      <c r="P228" s="9" t="str">
        <f t="shared" ca="1" si="6"/>
        <v>ATRASADO</v>
      </c>
      <c r="Q228" s="1034" t="s">
        <v>1556</v>
      </c>
      <c r="R228" s="1031"/>
      <c r="S228" s="9" t="str">
        <f t="shared" si="7"/>
        <v/>
      </c>
    </row>
    <row r="229" spans="1:19" x14ac:dyDescent="0.3">
      <c r="A229" s="9">
        <v>226</v>
      </c>
      <c r="B229" s="1037" t="s">
        <v>579</v>
      </c>
      <c r="C229" s="1032" t="s">
        <v>3756</v>
      </c>
      <c r="D229" s="1034" t="s">
        <v>3757</v>
      </c>
      <c r="E229" s="1035">
        <v>28425</v>
      </c>
      <c r="F229" s="9">
        <f t="shared" ca="1" si="0"/>
        <v>48</v>
      </c>
      <c r="G229" s="1036">
        <v>43518</v>
      </c>
      <c r="H229" s="1034" t="s">
        <v>271</v>
      </c>
      <c r="I229" s="1035">
        <v>44965</v>
      </c>
      <c r="J229" s="583" t="s">
        <v>271</v>
      </c>
      <c r="K229" s="755" t="str">
        <f t="shared" si="1"/>
        <v>I</v>
      </c>
      <c r="L229" s="756" t="str">
        <f t="shared" si="2"/>
        <v>G8</v>
      </c>
      <c r="M229" s="756" t="str">
        <f t="shared" si="3"/>
        <v>J1</v>
      </c>
      <c r="N229" s="757" t="str">
        <f t="shared" si="4"/>
        <v/>
      </c>
      <c r="O229" s="8">
        <f t="shared" si="5"/>
        <v>46061</v>
      </c>
      <c r="P229" s="9" t="str">
        <f t="shared" ca="1" si="6"/>
        <v>ATRASADO</v>
      </c>
      <c r="Q229" s="1034" t="s">
        <v>1556</v>
      </c>
      <c r="R229" s="1031"/>
      <c r="S229" s="9" t="str">
        <f t="shared" si="7"/>
        <v/>
      </c>
    </row>
    <row r="230" spans="1:19" x14ac:dyDescent="0.3">
      <c r="A230" s="9">
        <v>227</v>
      </c>
      <c r="B230" s="1037" t="s">
        <v>579</v>
      </c>
      <c r="C230" s="1032" t="s">
        <v>3758</v>
      </c>
      <c r="D230" s="1034" t="s">
        <v>3759</v>
      </c>
      <c r="E230" s="1035">
        <v>30560</v>
      </c>
      <c r="F230" s="9">
        <f t="shared" ca="1" si="0"/>
        <v>43</v>
      </c>
      <c r="G230" s="1034" t="s">
        <v>40</v>
      </c>
      <c r="H230" s="1034" t="s">
        <v>271</v>
      </c>
      <c r="I230" s="1035">
        <v>44975</v>
      </c>
      <c r="J230" s="1175" t="s">
        <v>275</v>
      </c>
      <c r="K230" s="755" t="str">
        <f t="shared" si="1"/>
        <v>I</v>
      </c>
      <c r="L230" s="756" t="str">
        <f t="shared" si="2"/>
        <v>G8</v>
      </c>
      <c r="M230" s="756" t="str">
        <f t="shared" si="3"/>
        <v/>
      </c>
      <c r="N230" s="757" t="str">
        <f t="shared" si="4"/>
        <v/>
      </c>
      <c r="O230" s="8">
        <f t="shared" si="5"/>
        <v>46071</v>
      </c>
      <c r="P230" s="9" t="str">
        <f t="shared" ca="1" si="6"/>
        <v>ATRASADO</v>
      </c>
      <c r="Q230" s="1034" t="s">
        <v>1556</v>
      </c>
      <c r="R230" s="1031"/>
      <c r="S230" s="9" t="str">
        <f t="shared" si="7"/>
        <v/>
      </c>
    </row>
    <row r="231" spans="1:19" x14ac:dyDescent="0.3">
      <c r="A231" s="9">
        <v>228</v>
      </c>
      <c r="B231" s="1037" t="s">
        <v>579</v>
      </c>
      <c r="C231" s="1032" t="s">
        <v>3760</v>
      </c>
      <c r="D231" s="1034" t="s">
        <v>3761</v>
      </c>
      <c r="E231" s="1035">
        <v>29116</v>
      </c>
      <c r="F231" s="9">
        <f t="shared" ca="1" si="0"/>
        <v>47</v>
      </c>
      <c r="G231" s="1034" t="s">
        <v>8</v>
      </c>
      <c r="H231" s="1034" t="s">
        <v>275</v>
      </c>
      <c r="I231" s="1035">
        <v>44981</v>
      </c>
      <c r="J231" s="583" t="s">
        <v>8</v>
      </c>
      <c r="K231" s="755" t="str">
        <f t="shared" si="1"/>
        <v>SI</v>
      </c>
      <c r="L231" s="756" t="str">
        <f t="shared" si="2"/>
        <v xml:space="preserve">N </v>
      </c>
      <c r="M231" s="756" t="str">
        <f t="shared" si="3"/>
        <v>RE</v>
      </c>
      <c r="N231" s="757" t="str">
        <f t="shared" si="4"/>
        <v>GI</v>
      </c>
      <c r="O231" s="8">
        <f t="shared" si="5"/>
        <v>46077</v>
      </c>
      <c r="P231" s="9" t="str">
        <f t="shared" ca="1" si="6"/>
        <v>ATRASADO</v>
      </c>
      <c r="Q231" s="1034" t="s">
        <v>1556</v>
      </c>
      <c r="R231" s="1031"/>
      <c r="S231" s="9" t="str">
        <f t="shared" si="7"/>
        <v/>
      </c>
    </row>
    <row r="232" spans="1:19" x14ac:dyDescent="0.3">
      <c r="A232" s="9">
        <v>229</v>
      </c>
      <c r="B232" s="1043" t="s">
        <v>312</v>
      </c>
      <c r="C232" s="1039" t="s">
        <v>3762</v>
      </c>
      <c r="D232" s="1041" t="s">
        <v>3763</v>
      </c>
      <c r="E232" s="1042">
        <v>28073</v>
      </c>
      <c r="F232" s="9">
        <f t="shared" ca="1" si="0"/>
        <v>49</v>
      </c>
      <c r="G232" s="1041" t="s">
        <v>8</v>
      </c>
      <c r="H232" s="1041" t="s">
        <v>271</v>
      </c>
      <c r="I232" s="1042">
        <v>44978</v>
      </c>
      <c r="J232" s="583" t="s">
        <v>271</v>
      </c>
      <c r="K232" s="755" t="str">
        <f t="shared" si="1"/>
        <v>I</v>
      </c>
      <c r="L232" s="756" t="str">
        <f t="shared" si="2"/>
        <v>G8</v>
      </c>
      <c r="M232" s="756" t="str">
        <f t="shared" si="3"/>
        <v>J1</v>
      </c>
      <c r="N232" s="757" t="str">
        <f t="shared" si="4"/>
        <v/>
      </c>
      <c r="O232" s="8">
        <f t="shared" si="5"/>
        <v>46074</v>
      </c>
      <c r="P232" s="9" t="str">
        <f t="shared" ca="1" si="6"/>
        <v>ATRASADO</v>
      </c>
      <c r="Q232" s="1041" t="s">
        <v>1556</v>
      </c>
      <c r="R232" s="1038"/>
      <c r="S232" s="9" t="str">
        <f t="shared" si="7"/>
        <v/>
      </c>
    </row>
    <row r="233" spans="1:19" x14ac:dyDescent="0.3">
      <c r="A233" s="9">
        <v>230</v>
      </c>
      <c r="B233" s="1043" t="s">
        <v>312</v>
      </c>
      <c r="C233" s="1039" t="s">
        <v>3764</v>
      </c>
      <c r="D233" s="1041" t="s">
        <v>3765</v>
      </c>
      <c r="E233" s="1042">
        <v>33122</v>
      </c>
      <c r="F233" s="9">
        <f t="shared" ca="1" si="0"/>
        <v>36</v>
      </c>
      <c r="G233" s="1041" t="s">
        <v>8</v>
      </c>
      <c r="H233" s="1041" t="s">
        <v>275</v>
      </c>
      <c r="I233" s="1042">
        <v>44983</v>
      </c>
      <c r="J233" s="583" t="s">
        <v>320</v>
      </c>
      <c r="K233" s="755" t="str">
        <f t="shared" si="1"/>
        <v>I</v>
      </c>
      <c r="L233" s="756" t="str">
        <f t="shared" si="2"/>
        <v>G8</v>
      </c>
      <c r="M233" s="756" t="str">
        <f t="shared" si="3"/>
        <v>J1</v>
      </c>
      <c r="N233" s="757" t="str">
        <f t="shared" si="4"/>
        <v>S</v>
      </c>
      <c r="O233" s="8">
        <f t="shared" si="5"/>
        <v>45348</v>
      </c>
      <c r="P233" s="9" t="str">
        <f t="shared" ca="1" si="6"/>
        <v>ATRASADO</v>
      </c>
      <c r="Q233" s="1041" t="s">
        <v>1556</v>
      </c>
      <c r="R233" s="1038"/>
      <c r="S233" s="9" t="str">
        <f t="shared" si="7"/>
        <v/>
      </c>
    </row>
    <row r="234" spans="1:19" x14ac:dyDescent="0.3">
      <c r="A234" s="9">
        <v>231</v>
      </c>
      <c r="B234" s="1043" t="s">
        <v>312</v>
      </c>
      <c r="C234" s="1039" t="s">
        <v>3766</v>
      </c>
      <c r="D234" s="1041" t="s">
        <v>3767</v>
      </c>
      <c r="E234" s="1042">
        <v>25700</v>
      </c>
      <c r="F234" s="9">
        <f t="shared" ca="1" si="0"/>
        <v>56</v>
      </c>
      <c r="G234" s="1044">
        <v>44392</v>
      </c>
      <c r="H234" s="1041" t="s">
        <v>271</v>
      </c>
      <c r="I234" s="1042">
        <v>44972</v>
      </c>
      <c r="J234" s="583" t="s">
        <v>8</v>
      </c>
      <c r="K234" s="755" t="str">
        <f t="shared" si="1"/>
        <v>SI</v>
      </c>
      <c r="L234" s="756" t="str">
        <f t="shared" si="2"/>
        <v xml:space="preserve">N </v>
      </c>
      <c r="M234" s="756" t="str">
        <f t="shared" si="3"/>
        <v>RE</v>
      </c>
      <c r="N234" s="757" t="str">
        <f t="shared" si="4"/>
        <v>GI</v>
      </c>
      <c r="O234" s="8">
        <f t="shared" si="5"/>
        <v>46068</v>
      </c>
      <c r="P234" s="9" t="str">
        <f t="shared" ca="1" si="6"/>
        <v>ATRASADO</v>
      </c>
      <c r="Q234" s="1041" t="s">
        <v>1556</v>
      </c>
      <c r="R234" s="1038"/>
      <c r="S234" s="9" t="str">
        <f t="shared" si="7"/>
        <v/>
      </c>
    </row>
    <row r="235" spans="1:19" x14ac:dyDescent="0.3">
      <c r="A235" s="9">
        <v>232</v>
      </c>
      <c r="B235" s="1043" t="s">
        <v>312</v>
      </c>
      <c r="C235" s="1039" t="s">
        <v>3768</v>
      </c>
      <c r="D235" s="1041" t="s">
        <v>3769</v>
      </c>
      <c r="E235" s="1042">
        <v>27092</v>
      </c>
      <c r="F235" s="9">
        <f t="shared" ca="1" si="0"/>
        <v>52</v>
      </c>
      <c r="G235" s="1044">
        <v>44002</v>
      </c>
      <c r="H235" s="1041" t="s">
        <v>317</v>
      </c>
      <c r="I235" s="1042">
        <v>44964</v>
      </c>
      <c r="J235" s="1175" t="s">
        <v>271</v>
      </c>
      <c r="K235" s="755" t="str">
        <f t="shared" si="1"/>
        <v>I</v>
      </c>
      <c r="L235" s="756" t="str">
        <f t="shared" si="2"/>
        <v>G8</v>
      </c>
      <c r="M235" s="756" t="str">
        <f t="shared" si="3"/>
        <v>J1</v>
      </c>
      <c r="N235" s="757" t="str">
        <f t="shared" si="4"/>
        <v/>
      </c>
      <c r="O235" s="8">
        <f t="shared" si="5"/>
        <v>46060</v>
      </c>
      <c r="P235" s="9" t="str">
        <f t="shared" ca="1" si="6"/>
        <v>ATRASADO</v>
      </c>
      <c r="Q235" s="1041" t="s">
        <v>1556</v>
      </c>
      <c r="R235" s="1040"/>
      <c r="S235" s="9" t="str">
        <f t="shared" si="7"/>
        <v/>
      </c>
    </row>
    <row r="236" spans="1:19" x14ac:dyDescent="0.3">
      <c r="A236" s="9">
        <v>233</v>
      </c>
      <c r="B236" s="1043" t="s">
        <v>312</v>
      </c>
      <c r="C236" s="1039" t="s">
        <v>3770</v>
      </c>
      <c r="D236" s="1041" t="s">
        <v>3771</v>
      </c>
      <c r="E236" s="1042">
        <v>27583</v>
      </c>
      <c r="F236" s="9">
        <f t="shared" ca="1" si="0"/>
        <v>51</v>
      </c>
      <c r="G236" s="1041" t="s">
        <v>8</v>
      </c>
      <c r="H236" s="1041" t="s">
        <v>8</v>
      </c>
      <c r="I236" s="1042">
        <v>44969</v>
      </c>
      <c r="J236" s="583" t="s">
        <v>275</v>
      </c>
      <c r="K236" s="755" t="str">
        <f t="shared" si="1"/>
        <v>I</v>
      </c>
      <c r="L236" s="756" t="str">
        <f t="shared" si="2"/>
        <v>G8</v>
      </c>
      <c r="M236" s="756" t="str">
        <f t="shared" si="3"/>
        <v/>
      </c>
      <c r="N236" s="757" t="str">
        <f t="shared" si="4"/>
        <v/>
      </c>
      <c r="O236" s="8">
        <f t="shared" si="5"/>
        <v>46065</v>
      </c>
      <c r="P236" s="9" t="str">
        <f t="shared" ca="1" si="6"/>
        <v>ATRASADO</v>
      </c>
      <c r="Q236" s="1041" t="s">
        <v>1556</v>
      </c>
      <c r="R236" s="1038"/>
      <c r="S236" s="9" t="str">
        <f t="shared" si="7"/>
        <v/>
      </c>
    </row>
    <row r="237" spans="1:19" x14ac:dyDescent="0.3">
      <c r="A237" s="9">
        <v>234</v>
      </c>
      <c r="B237" s="1043" t="s">
        <v>579</v>
      </c>
      <c r="C237" s="1039" t="s">
        <v>3772</v>
      </c>
      <c r="D237" s="1041" t="s">
        <v>3773</v>
      </c>
      <c r="E237" s="1042">
        <v>31201</v>
      </c>
      <c r="F237" s="9">
        <f t="shared" ca="1" si="0"/>
        <v>41</v>
      </c>
      <c r="G237" s="1041" t="s">
        <v>8</v>
      </c>
      <c r="H237" s="1041" t="s">
        <v>271</v>
      </c>
      <c r="I237" s="1042">
        <v>44963</v>
      </c>
      <c r="J237" s="583" t="s">
        <v>8</v>
      </c>
      <c r="K237" s="755" t="str">
        <f t="shared" si="1"/>
        <v>SI</v>
      </c>
      <c r="L237" s="756" t="str">
        <f t="shared" si="2"/>
        <v xml:space="preserve">N </v>
      </c>
      <c r="M237" s="756" t="str">
        <f t="shared" si="3"/>
        <v>RE</v>
      </c>
      <c r="N237" s="757" t="str">
        <f t="shared" si="4"/>
        <v>GI</v>
      </c>
      <c r="O237" s="8">
        <f t="shared" si="5"/>
        <v>46059</v>
      </c>
      <c r="P237" s="9" t="str">
        <f t="shared" ca="1" si="6"/>
        <v>ATRASADO</v>
      </c>
      <c r="Q237" s="1041" t="s">
        <v>1556</v>
      </c>
      <c r="R237" s="1040"/>
      <c r="S237" s="9" t="str">
        <f t="shared" si="7"/>
        <v/>
      </c>
    </row>
    <row r="238" spans="1:19" x14ac:dyDescent="0.3">
      <c r="A238" s="9">
        <v>235</v>
      </c>
      <c r="B238" s="1043" t="s">
        <v>579</v>
      </c>
      <c r="C238" s="1039" t="s">
        <v>3774</v>
      </c>
      <c r="D238" s="1041" t="s">
        <v>3775</v>
      </c>
      <c r="E238" s="1042">
        <v>31413</v>
      </c>
      <c r="F238" s="9">
        <f t="shared" ca="1" si="0"/>
        <v>40</v>
      </c>
      <c r="G238" s="1044">
        <v>43866</v>
      </c>
      <c r="H238" s="1041" t="s">
        <v>275</v>
      </c>
      <c r="I238" s="1042">
        <v>44971</v>
      </c>
      <c r="J238" s="583" t="s">
        <v>271</v>
      </c>
      <c r="K238" s="755" t="str">
        <f t="shared" si="1"/>
        <v>I</v>
      </c>
      <c r="L238" s="756" t="str">
        <f t="shared" si="2"/>
        <v>G8</v>
      </c>
      <c r="M238" s="756" t="str">
        <f t="shared" si="3"/>
        <v>J1</v>
      </c>
      <c r="N238" s="757" t="str">
        <f t="shared" si="4"/>
        <v/>
      </c>
      <c r="O238" s="8">
        <f t="shared" si="5"/>
        <v>46067</v>
      </c>
      <c r="P238" s="9" t="str">
        <f t="shared" ca="1" si="6"/>
        <v>ATRASADO</v>
      </c>
      <c r="Q238" s="1041" t="s">
        <v>1556</v>
      </c>
      <c r="R238" s="1038"/>
      <c r="S238" s="9" t="str">
        <f t="shared" si="7"/>
        <v/>
      </c>
    </row>
    <row r="239" spans="1:19" x14ac:dyDescent="0.3">
      <c r="A239" s="9">
        <v>236</v>
      </c>
      <c r="B239" s="1043" t="s">
        <v>579</v>
      </c>
      <c r="C239" s="1039" t="s">
        <v>3776</v>
      </c>
      <c r="D239" s="1041" t="s">
        <v>3777</v>
      </c>
      <c r="E239" s="1042">
        <v>35036</v>
      </c>
      <c r="F239" s="9">
        <f t="shared" ca="1" si="0"/>
        <v>30</v>
      </c>
      <c r="G239" s="1044">
        <v>43930</v>
      </c>
      <c r="H239" s="1041" t="s">
        <v>340</v>
      </c>
      <c r="I239" s="1042">
        <v>44981</v>
      </c>
      <c r="J239" s="583" t="s">
        <v>8</v>
      </c>
      <c r="K239" s="755" t="str">
        <f t="shared" si="1"/>
        <v>SI</v>
      </c>
      <c r="L239" s="756" t="str">
        <f t="shared" si="2"/>
        <v xml:space="preserve">N </v>
      </c>
      <c r="M239" s="756" t="str">
        <f t="shared" si="3"/>
        <v>RE</v>
      </c>
      <c r="N239" s="757" t="str">
        <f t="shared" si="4"/>
        <v>GI</v>
      </c>
      <c r="O239" s="8">
        <f t="shared" si="5"/>
        <v>46077</v>
      </c>
      <c r="P239" s="9" t="str">
        <f t="shared" ca="1" si="6"/>
        <v>ATRASADO</v>
      </c>
      <c r="Q239" s="1041" t="s">
        <v>1556</v>
      </c>
      <c r="R239" s="1040"/>
      <c r="S239" s="9" t="str">
        <f t="shared" si="7"/>
        <v/>
      </c>
    </row>
    <row r="240" spans="1:19" x14ac:dyDescent="0.3">
      <c r="A240" s="9">
        <v>237</v>
      </c>
      <c r="B240" s="1043" t="s">
        <v>579</v>
      </c>
      <c r="C240" s="1039" t="s">
        <v>3778</v>
      </c>
      <c r="D240" s="1041" t="s">
        <v>3779</v>
      </c>
      <c r="E240" s="1042">
        <v>28255</v>
      </c>
      <c r="F240" s="9">
        <f t="shared" ca="1" si="0"/>
        <v>49</v>
      </c>
      <c r="G240" s="1044">
        <v>44528</v>
      </c>
      <c r="H240" s="1041" t="s">
        <v>275</v>
      </c>
      <c r="I240" s="1042">
        <v>44970</v>
      </c>
      <c r="J240" s="583" t="s">
        <v>327</v>
      </c>
      <c r="K240" s="755" t="str">
        <f t="shared" si="1"/>
        <v>I</v>
      </c>
      <c r="L240" s="756" t="str">
        <f t="shared" si="2"/>
        <v>G7</v>
      </c>
      <c r="M240" s="756" t="str">
        <f t="shared" si="3"/>
        <v>S</v>
      </c>
      <c r="N240" s="757" t="str">
        <f t="shared" si="4"/>
        <v/>
      </c>
      <c r="O240" s="8">
        <f t="shared" si="5"/>
        <v>45335</v>
      </c>
      <c r="P240" s="9" t="str">
        <f t="shared" ca="1" si="6"/>
        <v>ATRASADO</v>
      </c>
      <c r="Q240" s="1041" t="s">
        <v>1556</v>
      </c>
      <c r="R240" s="1038"/>
      <c r="S240" s="9" t="str">
        <f t="shared" si="7"/>
        <v/>
      </c>
    </row>
    <row r="241" spans="1:19" x14ac:dyDescent="0.3">
      <c r="A241" s="9">
        <v>238</v>
      </c>
      <c r="B241" s="1051" t="s">
        <v>312</v>
      </c>
      <c r="C241" s="1046" t="s">
        <v>3780</v>
      </c>
      <c r="D241" s="1048" t="s">
        <v>3781</v>
      </c>
      <c r="E241" s="1049">
        <v>30045</v>
      </c>
      <c r="F241" s="9">
        <f t="shared" ca="1" si="0"/>
        <v>44</v>
      </c>
      <c r="G241" s="1050">
        <v>44418</v>
      </c>
      <c r="H241" s="1048" t="s">
        <v>324</v>
      </c>
      <c r="I241" s="1049">
        <v>44973</v>
      </c>
      <c r="J241" s="583" t="s">
        <v>271</v>
      </c>
      <c r="K241" s="755" t="str">
        <f t="shared" si="1"/>
        <v>I</v>
      </c>
      <c r="L241" s="756" t="str">
        <f t="shared" si="2"/>
        <v>G8</v>
      </c>
      <c r="M241" s="756" t="str">
        <f t="shared" si="3"/>
        <v>J1</v>
      </c>
      <c r="N241" s="757" t="str">
        <f t="shared" si="4"/>
        <v/>
      </c>
      <c r="O241" s="8">
        <f t="shared" si="5"/>
        <v>46069</v>
      </c>
      <c r="P241" s="9" t="str">
        <f t="shared" ca="1" si="6"/>
        <v>ATRASADO</v>
      </c>
      <c r="Q241" s="1048" t="s">
        <v>1556</v>
      </c>
      <c r="R241" s="1047"/>
      <c r="S241" s="9" t="str">
        <f t="shared" si="7"/>
        <v/>
      </c>
    </row>
    <row r="242" spans="1:19" x14ac:dyDescent="0.3">
      <c r="A242" s="9">
        <v>239</v>
      </c>
      <c r="B242" s="1051" t="s">
        <v>312</v>
      </c>
      <c r="C242" s="1046" t="s">
        <v>3782</v>
      </c>
      <c r="D242" s="1048" t="s">
        <v>3783</v>
      </c>
      <c r="E242" s="1049">
        <v>23305</v>
      </c>
      <c r="F242" s="9">
        <f t="shared" ca="1" si="0"/>
        <v>62</v>
      </c>
      <c r="G242" s="1050">
        <v>43922</v>
      </c>
      <c r="H242" s="1048" t="s">
        <v>275</v>
      </c>
      <c r="I242" s="1049">
        <v>44976</v>
      </c>
      <c r="J242" s="583" t="s">
        <v>275</v>
      </c>
      <c r="K242" s="755" t="str">
        <f t="shared" si="1"/>
        <v>I</v>
      </c>
      <c r="L242" s="756" t="str">
        <f t="shared" si="2"/>
        <v>G8</v>
      </c>
      <c r="M242" s="756" t="str">
        <f t="shared" si="3"/>
        <v/>
      </c>
      <c r="N242" s="757" t="str">
        <f t="shared" si="4"/>
        <v/>
      </c>
      <c r="O242" s="8">
        <f t="shared" si="5"/>
        <v>46072</v>
      </c>
      <c r="P242" s="9" t="str">
        <f t="shared" ca="1" si="6"/>
        <v>ATRASADO</v>
      </c>
      <c r="Q242" s="1048" t="s">
        <v>1556</v>
      </c>
      <c r="R242" s="1045"/>
      <c r="S242" s="9" t="str">
        <f t="shared" si="7"/>
        <v/>
      </c>
    </row>
    <row r="243" spans="1:19" x14ac:dyDescent="0.3">
      <c r="A243" s="9">
        <v>240</v>
      </c>
      <c r="B243" s="1051" t="s">
        <v>312</v>
      </c>
      <c r="C243" s="1046" t="s">
        <v>3784</v>
      </c>
      <c r="D243" s="1048" t="s">
        <v>3785</v>
      </c>
      <c r="E243" s="1049">
        <v>35616</v>
      </c>
      <c r="F243" s="9">
        <f t="shared" ca="1" si="0"/>
        <v>29</v>
      </c>
      <c r="G243" s="1050">
        <v>43519</v>
      </c>
      <c r="H243" s="1048" t="s">
        <v>271</v>
      </c>
      <c r="I243" s="1049">
        <v>44976</v>
      </c>
      <c r="J243" s="1175" t="s">
        <v>275</v>
      </c>
      <c r="K243" s="755" t="str">
        <f t="shared" si="1"/>
        <v>I</v>
      </c>
      <c r="L243" s="756" t="str">
        <f t="shared" si="2"/>
        <v>G8</v>
      </c>
      <c r="M243" s="756" t="str">
        <f t="shared" si="3"/>
        <v/>
      </c>
      <c r="N243" s="757" t="str">
        <f t="shared" si="4"/>
        <v/>
      </c>
      <c r="O243" s="8">
        <f t="shared" si="5"/>
        <v>46072</v>
      </c>
      <c r="P243" s="9" t="str">
        <f t="shared" ca="1" si="6"/>
        <v>ATRASADO</v>
      </c>
      <c r="Q243" s="1048" t="s">
        <v>1556</v>
      </c>
      <c r="R243" s="1045"/>
      <c r="S243" s="9" t="str">
        <f t="shared" si="7"/>
        <v/>
      </c>
    </row>
    <row r="244" spans="1:19" x14ac:dyDescent="0.3">
      <c r="A244" s="9">
        <v>241</v>
      </c>
      <c r="B244" s="1051" t="s">
        <v>312</v>
      </c>
      <c r="C244" s="1046" t="s">
        <v>3786</v>
      </c>
      <c r="D244" s="1048" t="s">
        <v>3787</v>
      </c>
      <c r="E244" s="1049">
        <v>36427</v>
      </c>
      <c r="F244" s="9">
        <f t="shared" ca="1" si="0"/>
        <v>27</v>
      </c>
      <c r="G244" s="1050">
        <v>43140</v>
      </c>
      <c r="H244" s="1048" t="s">
        <v>275</v>
      </c>
      <c r="I244" s="1049">
        <v>44970</v>
      </c>
      <c r="J244" s="583" t="s">
        <v>8</v>
      </c>
      <c r="K244" s="755" t="str">
        <f t="shared" si="1"/>
        <v>SI</v>
      </c>
      <c r="L244" s="756" t="str">
        <f t="shared" si="2"/>
        <v xml:space="preserve">N </v>
      </c>
      <c r="M244" s="756" t="str">
        <f t="shared" si="3"/>
        <v>RE</v>
      </c>
      <c r="N244" s="757" t="str">
        <f t="shared" si="4"/>
        <v>GI</v>
      </c>
      <c r="O244" s="8">
        <f t="shared" si="5"/>
        <v>46066</v>
      </c>
      <c r="P244" s="9" t="str">
        <f t="shared" ca="1" si="6"/>
        <v>ATRASADO</v>
      </c>
      <c r="Q244" s="1048" t="s">
        <v>1556</v>
      </c>
      <c r="R244" s="1045"/>
      <c r="S244" s="9" t="str">
        <f t="shared" si="7"/>
        <v/>
      </c>
    </row>
    <row r="245" spans="1:19" x14ac:dyDescent="0.3">
      <c r="A245" s="9">
        <v>242</v>
      </c>
      <c r="B245" s="1051" t="s">
        <v>579</v>
      </c>
      <c r="C245" s="1046" t="s">
        <v>3788</v>
      </c>
      <c r="D245" s="1048" t="s">
        <v>3789</v>
      </c>
      <c r="E245" s="1049">
        <v>30459</v>
      </c>
      <c r="F245" s="9">
        <f t="shared" ca="1" si="0"/>
        <v>43</v>
      </c>
      <c r="G245" s="1050">
        <v>44116</v>
      </c>
      <c r="H245" s="1048" t="s">
        <v>271</v>
      </c>
      <c r="I245" s="1049">
        <v>44966</v>
      </c>
      <c r="J245" s="583" t="s">
        <v>300</v>
      </c>
      <c r="K245" s="755" t="str">
        <f t="shared" si="1"/>
        <v>G4</v>
      </c>
      <c r="L245" s="756" t="str">
        <f t="shared" si="2"/>
        <v>O5</v>
      </c>
      <c r="M245" s="756" t="str">
        <f t="shared" si="3"/>
        <v/>
      </c>
      <c r="N245" s="757" t="str">
        <f t="shared" si="4"/>
        <v/>
      </c>
      <c r="O245" s="8">
        <f t="shared" si="5"/>
        <v>45055</v>
      </c>
      <c r="P245" s="9" t="str">
        <f t="shared" ca="1" si="6"/>
        <v>ATRASADO</v>
      </c>
      <c r="Q245" s="1048" t="s">
        <v>1556</v>
      </c>
      <c r="R245" s="1047"/>
      <c r="S245" s="9" t="str">
        <f t="shared" si="7"/>
        <v/>
      </c>
    </row>
    <row r="246" spans="1:19" x14ac:dyDescent="0.3">
      <c r="A246" s="9">
        <v>243</v>
      </c>
      <c r="B246" s="1051" t="s">
        <v>579</v>
      </c>
      <c r="C246" s="1046" t="s">
        <v>3790</v>
      </c>
      <c r="D246" s="1048" t="s">
        <v>3791</v>
      </c>
      <c r="E246" s="1049">
        <v>29906</v>
      </c>
      <c r="F246" s="9">
        <f t="shared" ca="1" si="0"/>
        <v>44</v>
      </c>
      <c r="G246" s="1050">
        <v>43771</v>
      </c>
      <c r="H246" s="1048" t="s">
        <v>275</v>
      </c>
      <c r="I246" s="1049">
        <v>44979</v>
      </c>
      <c r="J246" s="583" t="s">
        <v>1274</v>
      </c>
      <c r="K246" s="755" t="str">
        <f t="shared" si="1"/>
        <v>G3</v>
      </c>
      <c r="L246" s="756" t="str">
        <f t="shared" si="2"/>
        <v>05</v>
      </c>
      <c r="M246" s="756" t="str">
        <f t="shared" si="3"/>
        <v/>
      </c>
      <c r="N246" s="757" t="str">
        <f t="shared" si="4"/>
        <v/>
      </c>
      <c r="O246" s="8">
        <f t="shared" si="5"/>
        <v>46075</v>
      </c>
      <c r="P246" s="9" t="str">
        <f t="shared" ca="1" si="6"/>
        <v>ATRASADO</v>
      </c>
      <c r="Q246" s="1048" t="s">
        <v>1556</v>
      </c>
      <c r="R246" s="1045"/>
      <c r="S246" s="9" t="str">
        <f t="shared" si="7"/>
        <v/>
      </c>
    </row>
    <row r="247" spans="1:19" x14ac:dyDescent="0.3">
      <c r="A247" s="9">
        <v>244</v>
      </c>
      <c r="B247" s="1051" t="s">
        <v>579</v>
      </c>
      <c r="C247" s="1046" t="s">
        <v>3792</v>
      </c>
      <c r="D247" s="1048" t="s">
        <v>3793</v>
      </c>
      <c r="E247" s="1049">
        <v>23074</v>
      </c>
      <c r="F247" s="9">
        <f t="shared" ca="1" si="0"/>
        <v>63</v>
      </c>
      <c r="G247" s="1050">
        <v>43707</v>
      </c>
      <c r="H247" s="1048" t="s">
        <v>275</v>
      </c>
      <c r="I247" s="1049">
        <v>44971</v>
      </c>
      <c r="J247" s="583" t="s">
        <v>300</v>
      </c>
      <c r="K247" s="755" t="str">
        <f t="shared" si="1"/>
        <v>G4</v>
      </c>
      <c r="L247" s="756" t="str">
        <f t="shared" si="2"/>
        <v>O5</v>
      </c>
      <c r="M247" s="756" t="str">
        <f t="shared" si="3"/>
        <v/>
      </c>
      <c r="N247" s="757" t="str">
        <f t="shared" si="4"/>
        <v/>
      </c>
      <c r="O247" s="8">
        <f t="shared" si="5"/>
        <v>45060</v>
      </c>
      <c r="P247" s="9" t="str">
        <f t="shared" ca="1" si="6"/>
        <v>ATRASADO</v>
      </c>
      <c r="Q247" s="1048" t="s">
        <v>1556</v>
      </c>
      <c r="R247" s="1047"/>
      <c r="S247" s="9" t="str">
        <f t="shared" si="7"/>
        <v/>
      </c>
    </row>
    <row r="248" spans="1:19" x14ac:dyDescent="0.3">
      <c r="A248" s="9">
        <v>245</v>
      </c>
      <c r="B248" s="1051" t="s">
        <v>579</v>
      </c>
      <c r="C248" s="1046" t="s">
        <v>3794</v>
      </c>
      <c r="D248" s="1048" t="s">
        <v>3795</v>
      </c>
      <c r="E248" s="1049">
        <v>20313</v>
      </c>
      <c r="F248" s="9">
        <f t="shared" ca="1" si="0"/>
        <v>71</v>
      </c>
      <c r="G248" s="1050">
        <v>43604</v>
      </c>
      <c r="H248" s="1048" t="s">
        <v>320</v>
      </c>
      <c r="I248" s="1049">
        <v>44978</v>
      </c>
      <c r="J248" s="583" t="s">
        <v>8</v>
      </c>
      <c r="K248" s="755" t="str">
        <f t="shared" si="1"/>
        <v>SI</v>
      </c>
      <c r="L248" s="756" t="str">
        <f t="shared" si="2"/>
        <v xml:space="preserve">N </v>
      </c>
      <c r="M248" s="756" t="str">
        <f t="shared" si="3"/>
        <v>RE</v>
      </c>
      <c r="N248" s="757" t="str">
        <f t="shared" si="4"/>
        <v>GI</v>
      </c>
      <c r="O248" s="8">
        <f t="shared" si="5"/>
        <v>46074</v>
      </c>
      <c r="P248" s="9" t="str">
        <f t="shared" ca="1" si="6"/>
        <v>ATRASADO</v>
      </c>
      <c r="Q248" s="1048" t="s">
        <v>1556</v>
      </c>
      <c r="R248" s="1045"/>
      <c r="S248" s="9" t="str">
        <f t="shared" si="7"/>
        <v/>
      </c>
    </row>
    <row r="249" spans="1:19" x14ac:dyDescent="0.3">
      <c r="A249" s="9">
        <v>246</v>
      </c>
      <c r="B249" s="1051" t="s">
        <v>579</v>
      </c>
      <c r="C249" s="1046" t="s">
        <v>3796</v>
      </c>
      <c r="D249" s="1048" t="s">
        <v>3797</v>
      </c>
      <c r="E249" s="1049">
        <v>25401</v>
      </c>
      <c r="F249" s="9">
        <f t="shared" ca="1" si="0"/>
        <v>57</v>
      </c>
      <c r="G249" s="1050">
        <v>43239</v>
      </c>
      <c r="H249" s="1048" t="s">
        <v>271</v>
      </c>
      <c r="I249" s="1049">
        <v>44959</v>
      </c>
      <c r="J249" s="583" t="s">
        <v>275</v>
      </c>
      <c r="K249" s="755" t="str">
        <f t="shared" si="1"/>
        <v>I</v>
      </c>
      <c r="L249" s="756" t="str">
        <f t="shared" si="2"/>
        <v>G8</v>
      </c>
      <c r="M249" s="756" t="str">
        <f t="shared" si="3"/>
        <v/>
      </c>
      <c r="N249" s="757" t="str">
        <f t="shared" si="4"/>
        <v/>
      </c>
      <c r="O249" s="8">
        <f t="shared" si="5"/>
        <v>46055</v>
      </c>
      <c r="P249" s="9" t="str">
        <f t="shared" ca="1" si="6"/>
        <v>ATRASADO</v>
      </c>
      <c r="Q249" s="1048" t="s">
        <v>1556</v>
      </c>
      <c r="R249" s="1045"/>
      <c r="S249" s="9" t="str">
        <f t="shared" si="7"/>
        <v/>
      </c>
    </row>
    <row r="250" spans="1:19" x14ac:dyDescent="0.3">
      <c r="A250" s="9">
        <v>247</v>
      </c>
      <c r="B250" s="1058" t="s">
        <v>312</v>
      </c>
      <c r="C250" s="1053" t="s">
        <v>3798</v>
      </c>
      <c r="D250" s="1055" t="s">
        <v>3799</v>
      </c>
      <c r="E250" s="1056">
        <v>28473</v>
      </c>
      <c r="F250" s="9">
        <f t="shared" ca="1" si="0"/>
        <v>48</v>
      </c>
      <c r="G250" s="1057">
        <v>44475</v>
      </c>
      <c r="H250" s="1055" t="s">
        <v>275</v>
      </c>
      <c r="I250" s="1056">
        <v>44966</v>
      </c>
      <c r="J250" s="583" t="s">
        <v>275</v>
      </c>
      <c r="K250" s="755" t="str">
        <f t="shared" si="1"/>
        <v>I</v>
      </c>
      <c r="L250" s="756" t="str">
        <f t="shared" si="2"/>
        <v>G8</v>
      </c>
      <c r="M250" s="756" t="str">
        <f t="shared" si="3"/>
        <v/>
      </c>
      <c r="N250" s="757" t="str">
        <f t="shared" si="4"/>
        <v/>
      </c>
      <c r="O250" s="8">
        <f t="shared" si="5"/>
        <v>46062</v>
      </c>
      <c r="P250" s="9" t="str">
        <f t="shared" ca="1" si="6"/>
        <v>ATRASADO</v>
      </c>
      <c r="Q250" s="1055" t="s">
        <v>1556</v>
      </c>
      <c r="R250" s="1052"/>
      <c r="S250" s="9" t="str">
        <f t="shared" si="7"/>
        <v/>
      </c>
    </row>
    <row r="251" spans="1:19" x14ac:dyDescent="0.3">
      <c r="A251" s="9">
        <v>248</v>
      </c>
      <c r="B251" s="1058" t="s">
        <v>312</v>
      </c>
      <c r="C251" s="1053" t="s">
        <v>3800</v>
      </c>
      <c r="D251" s="1055" t="s">
        <v>3801</v>
      </c>
      <c r="E251" s="1056">
        <v>24702</v>
      </c>
      <c r="F251" s="9">
        <f t="shared" ca="1" si="0"/>
        <v>59</v>
      </c>
      <c r="G251" s="1057">
        <v>43969</v>
      </c>
      <c r="H251" s="1055" t="s">
        <v>275</v>
      </c>
      <c r="I251" s="1056">
        <v>44964</v>
      </c>
      <c r="J251" s="583" t="s">
        <v>735</v>
      </c>
      <c r="K251" s="755" t="str">
        <f t="shared" si="1"/>
        <v>G3</v>
      </c>
      <c r="L251" s="756" t="str">
        <f t="shared" si="2"/>
        <v>O5</v>
      </c>
      <c r="M251" s="756" t="str">
        <f t="shared" si="3"/>
        <v/>
      </c>
      <c r="N251" s="757" t="str">
        <f t="shared" si="4"/>
        <v/>
      </c>
      <c r="O251" s="8">
        <f t="shared" si="5"/>
        <v>45053</v>
      </c>
      <c r="P251" s="9" t="str">
        <f t="shared" ca="1" si="6"/>
        <v>ATRASADO</v>
      </c>
      <c r="Q251" s="1055" t="s">
        <v>1556</v>
      </c>
      <c r="R251" s="1052"/>
      <c r="S251" s="9" t="str">
        <f t="shared" si="7"/>
        <v/>
      </c>
    </row>
    <row r="252" spans="1:19" x14ac:dyDescent="0.3">
      <c r="A252" s="9">
        <v>249</v>
      </c>
      <c r="B252" s="1058" t="s">
        <v>312</v>
      </c>
      <c r="C252" s="1053" t="s">
        <v>3802</v>
      </c>
      <c r="D252" s="1055" t="s">
        <v>3803</v>
      </c>
      <c r="E252" s="1056">
        <v>30780</v>
      </c>
      <c r="F252" s="9">
        <f t="shared" ca="1" si="0"/>
        <v>42</v>
      </c>
      <c r="G252" s="1057">
        <v>43335</v>
      </c>
      <c r="H252" s="1055" t="s">
        <v>340</v>
      </c>
      <c r="I252" s="1056">
        <v>44965</v>
      </c>
      <c r="J252" s="583" t="s">
        <v>528</v>
      </c>
      <c r="K252" s="755" t="str">
        <f t="shared" si="1"/>
        <v>I</v>
      </c>
      <c r="L252" s="756" t="str">
        <f t="shared" si="2"/>
        <v>G7</v>
      </c>
      <c r="M252" s="756" t="str">
        <f t="shared" si="3"/>
        <v>J1</v>
      </c>
      <c r="N252" s="757" t="str">
        <f t="shared" si="4"/>
        <v>S</v>
      </c>
      <c r="O252" s="8">
        <f t="shared" si="5"/>
        <v>45330</v>
      </c>
      <c r="P252" s="9" t="str">
        <f t="shared" ca="1" si="6"/>
        <v>ATRASADO</v>
      </c>
      <c r="Q252" s="1055" t="s">
        <v>1556</v>
      </c>
      <c r="R252" s="1052"/>
      <c r="S252" s="9" t="str">
        <f t="shared" si="7"/>
        <v/>
      </c>
    </row>
    <row r="253" spans="1:19" x14ac:dyDescent="0.3">
      <c r="A253" s="9">
        <v>250</v>
      </c>
      <c r="B253" s="1058" t="s">
        <v>312</v>
      </c>
      <c r="C253" s="1053" t="s">
        <v>3804</v>
      </c>
      <c r="D253" s="1055" t="s">
        <v>3805</v>
      </c>
      <c r="E253" s="1056">
        <v>28753</v>
      </c>
      <c r="F253" s="9">
        <f t="shared" ca="1" si="0"/>
        <v>48</v>
      </c>
      <c r="G253" s="1057">
        <v>43426</v>
      </c>
      <c r="H253" s="1055" t="s">
        <v>291</v>
      </c>
      <c r="I253" s="1056">
        <v>44984</v>
      </c>
      <c r="J253" s="583" t="s">
        <v>275</v>
      </c>
      <c r="K253" s="755" t="str">
        <f t="shared" si="1"/>
        <v>I</v>
      </c>
      <c r="L253" s="756" t="str">
        <f t="shared" si="2"/>
        <v>G8</v>
      </c>
      <c r="M253" s="756" t="str">
        <f t="shared" si="3"/>
        <v/>
      </c>
      <c r="N253" s="757" t="str">
        <f t="shared" si="4"/>
        <v/>
      </c>
      <c r="O253" s="8">
        <f t="shared" si="5"/>
        <v>46080</v>
      </c>
      <c r="P253" s="9" t="str">
        <f t="shared" ca="1" si="6"/>
        <v>ATRASADO</v>
      </c>
      <c r="Q253" s="1055" t="s">
        <v>1556</v>
      </c>
      <c r="R253" s="1052"/>
      <c r="S253" s="9" t="str">
        <f t="shared" si="7"/>
        <v/>
      </c>
    </row>
    <row r="254" spans="1:19" x14ac:dyDescent="0.3">
      <c r="A254" s="9">
        <v>251</v>
      </c>
      <c r="B254" s="1058" t="s">
        <v>312</v>
      </c>
      <c r="C254" s="1053" t="s">
        <v>3806</v>
      </c>
      <c r="D254" s="1055" t="s">
        <v>3807</v>
      </c>
      <c r="E254" s="1056">
        <v>28986</v>
      </c>
      <c r="F254" s="9">
        <f t="shared" ca="1" si="0"/>
        <v>47</v>
      </c>
      <c r="G254" s="1055" t="s">
        <v>8</v>
      </c>
      <c r="H254" s="1055" t="s">
        <v>271</v>
      </c>
      <c r="I254" s="1056">
        <v>44983</v>
      </c>
      <c r="J254" s="583" t="s">
        <v>271</v>
      </c>
      <c r="K254" s="755" t="str">
        <f t="shared" si="1"/>
        <v>I</v>
      </c>
      <c r="L254" s="756" t="str">
        <f t="shared" si="2"/>
        <v>G8</v>
      </c>
      <c r="M254" s="756" t="str">
        <f t="shared" si="3"/>
        <v>J1</v>
      </c>
      <c r="N254" s="757" t="str">
        <f t="shared" si="4"/>
        <v/>
      </c>
      <c r="O254" s="8">
        <f t="shared" si="5"/>
        <v>46079</v>
      </c>
      <c r="P254" s="9" t="str">
        <f t="shared" ca="1" si="6"/>
        <v>ATRASADO</v>
      </c>
      <c r="Q254" s="1055" t="s">
        <v>1556</v>
      </c>
      <c r="R254" s="1054" t="s">
        <v>2024</v>
      </c>
      <c r="S254" s="9" t="str">
        <f t="shared" si="7"/>
        <v/>
      </c>
    </row>
    <row r="255" spans="1:19" x14ac:dyDescent="0.3">
      <c r="A255" s="9">
        <v>252</v>
      </c>
      <c r="B255" s="1058" t="s">
        <v>579</v>
      </c>
      <c r="C255" s="1053" t="s">
        <v>3808</v>
      </c>
      <c r="D255" s="1055" t="s">
        <v>3809</v>
      </c>
      <c r="E255" s="1056">
        <v>24129</v>
      </c>
      <c r="F255" s="9">
        <f t="shared" ca="1" si="0"/>
        <v>60</v>
      </c>
      <c r="G255" s="1057">
        <v>44549</v>
      </c>
      <c r="H255" s="1055" t="s">
        <v>8</v>
      </c>
      <c r="I255" s="1056">
        <v>44977</v>
      </c>
      <c r="J255" s="583" t="s">
        <v>271</v>
      </c>
      <c r="K255" s="755" t="str">
        <f t="shared" si="1"/>
        <v>I</v>
      </c>
      <c r="L255" s="756" t="str">
        <f t="shared" si="2"/>
        <v>G8</v>
      </c>
      <c r="M255" s="756" t="str">
        <f t="shared" si="3"/>
        <v>J1</v>
      </c>
      <c r="N255" s="757" t="str">
        <f t="shared" si="4"/>
        <v/>
      </c>
      <c r="O255" s="8">
        <f t="shared" si="5"/>
        <v>46073</v>
      </c>
      <c r="P255" s="9" t="str">
        <f t="shared" ca="1" si="6"/>
        <v>ATRASADO</v>
      </c>
      <c r="Q255" s="1055" t="s">
        <v>1556</v>
      </c>
      <c r="R255" s="1052"/>
      <c r="S255" s="9" t="str">
        <f t="shared" si="7"/>
        <v/>
      </c>
    </row>
    <row r="256" spans="1:19" x14ac:dyDescent="0.3">
      <c r="A256" s="9">
        <v>253</v>
      </c>
      <c r="B256" s="1058" t="s">
        <v>579</v>
      </c>
      <c r="C256" s="1053" t="s">
        <v>3810</v>
      </c>
      <c r="D256" s="1055" t="s">
        <v>3811</v>
      </c>
      <c r="E256" s="1056">
        <v>28921</v>
      </c>
      <c r="F256" s="9">
        <f t="shared" ca="1" si="0"/>
        <v>47</v>
      </c>
      <c r="G256" s="1057">
        <v>44274</v>
      </c>
      <c r="H256" s="1055" t="s">
        <v>320</v>
      </c>
      <c r="I256" s="1056">
        <v>44978</v>
      </c>
      <c r="J256" s="583" t="s">
        <v>275</v>
      </c>
      <c r="K256" s="755" t="str">
        <f t="shared" si="1"/>
        <v>I</v>
      </c>
      <c r="L256" s="756" t="str">
        <f t="shared" si="2"/>
        <v>G8</v>
      </c>
      <c r="M256" s="756" t="str">
        <f t="shared" si="3"/>
        <v/>
      </c>
      <c r="N256" s="757" t="str">
        <f t="shared" si="4"/>
        <v/>
      </c>
      <c r="O256" s="8">
        <f t="shared" si="5"/>
        <v>46074</v>
      </c>
      <c r="P256" s="9" t="str">
        <f t="shared" ca="1" si="6"/>
        <v>ATRASADO</v>
      </c>
      <c r="Q256" s="1055" t="s">
        <v>1556</v>
      </c>
      <c r="R256" s="1052"/>
      <c r="S256" s="9" t="str">
        <f t="shared" si="7"/>
        <v/>
      </c>
    </row>
    <row r="257" spans="1:19" x14ac:dyDescent="0.3">
      <c r="A257" s="9">
        <v>254</v>
      </c>
      <c r="B257" s="1058" t="s">
        <v>579</v>
      </c>
      <c r="C257" s="1053" t="s">
        <v>3812</v>
      </c>
      <c r="D257" s="1055" t="s">
        <v>3813</v>
      </c>
      <c r="E257" s="1056">
        <v>24000</v>
      </c>
      <c r="F257" s="9">
        <f t="shared" ca="1" si="0"/>
        <v>61</v>
      </c>
      <c r="G257" s="1055" t="s">
        <v>8</v>
      </c>
      <c r="H257" s="1055" t="s">
        <v>271</v>
      </c>
      <c r="I257" s="1056">
        <v>44976</v>
      </c>
      <c r="J257" s="583" t="s">
        <v>275</v>
      </c>
      <c r="K257" s="755" t="str">
        <f t="shared" si="1"/>
        <v>I</v>
      </c>
      <c r="L257" s="756" t="str">
        <f t="shared" si="2"/>
        <v>G8</v>
      </c>
      <c r="M257" s="756" t="str">
        <f t="shared" si="3"/>
        <v/>
      </c>
      <c r="N257" s="757" t="str">
        <f t="shared" si="4"/>
        <v/>
      </c>
      <c r="O257" s="8">
        <f t="shared" si="5"/>
        <v>46072</v>
      </c>
      <c r="P257" s="9" t="str">
        <f t="shared" ca="1" si="6"/>
        <v>ATRASADO</v>
      </c>
      <c r="Q257" s="1055" t="s">
        <v>1556</v>
      </c>
      <c r="R257" s="1052"/>
      <c r="S257" s="9" t="str">
        <f t="shared" si="7"/>
        <v/>
      </c>
    </row>
    <row r="258" spans="1:19" x14ac:dyDescent="0.3">
      <c r="A258" s="9">
        <v>255</v>
      </c>
      <c r="B258" s="1058" t="s">
        <v>579</v>
      </c>
      <c r="C258" s="1053" t="s">
        <v>3814</v>
      </c>
      <c r="D258" s="1055" t="s">
        <v>3815</v>
      </c>
      <c r="E258" s="1056">
        <v>34884</v>
      </c>
      <c r="F258" s="9">
        <f t="shared" ca="1" si="0"/>
        <v>31</v>
      </c>
      <c r="G258" s="1057">
        <v>43435</v>
      </c>
      <c r="H258" s="1055" t="s">
        <v>271</v>
      </c>
      <c r="I258" s="1056">
        <v>44966</v>
      </c>
      <c r="J258" s="583" t="s">
        <v>8</v>
      </c>
      <c r="K258" s="755" t="str">
        <f t="shared" si="1"/>
        <v>SI</v>
      </c>
      <c r="L258" s="756" t="str">
        <f t="shared" si="2"/>
        <v xml:space="preserve">N </v>
      </c>
      <c r="M258" s="756" t="str">
        <f t="shared" si="3"/>
        <v>RE</v>
      </c>
      <c r="N258" s="757" t="str">
        <f t="shared" si="4"/>
        <v>GI</v>
      </c>
      <c r="O258" s="8">
        <f t="shared" si="5"/>
        <v>46062</v>
      </c>
      <c r="P258" s="9" t="str">
        <f t="shared" ca="1" si="6"/>
        <v>ATRASADO</v>
      </c>
      <c r="Q258" s="1055" t="s">
        <v>1556</v>
      </c>
      <c r="R258" s="1052"/>
      <c r="S258" s="9" t="str">
        <f t="shared" si="7"/>
        <v/>
      </c>
    </row>
    <row r="259" spans="1:19" x14ac:dyDescent="0.3">
      <c r="A259" s="9">
        <v>256</v>
      </c>
      <c r="B259" s="1058" t="s">
        <v>579</v>
      </c>
      <c r="C259" s="1053" t="s">
        <v>3816</v>
      </c>
      <c r="D259" s="1055" t="s">
        <v>3817</v>
      </c>
      <c r="E259" s="1056">
        <v>20855</v>
      </c>
      <c r="F259" s="9">
        <f t="shared" ref="F259:F490" ca="1" si="8">IF(E259="","",DATEDIF(E259,TODAY(),"Y"))</f>
        <v>69</v>
      </c>
      <c r="G259" s="1055" t="s">
        <v>8</v>
      </c>
      <c r="H259" s="1055" t="s">
        <v>271</v>
      </c>
      <c r="I259" s="1056">
        <v>44983</v>
      </c>
      <c r="J259" s="583" t="s">
        <v>271</v>
      </c>
      <c r="K259" s="755" t="str">
        <f t="shared" ref="K259:K490" si="9">IF(OR(LEFT(J259,2)="T1",LEFT(J259,2)="T2",LEFT(J259,2)="A1",LEFT(J259,2)="D0",LEFT(J259,2)="D1",LEFT(J259,2)="D2",LEFT(J259,2)="D3",LEFT(J259,2)="E1",LEFT(J259,2)="E2"),LEFT(J259,2),IF(OR(LEFT(J259,1)="A",LEFT(J259,1)="B",LEFT(J259,1)="C",LEFT(J259,1)="D",LEFT(J259,1)="I",LEFT(J259,1)="E",LEFT(J259,1)="K",LEFT(J259,1)="T"),LEFT(J259,1),LEFT(J259,2)))</f>
        <v>I</v>
      </c>
      <c r="L259" s="756" t="str">
        <f t="shared" ref="L259:L490" si="10">IF(AND(OR(LEFT(J259,2)="A1",LEFT(J259,2)="D0",LEFT(J259,2)="D1",LEFT(J259,2)="D2",LEFT(J259,2)="D3",LEFT(J259,2)="E1",LEFT(J259,2)="E2",LEFT(J259,2)="T1",LEFT(J259,2)="T2"),OR(MID(J259,3,1)="A",MID(J259,3,1)="B",MID(J259,3,1)="C",MID(J259,3,1)="D",MID(J259,3,1)="E",MID(J259,3,1)="I",MID(J259,3,1)="K",MID(J259,3,1)="T",MID(J259,3,1)="N",)),MID(J259,3,1),IF(OR(LEFT(J259,2)="A1",LEFT(J259,2)="D0",LEFT(J259,2)="D1",LEFT(J259,2)="D2",LEFT(J259,2)="D3",LEFT(J259,2)="E1",LEFT(J259,2)="E2",LEFT(J259,2)="T1",LEFT(J259,2)="T2"),MID(J259,3,2),IF(AND(OR(LEFT(J259,1)="A",LEFT(J259,1)="B",LEFT(J259,1)="C",LEFT(J259,1)="D",LEFT(J259,1)="E",LEFT(J259,1)="I",LEFT(J259,1)="K",LEFT(J259,1)="T",LEFT(J259,1)="N"),OR(MID(J259,2,1)="A",MID(J259,2,1)="B",MID(J259,2,1)="C",MID(J259,2,1)="D",MID(J259,2,1)="E",MID(J259,2,1)="I",MID(J259,2,1)="K",MID(J259,2,1)="T",MID(J259,2,1)="N")),MID(J259,2,2),IF(OR(LEFT(J259,1)="A",LEFT(J259,1)="B",LEFT(J259,1)="C",LEFT(J259,1)="D",LEFT(J259,1)="E",LEFT(J259,1)="I",LEFT(J259,1)="K",LEFT(J259,1)="T",LEFT(J259,1)="N"),MID(J259,2,2),MID(J259,3,2)))))</f>
        <v>G8</v>
      </c>
      <c r="M259" s="756" t="str">
        <f t="shared" ref="M259:M490" si="11">IF(AND(OR(LEFT(J259,2)="A1",LEFT(J259,2)="D0",LEFT(J259,2)="D1",LEFT(J259,2)="D2",LEFT(J259,2)="D3",LEFT(J259,2)="E1",LEFT(J259,2)="E2",LEFT(J259,2)="T1",LEFT(J259,2)="T2"),OR(MID(J259,3,1)="A",MID(J259,3,1)="B",MID(J259,3,1)="C",MID(J259,3,1)="D",MID(J259,3,1)="E",MID(J259,3,1)="I",MID(J259,3,1)="K",MID(J259,3,1)="T",MID(J259,3,1)="N",)),MID(J259,4,2),IF(OR(LEFT(J259,2)="A1",LEFT(J259,2)="D0",LEFT(J259,2)="D1",LEFT(J259,2)="D2",LEFT(J259,2)="D3",LEFT(J259,2)="E1",LEFT(J259,2)="E2",LEFT(J259,2)="T1",LEFT(J259,2)="T2"),MID(J259,5,2),IF(AND(OR(LEFT(J259,1)="A",LEFT(J259,1)="B",LEFT(J259,1)="C",LEFT(J259,1)="D",LEFT(J259,1)="E",LEFT(J259,1)="I",LEFT(J259,1)="K",LEFT(J259,1)="T",LEFT(J259,1)="N"),OR(MID(J259,2,1)="A",MID(J259,2,1)="B",MID(J259,2,1)="C",MID(J259,2,1)="D",MID(J259,2,1)="E",MID(J259,2,1)="I",MID(J259,2,1)="K",MID(J259,2,1)="T",MID(J259,2,1)="N")),MID(J259,3,2),IF(OR(LEFT(J259,1)="A",LEFT(J259,1)="B",LEFT(J259,1)="C",LEFT(J259,1)="D",LEFT(J259,1)="E",LEFT(J259,1)="I",LEFT(J259,1)="K",LEFT(J259,1)="T",LEFT(J259,1)="N"),MID(J259,4,2),MID(J259,5,2)))))</f>
        <v>J1</v>
      </c>
      <c r="N259" s="757" t="str">
        <f t="shared" ref="N259:N490" si="12">IF(AND(OR(LEFT(J259,1)="I",LEFT(J259,1)="T",LEFT(J259,1)="A",LEFT(J259,1)="B",LEFT(J259,1)="C",LEFT(J259,1)="D",LEFT(J259,1)="E"),OR(MID(J259,2,1)="I",MID(J259,2,1)="T",MID(J259,2,1)="A",MID(J259,2,1)="B",MID(J259,2,1)="C",MID(J259,2,1)="D",MID(J259,2,1)="E")),MID(J259,5,2),IF(OR(LEFT(J259,1)="I",LEFT(J259,1)="T",LEFT(J259,1)="A",LEFT(J259,1)="B",LEFT(J259,1)="C",LEFT(J259,1)="D",LEFT(J259,1)="E"),MID(J259,6,2),MID(J259,7,2)))</f>
        <v/>
      </c>
      <c r="O259" s="8">
        <f t="shared" si="5"/>
        <v>46079</v>
      </c>
      <c r="P259" s="9" t="str">
        <f t="shared" ca="1" si="6"/>
        <v>ATRASADO</v>
      </c>
      <c r="Q259" s="1055" t="s">
        <v>1556</v>
      </c>
      <c r="R259" s="1054"/>
      <c r="S259" s="9" t="str">
        <f t="shared" ref="S259:S490" si="13">IF(OR(K259="T1",L259="T1",M259="T1",N259="T1",),"LESION SOSPECHOSA A UPC",IF(OR(K259="T2",L259="T2",M259="T2",N259="T2",),"DERIVAR A UPC POR SEGUNDO ATIPICO",IF(OR(K259="J2",L259="J2",M259="J2",N259="J2",),"TRICOMONAS",IF(OR(K259="J3",L259="J3",M259="J3",N259="J3",),"HERPES SIMPLEX",IF(OR(K259="J5",L259="J5",M259="J5",N259="J5",),"CANDIDA",IF(OR(K259="J6",L259="J6",M259="J6",N259="J6",),"ACTINOMYCES",IF(OR(K259="A1",L259="A1",M259="A1",N259="A1",),"VPH",IF(OR(K259="ASC-H",L259="ASC-H",M259="ASC-H",K259="H2",K259="H3",K259="H4",N259="ASC-H",K259="AGUS",L259="AGUS",L259="H2",L259="H3",L259="H4",M259="AGUS",M259="H2",M259="H3",M259="H4",N259="AGUS",N259="H2",N259="H3",N259="H4"),"MANDAR A UPC / COLPOSCOPIA",IF(OR(K259="A",K259="B",K259="C",K259="D",K259="D0",K259="D1",K259="D2",K259="D3",K259="E",K259="E1",K259="E2",K259="K",K259="T",L259="A",L259="B",L259="C",L259="D",L259="D0",L259="D1",L259="D2",L259="D3",L259="E",L259="E1",L259="E2",L259="K",L259="T",M259="A",M259="B",M259="C",M259="D",M259="D0",M259="D1",M259="D2",M259="D3",M259="E",M259="E1",M259="E2",M259="K",M259="T",N259="A",N259="B",N259="C",N259="D",N259="D0",N259="D1",K259="D2",N259="D2",N259="D3",N259="E",N259="E1",N259="E2",N259="K",N259="T",),"CITAR A UPC","")))))))))</f>
        <v/>
      </c>
    </row>
    <row r="260" spans="1:19" x14ac:dyDescent="0.3">
      <c r="A260" s="9">
        <v>257</v>
      </c>
      <c r="B260" s="1058" t="s">
        <v>312</v>
      </c>
      <c r="C260" s="1053" t="s">
        <v>3818</v>
      </c>
      <c r="D260" s="1055" t="s">
        <v>3819</v>
      </c>
      <c r="E260" s="1056">
        <v>34399</v>
      </c>
      <c r="F260" s="9">
        <f t="shared" ca="1" si="8"/>
        <v>32</v>
      </c>
      <c r="G260" s="1057">
        <v>44224</v>
      </c>
      <c r="H260" s="1055" t="s">
        <v>271</v>
      </c>
      <c r="I260" s="1056">
        <v>44967</v>
      </c>
      <c r="J260" s="583" t="s">
        <v>275</v>
      </c>
      <c r="K260" s="755" t="str">
        <f t="shared" si="9"/>
        <v>I</v>
      </c>
      <c r="L260" s="756" t="str">
        <f t="shared" si="10"/>
        <v>G8</v>
      </c>
      <c r="M260" s="756" t="str">
        <f t="shared" si="11"/>
        <v/>
      </c>
      <c r="N260" s="757" t="str">
        <f t="shared" si="12"/>
        <v/>
      </c>
      <c r="O260" s="8">
        <f t="shared" ref="O260:O490" si="14">IF(I260="","",IF(OR(K260="S",L260="S",M260="S",N260="S",K260="G7",L260="G7",M260="G7",N260="G7",),DATE(YEAR(I260)+1,MONTH(I260),DAY(I260)),IF(OR(K260="O3",L260="O3",M260="O3",N260="O3",K260="ASCUS",L260="ASCUS",M260="ASCUS",N260="ASCUS"),DATE(YEAR(I260),MONTH(I260)+6,DAY(I260)),IF(OR(K260="O5",L260="O5",M260="O5",N260="O5"),DATE(YEAR(I260),MONTH(I260)+3,DAY(I260)),IF(OR(K260="T",L260="T",M260="T",N260="T"),DATE(YEAR(I260),MONTH(I260)+1,DAY(I260)+10),DATE(YEAR(I260)+3,MONTH(I260),DAY(I260)))))))</f>
        <v>46063</v>
      </c>
      <c r="P260" s="9" t="str">
        <f t="shared" ref="P260:P490" ca="1" si="15">IF(O260="","",IF(YEAR(O260)&gt;YEAR(TODAY()),"VIGENTE",IF(AND(YEAR(O260)&gt;=YEAR(TODAY()),MONTH(O260)&gt;=MONTH(TODAY())),"VIGENTE","ATRASADO")))</f>
        <v>ATRASADO</v>
      </c>
      <c r="Q260" s="1055" t="s">
        <v>1556</v>
      </c>
      <c r="R260" s="1052"/>
      <c r="S260" s="9" t="str">
        <f t="shared" si="13"/>
        <v/>
      </c>
    </row>
    <row r="261" spans="1:19" x14ac:dyDescent="0.3">
      <c r="A261" s="9">
        <v>258</v>
      </c>
      <c r="B261" s="1058" t="s">
        <v>312</v>
      </c>
      <c r="C261" s="1053" t="s">
        <v>3820</v>
      </c>
      <c r="D261" s="1055" t="s">
        <v>3821</v>
      </c>
      <c r="E261" s="1056">
        <v>25972</v>
      </c>
      <c r="F261" s="9">
        <f t="shared" ca="1" si="8"/>
        <v>55</v>
      </c>
      <c r="G261" s="1057">
        <v>43712</v>
      </c>
      <c r="H261" s="1055" t="s">
        <v>271</v>
      </c>
      <c r="I261" s="1056">
        <v>44978</v>
      </c>
      <c r="J261" s="583" t="s">
        <v>275</v>
      </c>
      <c r="K261" s="755" t="str">
        <f t="shared" si="9"/>
        <v>I</v>
      </c>
      <c r="L261" s="756" t="str">
        <f t="shared" si="10"/>
        <v>G8</v>
      </c>
      <c r="M261" s="756" t="str">
        <f t="shared" si="11"/>
        <v/>
      </c>
      <c r="N261" s="757" t="str">
        <f t="shared" si="12"/>
        <v/>
      </c>
      <c r="O261" s="8">
        <f t="shared" si="14"/>
        <v>46074</v>
      </c>
      <c r="P261" s="9" t="str">
        <f t="shared" ca="1" si="15"/>
        <v>ATRASADO</v>
      </c>
      <c r="Q261" s="1055" t="s">
        <v>1556</v>
      </c>
      <c r="R261" s="1052"/>
      <c r="S261" s="9" t="str">
        <f t="shared" si="13"/>
        <v/>
      </c>
    </row>
    <row r="262" spans="1:19" x14ac:dyDescent="0.3">
      <c r="A262" s="9">
        <v>259</v>
      </c>
      <c r="B262" s="1058" t="s">
        <v>312</v>
      </c>
      <c r="C262" s="1053" t="s">
        <v>3822</v>
      </c>
      <c r="D262" s="1055" t="s">
        <v>3823</v>
      </c>
      <c r="E262" s="1056">
        <v>35087</v>
      </c>
      <c r="F262" s="9">
        <f t="shared" ca="1" si="8"/>
        <v>30</v>
      </c>
      <c r="G262" s="1055" t="s">
        <v>8</v>
      </c>
      <c r="H262" s="1055" t="s">
        <v>271</v>
      </c>
      <c r="I262" s="1056">
        <v>44958</v>
      </c>
      <c r="J262" s="583" t="s">
        <v>271</v>
      </c>
      <c r="K262" s="755" t="str">
        <f t="shared" si="9"/>
        <v>I</v>
      </c>
      <c r="L262" s="756" t="str">
        <f t="shared" si="10"/>
        <v>G8</v>
      </c>
      <c r="M262" s="756" t="str">
        <f t="shared" si="11"/>
        <v>J1</v>
      </c>
      <c r="N262" s="757" t="str">
        <f t="shared" si="12"/>
        <v/>
      </c>
      <c r="O262" s="8">
        <f t="shared" si="14"/>
        <v>46054</v>
      </c>
      <c r="P262" s="9" t="str">
        <f t="shared" ca="1" si="15"/>
        <v>ATRASADO</v>
      </c>
      <c r="Q262" s="1055" t="s">
        <v>1556</v>
      </c>
      <c r="R262" s="1052"/>
      <c r="S262" s="9" t="str">
        <f t="shared" si="13"/>
        <v/>
      </c>
    </row>
    <row r="263" spans="1:19" x14ac:dyDescent="0.3">
      <c r="A263" s="9">
        <v>260</v>
      </c>
      <c r="B263" s="1058" t="s">
        <v>312</v>
      </c>
      <c r="C263" s="1053" t="s">
        <v>3824</v>
      </c>
      <c r="D263" s="1055" t="s">
        <v>3825</v>
      </c>
      <c r="E263" s="1056">
        <v>31157</v>
      </c>
      <c r="F263" s="9">
        <f t="shared" ca="1" si="8"/>
        <v>41</v>
      </c>
      <c r="G263" s="1057">
        <v>44387</v>
      </c>
      <c r="H263" s="1055" t="s">
        <v>271</v>
      </c>
      <c r="I263" s="1056">
        <v>44973</v>
      </c>
      <c r="J263" s="583" t="s">
        <v>8</v>
      </c>
      <c r="K263" s="755" t="str">
        <f t="shared" si="9"/>
        <v>SI</v>
      </c>
      <c r="L263" s="756" t="str">
        <f t="shared" si="10"/>
        <v xml:space="preserve">N </v>
      </c>
      <c r="M263" s="756" t="str">
        <f t="shared" si="11"/>
        <v>RE</v>
      </c>
      <c r="N263" s="757" t="str">
        <f t="shared" si="12"/>
        <v>GI</v>
      </c>
      <c r="O263" s="8">
        <f t="shared" si="14"/>
        <v>46069</v>
      </c>
      <c r="P263" s="9" t="str">
        <f t="shared" ca="1" si="15"/>
        <v>ATRASADO</v>
      </c>
      <c r="Q263" s="1055" t="s">
        <v>1556</v>
      </c>
      <c r="R263" s="1052"/>
      <c r="S263" s="9" t="str">
        <f t="shared" si="13"/>
        <v/>
      </c>
    </row>
    <row r="264" spans="1:19" x14ac:dyDescent="0.3">
      <c r="A264" s="9">
        <v>261</v>
      </c>
      <c r="B264" s="1058" t="s">
        <v>312</v>
      </c>
      <c r="C264" s="1053" t="s">
        <v>3826</v>
      </c>
      <c r="D264" s="1055" t="s">
        <v>3827</v>
      </c>
      <c r="E264" s="1056">
        <v>30305</v>
      </c>
      <c r="F264" s="9">
        <f t="shared" ca="1" si="8"/>
        <v>43</v>
      </c>
      <c r="G264" s="1055" t="s">
        <v>8</v>
      </c>
      <c r="H264" s="1055" t="s">
        <v>8</v>
      </c>
      <c r="I264" s="1056">
        <v>44981</v>
      </c>
      <c r="J264" s="583" t="s">
        <v>271</v>
      </c>
      <c r="K264" s="755" t="str">
        <f t="shared" si="9"/>
        <v>I</v>
      </c>
      <c r="L264" s="756" t="str">
        <f t="shared" si="10"/>
        <v>G8</v>
      </c>
      <c r="M264" s="756" t="str">
        <f t="shared" si="11"/>
        <v>J1</v>
      </c>
      <c r="N264" s="757" t="str">
        <f t="shared" si="12"/>
        <v/>
      </c>
      <c r="O264" s="8">
        <f t="shared" si="14"/>
        <v>46077</v>
      </c>
      <c r="P264" s="9" t="str">
        <f t="shared" ca="1" si="15"/>
        <v>ATRASADO</v>
      </c>
      <c r="Q264" s="1055" t="s">
        <v>1556</v>
      </c>
      <c r="R264" s="1052"/>
      <c r="S264" s="9" t="str">
        <f t="shared" si="13"/>
        <v/>
      </c>
    </row>
    <row r="265" spans="1:19" x14ac:dyDescent="0.3">
      <c r="A265" s="9">
        <v>262</v>
      </c>
      <c r="B265" s="1058" t="s">
        <v>579</v>
      </c>
      <c r="C265" s="1053" t="s">
        <v>3828</v>
      </c>
      <c r="D265" s="1055" t="s">
        <v>3829</v>
      </c>
      <c r="E265" s="1056">
        <v>35917</v>
      </c>
      <c r="F265" s="9">
        <f t="shared" ca="1" si="8"/>
        <v>28</v>
      </c>
      <c r="G265" s="1057">
        <v>43393</v>
      </c>
      <c r="H265" s="1055" t="s">
        <v>275</v>
      </c>
      <c r="I265" s="1056">
        <v>44983</v>
      </c>
      <c r="J265" s="583" t="s">
        <v>271</v>
      </c>
      <c r="K265" s="755" t="str">
        <f t="shared" si="9"/>
        <v>I</v>
      </c>
      <c r="L265" s="756" t="str">
        <f t="shared" si="10"/>
        <v>G8</v>
      </c>
      <c r="M265" s="756" t="str">
        <f t="shared" si="11"/>
        <v>J1</v>
      </c>
      <c r="N265" s="757" t="str">
        <f t="shared" si="12"/>
        <v/>
      </c>
      <c r="O265" s="8">
        <f t="shared" si="14"/>
        <v>46079</v>
      </c>
      <c r="P265" s="9" t="str">
        <f t="shared" ca="1" si="15"/>
        <v>ATRASADO</v>
      </c>
      <c r="Q265" s="1055" t="s">
        <v>1556</v>
      </c>
      <c r="R265" s="1054"/>
      <c r="S265" s="9" t="str">
        <f t="shared" si="13"/>
        <v/>
      </c>
    </row>
    <row r="266" spans="1:19" x14ac:dyDescent="0.3">
      <c r="A266" s="9">
        <v>263</v>
      </c>
      <c r="B266" s="1058" t="s">
        <v>579</v>
      </c>
      <c r="C266" s="1053" t="s">
        <v>3830</v>
      </c>
      <c r="D266" s="1055" t="s">
        <v>3831</v>
      </c>
      <c r="E266" s="1056">
        <v>20582</v>
      </c>
      <c r="F266" s="9">
        <f t="shared" ca="1" si="8"/>
        <v>70</v>
      </c>
      <c r="G266" s="1057">
        <v>43552</v>
      </c>
      <c r="H266" s="1055" t="s">
        <v>275</v>
      </c>
      <c r="I266" s="1056">
        <v>44960</v>
      </c>
      <c r="J266" s="583" t="s">
        <v>8</v>
      </c>
      <c r="K266" s="755" t="str">
        <f t="shared" si="9"/>
        <v>SI</v>
      </c>
      <c r="L266" s="756" t="str">
        <f t="shared" si="10"/>
        <v xml:space="preserve">N </v>
      </c>
      <c r="M266" s="756" t="str">
        <f t="shared" si="11"/>
        <v>RE</v>
      </c>
      <c r="N266" s="757" t="str">
        <f t="shared" si="12"/>
        <v>GI</v>
      </c>
      <c r="O266" s="8">
        <f t="shared" si="14"/>
        <v>46056</v>
      </c>
      <c r="P266" s="9" t="str">
        <f t="shared" ca="1" si="15"/>
        <v>ATRASADO</v>
      </c>
      <c r="Q266" s="1055" t="s">
        <v>1556</v>
      </c>
      <c r="R266" s="1052"/>
      <c r="S266" s="9" t="str">
        <f t="shared" si="13"/>
        <v/>
      </c>
    </row>
    <row r="267" spans="1:19" x14ac:dyDescent="0.3">
      <c r="A267" s="9">
        <v>264</v>
      </c>
      <c r="B267" s="1058" t="s">
        <v>579</v>
      </c>
      <c r="C267" s="1053" t="s">
        <v>3832</v>
      </c>
      <c r="D267" s="1055" t="s">
        <v>3833</v>
      </c>
      <c r="E267" s="1056">
        <v>27498</v>
      </c>
      <c r="F267" s="9">
        <f t="shared" ca="1" si="8"/>
        <v>51</v>
      </c>
      <c r="G267" s="1057">
        <v>43181</v>
      </c>
      <c r="H267" s="1055" t="s">
        <v>271</v>
      </c>
      <c r="I267" s="1056">
        <v>44973</v>
      </c>
      <c r="J267" s="583" t="s">
        <v>275</v>
      </c>
      <c r="K267" s="755" t="str">
        <f t="shared" si="9"/>
        <v>I</v>
      </c>
      <c r="L267" s="756" t="str">
        <f t="shared" si="10"/>
        <v>G8</v>
      </c>
      <c r="M267" s="756" t="str">
        <f t="shared" si="11"/>
        <v/>
      </c>
      <c r="N267" s="757" t="str">
        <f t="shared" si="12"/>
        <v/>
      </c>
      <c r="O267" s="8">
        <f t="shared" si="14"/>
        <v>46069</v>
      </c>
      <c r="P267" s="9" t="str">
        <f t="shared" ca="1" si="15"/>
        <v>ATRASADO</v>
      </c>
      <c r="Q267" s="1055" t="s">
        <v>1556</v>
      </c>
      <c r="R267" s="1054"/>
      <c r="S267" s="9" t="str">
        <f t="shared" si="13"/>
        <v/>
      </c>
    </row>
    <row r="268" spans="1:19" x14ac:dyDescent="0.3">
      <c r="A268" s="9">
        <v>265</v>
      </c>
      <c r="B268" s="1058" t="s">
        <v>579</v>
      </c>
      <c r="C268" s="1053" t="s">
        <v>3834</v>
      </c>
      <c r="D268" s="1055" t="s">
        <v>3835</v>
      </c>
      <c r="E268" s="1056">
        <v>28559</v>
      </c>
      <c r="F268" s="9">
        <f t="shared" ca="1" si="8"/>
        <v>48</v>
      </c>
      <c r="G268" s="1057">
        <v>44392</v>
      </c>
      <c r="H268" s="1055" t="s">
        <v>271</v>
      </c>
      <c r="I268" s="1056">
        <v>44973</v>
      </c>
      <c r="J268" s="583" t="s">
        <v>271</v>
      </c>
      <c r="K268" s="755" t="str">
        <f t="shared" si="9"/>
        <v>I</v>
      </c>
      <c r="L268" s="756" t="str">
        <f t="shared" si="10"/>
        <v>G8</v>
      </c>
      <c r="M268" s="756" t="str">
        <f t="shared" si="11"/>
        <v>J1</v>
      </c>
      <c r="N268" s="757" t="str">
        <f t="shared" si="12"/>
        <v/>
      </c>
      <c r="O268" s="8">
        <f t="shared" si="14"/>
        <v>46069</v>
      </c>
      <c r="P268" s="9" t="str">
        <f t="shared" ca="1" si="15"/>
        <v>ATRASADO</v>
      </c>
      <c r="Q268" s="1055" t="s">
        <v>1556</v>
      </c>
      <c r="R268" s="1054"/>
      <c r="S268" s="9" t="str">
        <f t="shared" si="13"/>
        <v/>
      </c>
    </row>
    <row r="269" spans="1:19" x14ac:dyDescent="0.3">
      <c r="A269" s="9">
        <v>266</v>
      </c>
      <c r="B269" s="1058" t="s">
        <v>312</v>
      </c>
      <c r="C269" s="1053" t="s">
        <v>3836</v>
      </c>
      <c r="D269" s="1055" t="s">
        <v>3837</v>
      </c>
      <c r="E269" s="1056">
        <v>26631</v>
      </c>
      <c r="F269" s="9">
        <f t="shared" ca="1" si="8"/>
        <v>53</v>
      </c>
      <c r="G269" s="1057">
        <v>44653</v>
      </c>
      <c r="H269" s="1055" t="s">
        <v>271</v>
      </c>
      <c r="I269" s="1056">
        <v>44965</v>
      </c>
      <c r="J269" s="583" t="s">
        <v>275</v>
      </c>
      <c r="K269" s="755" t="str">
        <f t="shared" si="9"/>
        <v>I</v>
      </c>
      <c r="L269" s="756" t="str">
        <f t="shared" si="10"/>
        <v>G8</v>
      </c>
      <c r="M269" s="756" t="str">
        <f t="shared" si="11"/>
        <v/>
      </c>
      <c r="N269" s="757" t="str">
        <f t="shared" si="12"/>
        <v/>
      </c>
      <c r="O269" s="8">
        <f t="shared" si="14"/>
        <v>46061</v>
      </c>
      <c r="P269" s="9" t="str">
        <f t="shared" ca="1" si="15"/>
        <v>ATRASADO</v>
      </c>
      <c r="Q269" s="1055" t="s">
        <v>1556</v>
      </c>
      <c r="R269" s="1052"/>
      <c r="S269" s="9" t="str">
        <f t="shared" si="13"/>
        <v/>
      </c>
    </row>
    <row r="270" spans="1:19" x14ac:dyDescent="0.3">
      <c r="A270" s="9">
        <v>267</v>
      </c>
      <c r="B270" s="1058" t="s">
        <v>312</v>
      </c>
      <c r="C270" s="1053" t="s">
        <v>3838</v>
      </c>
      <c r="D270" s="1055" t="s">
        <v>3839</v>
      </c>
      <c r="E270" s="1056">
        <v>30056</v>
      </c>
      <c r="F270" s="9">
        <f t="shared" ca="1" si="8"/>
        <v>44</v>
      </c>
      <c r="G270" s="1057">
        <v>43262</v>
      </c>
      <c r="H270" s="1055" t="s">
        <v>320</v>
      </c>
      <c r="I270" s="1056">
        <v>44967</v>
      </c>
      <c r="J270" s="583" t="s">
        <v>275</v>
      </c>
      <c r="K270" s="755" t="str">
        <f t="shared" si="9"/>
        <v>I</v>
      </c>
      <c r="L270" s="756" t="str">
        <f t="shared" si="10"/>
        <v>G8</v>
      </c>
      <c r="M270" s="756" t="str">
        <f t="shared" si="11"/>
        <v/>
      </c>
      <c r="N270" s="757" t="str">
        <f t="shared" si="12"/>
        <v/>
      </c>
      <c r="O270" s="8">
        <f t="shared" si="14"/>
        <v>46063</v>
      </c>
      <c r="P270" s="9" t="str">
        <f t="shared" ca="1" si="15"/>
        <v>ATRASADO</v>
      </c>
      <c r="Q270" s="1055" t="s">
        <v>1556</v>
      </c>
      <c r="R270" s="1052"/>
      <c r="S270" s="9" t="str">
        <f t="shared" si="13"/>
        <v/>
      </c>
    </row>
    <row r="271" spans="1:19" x14ac:dyDescent="0.3">
      <c r="A271" s="9">
        <v>268</v>
      </c>
      <c r="B271" s="1058" t="s">
        <v>312</v>
      </c>
      <c r="C271" s="1053" t="s">
        <v>3840</v>
      </c>
      <c r="D271" s="1055" t="s">
        <v>3841</v>
      </c>
      <c r="E271" s="1056">
        <v>23970</v>
      </c>
      <c r="F271" s="9">
        <f t="shared" ca="1" si="8"/>
        <v>61</v>
      </c>
      <c r="G271" s="1057">
        <v>44121</v>
      </c>
      <c r="H271" s="1055" t="s">
        <v>271</v>
      </c>
      <c r="I271" s="1056">
        <v>44970</v>
      </c>
      <c r="J271" s="583" t="s">
        <v>271</v>
      </c>
      <c r="K271" s="755" t="str">
        <f t="shared" si="9"/>
        <v>I</v>
      </c>
      <c r="L271" s="756" t="str">
        <f t="shared" si="10"/>
        <v>G8</v>
      </c>
      <c r="M271" s="756" t="str">
        <f t="shared" si="11"/>
        <v>J1</v>
      </c>
      <c r="N271" s="757" t="str">
        <f t="shared" si="12"/>
        <v/>
      </c>
      <c r="O271" s="8">
        <f t="shared" si="14"/>
        <v>46066</v>
      </c>
      <c r="P271" s="9" t="str">
        <f t="shared" ca="1" si="15"/>
        <v>ATRASADO</v>
      </c>
      <c r="Q271" s="1055" t="s">
        <v>1556</v>
      </c>
      <c r="R271" s="1054"/>
      <c r="S271" s="9" t="str">
        <f t="shared" si="13"/>
        <v/>
      </c>
    </row>
    <row r="272" spans="1:19" x14ac:dyDescent="0.3">
      <c r="A272" s="9">
        <v>269</v>
      </c>
      <c r="B272" s="1058" t="s">
        <v>312</v>
      </c>
      <c r="C272" s="1053" t="s">
        <v>3842</v>
      </c>
      <c r="D272" s="1055" t="s">
        <v>3843</v>
      </c>
      <c r="E272" s="1056">
        <v>33621</v>
      </c>
      <c r="F272" s="9">
        <f t="shared" ca="1" si="8"/>
        <v>34</v>
      </c>
      <c r="G272" s="1055" t="s">
        <v>8</v>
      </c>
      <c r="H272" s="1055" t="s">
        <v>275</v>
      </c>
      <c r="I272" s="1056">
        <v>44974</v>
      </c>
      <c r="J272" s="583" t="s">
        <v>8</v>
      </c>
      <c r="K272" s="755" t="str">
        <f t="shared" si="9"/>
        <v>SI</v>
      </c>
      <c r="L272" s="756" t="str">
        <f t="shared" si="10"/>
        <v xml:space="preserve">N </v>
      </c>
      <c r="M272" s="756" t="str">
        <f t="shared" si="11"/>
        <v>RE</v>
      </c>
      <c r="N272" s="757" t="str">
        <f t="shared" si="12"/>
        <v>GI</v>
      </c>
      <c r="O272" s="8">
        <f t="shared" si="14"/>
        <v>46070</v>
      </c>
      <c r="P272" s="9" t="str">
        <f t="shared" ca="1" si="15"/>
        <v>ATRASADO</v>
      </c>
      <c r="Q272" s="1055" t="s">
        <v>1556</v>
      </c>
      <c r="R272" s="1054"/>
      <c r="S272" s="9" t="str">
        <f t="shared" si="13"/>
        <v/>
      </c>
    </row>
    <row r="273" spans="1:19" x14ac:dyDescent="0.3">
      <c r="A273" s="9">
        <v>270</v>
      </c>
      <c r="B273" s="1058" t="s">
        <v>312</v>
      </c>
      <c r="C273" s="1053" t="s">
        <v>3844</v>
      </c>
      <c r="D273" s="1055" t="s">
        <v>3845</v>
      </c>
      <c r="E273" s="1056">
        <v>30457</v>
      </c>
      <c r="F273" s="9">
        <f t="shared" ca="1" si="8"/>
        <v>43</v>
      </c>
      <c r="G273" s="1055" t="s">
        <v>8</v>
      </c>
      <c r="H273" s="1055" t="s">
        <v>271</v>
      </c>
      <c r="I273" s="1056">
        <v>44970</v>
      </c>
      <c r="J273" s="583" t="s">
        <v>275</v>
      </c>
      <c r="K273" s="755" t="str">
        <f t="shared" si="9"/>
        <v>I</v>
      </c>
      <c r="L273" s="756" t="str">
        <f t="shared" si="10"/>
        <v>G8</v>
      </c>
      <c r="M273" s="756" t="str">
        <f t="shared" si="11"/>
        <v/>
      </c>
      <c r="N273" s="757" t="str">
        <f t="shared" si="12"/>
        <v/>
      </c>
      <c r="O273" s="8">
        <f t="shared" si="14"/>
        <v>46066</v>
      </c>
      <c r="P273" s="9" t="str">
        <f t="shared" ca="1" si="15"/>
        <v>ATRASADO</v>
      </c>
      <c r="Q273" s="1055" t="s">
        <v>1556</v>
      </c>
      <c r="R273" s="1052"/>
      <c r="S273" s="9" t="str">
        <f t="shared" si="13"/>
        <v/>
      </c>
    </row>
    <row r="274" spans="1:19" x14ac:dyDescent="0.3">
      <c r="A274" s="9">
        <v>271</v>
      </c>
      <c r="B274" s="1058" t="s">
        <v>579</v>
      </c>
      <c r="C274" s="1053" t="s">
        <v>3846</v>
      </c>
      <c r="D274" s="1055" t="s">
        <v>3847</v>
      </c>
      <c r="E274" s="1056">
        <v>30875</v>
      </c>
      <c r="F274" s="9">
        <f t="shared" ca="1" si="8"/>
        <v>42</v>
      </c>
      <c r="G274" s="1055" t="s">
        <v>8</v>
      </c>
      <c r="H274" s="1055" t="s">
        <v>275</v>
      </c>
      <c r="I274" s="1056">
        <v>44976</v>
      </c>
      <c r="J274" s="583" t="s">
        <v>275</v>
      </c>
      <c r="K274" s="755" t="str">
        <f t="shared" si="9"/>
        <v>I</v>
      </c>
      <c r="L274" s="756" t="str">
        <f t="shared" si="10"/>
        <v>G8</v>
      </c>
      <c r="M274" s="756" t="str">
        <f t="shared" si="11"/>
        <v/>
      </c>
      <c r="N274" s="757" t="str">
        <f t="shared" si="12"/>
        <v/>
      </c>
      <c r="O274" s="8">
        <f t="shared" si="14"/>
        <v>46072</v>
      </c>
      <c r="P274" s="9" t="str">
        <f t="shared" ca="1" si="15"/>
        <v>ATRASADO</v>
      </c>
      <c r="Q274" s="1055" t="s">
        <v>1556</v>
      </c>
      <c r="R274" s="1052"/>
      <c r="S274" s="9" t="str">
        <f t="shared" si="13"/>
        <v/>
      </c>
    </row>
    <row r="275" spans="1:19" x14ac:dyDescent="0.3">
      <c r="A275" s="9">
        <v>272</v>
      </c>
      <c r="B275" s="1058" t="s">
        <v>579</v>
      </c>
      <c r="C275" s="1053" t="s">
        <v>3848</v>
      </c>
      <c r="D275" s="1055" t="s">
        <v>3849</v>
      </c>
      <c r="E275" s="1056">
        <v>24529</v>
      </c>
      <c r="F275" s="9">
        <f t="shared" ca="1" si="8"/>
        <v>59</v>
      </c>
      <c r="G275" s="1057">
        <v>44465</v>
      </c>
      <c r="H275" s="1055" t="s">
        <v>271</v>
      </c>
      <c r="I275" s="1056">
        <v>44970</v>
      </c>
      <c r="J275" s="583" t="s">
        <v>275</v>
      </c>
      <c r="K275" s="755" t="str">
        <f t="shared" si="9"/>
        <v>I</v>
      </c>
      <c r="L275" s="756" t="str">
        <f t="shared" si="10"/>
        <v>G8</v>
      </c>
      <c r="M275" s="756" t="str">
        <f t="shared" si="11"/>
        <v/>
      </c>
      <c r="N275" s="757" t="str">
        <f t="shared" si="12"/>
        <v/>
      </c>
      <c r="O275" s="8">
        <f t="shared" si="14"/>
        <v>46066</v>
      </c>
      <c r="P275" s="9" t="str">
        <f t="shared" ca="1" si="15"/>
        <v>ATRASADO</v>
      </c>
      <c r="Q275" s="1055" t="s">
        <v>1556</v>
      </c>
      <c r="R275" s="1052"/>
      <c r="S275" s="9" t="str">
        <f t="shared" si="13"/>
        <v/>
      </c>
    </row>
    <row r="276" spans="1:19" x14ac:dyDescent="0.3">
      <c r="A276" s="9">
        <v>273</v>
      </c>
      <c r="B276" s="1065" t="s">
        <v>312</v>
      </c>
      <c r="C276" s="1060" t="s">
        <v>3850</v>
      </c>
      <c r="D276" s="1062" t="s">
        <v>3851</v>
      </c>
      <c r="E276" s="1063">
        <v>29342</v>
      </c>
      <c r="F276" s="9">
        <f t="shared" ca="1" si="8"/>
        <v>46</v>
      </c>
      <c r="G276" s="1064">
        <v>44369</v>
      </c>
      <c r="H276" s="1062" t="s">
        <v>275</v>
      </c>
      <c r="I276" s="1063">
        <v>44961</v>
      </c>
      <c r="J276" s="583" t="s">
        <v>275</v>
      </c>
      <c r="K276" s="755" t="str">
        <f t="shared" si="9"/>
        <v>I</v>
      </c>
      <c r="L276" s="756" t="str">
        <f t="shared" si="10"/>
        <v>G8</v>
      </c>
      <c r="M276" s="756" t="str">
        <f t="shared" si="11"/>
        <v/>
      </c>
      <c r="N276" s="757" t="str">
        <f t="shared" si="12"/>
        <v/>
      </c>
      <c r="O276" s="8">
        <f t="shared" si="14"/>
        <v>46057</v>
      </c>
      <c r="P276" s="9" t="str">
        <f t="shared" ca="1" si="15"/>
        <v>ATRASADO</v>
      </c>
      <c r="Q276" s="1062" t="s">
        <v>1556</v>
      </c>
      <c r="R276" s="1059"/>
      <c r="S276" s="9" t="str">
        <f t="shared" si="13"/>
        <v/>
      </c>
    </row>
    <row r="277" spans="1:19" x14ac:dyDescent="0.3">
      <c r="A277" s="9">
        <v>274</v>
      </c>
      <c r="B277" s="1065" t="s">
        <v>312</v>
      </c>
      <c r="C277" s="1060" t="s">
        <v>3852</v>
      </c>
      <c r="D277" s="1062" t="s">
        <v>3853</v>
      </c>
      <c r="E277" s="1063">
        <v>31925</v>
      </c>
      <c r="F277" s="9">
        <f t="shared" ca="1" si="8"/>
        <v>39</v>
      </c>
      <c r="G277" s="1064">
        <v>43455</v>
      </c>
      <c r="H277" s="1062" t="s">
        <v>271</v>
      </c>
      <c r="I277" s="1063">
        <v>44982</v>
      </c>
      <c r="J277" s="583" t="s">
        <v>327</v>
      </c>
      <c r="K277" s="755" t="str">
        <f t="shared" si="9"/>
        <v>I</v>
      </c>
      <c r="L277" s="756" t="str">
        <f t="shared" si="10"/>
        <v>G7</v>
      </c>
      <c r="M277" s="756" t="str">
        <f t="shared" si="11"/>
        <v>S</v>
      </c>
      <c r="N277" s="757" t="str">
        <f t="shared" si="12"/>
        <v/>
      </c>
      <c r="O277" s="8">
        <f t="shared" si="14"/>
        <v>45347</v>
      </c>
      <c r="P277" s="9" t="str">
        <f t="shared" ca="1" si="15"/>
        <v>ATRASADO</v>
      </c>
      <c r="Q277" s="1062" t="s">
        <v>1556</v>
      </c>
      <c r="R277" s="1061"/>
      <c r="S277" s="9" t="str">
        <f t="shared" si="13"/>
        <v/>
      </c>
    </row>
    <row r="278" spans="1:19" x14ac:dyDescent="0.3">
      <c r="A278" s="9">
        <v>275</v>
      </c>
      <c r="B278" s="1065" t="s">
        <v>312</v>
      </c>
      <c r="C278" s="1060" t="s">
        <v>3854</v>
      </c>
      <c r="D278" s="1062" t="s">
        <v>3855</v>
      </c>
      <c r="E278" s="1063">
        <v>30835</v>
      </c>
      <c r="F278" s="9">
        <f t="shared" ca="1" si="8"/>
        <v>42</v>
      </c>
      <c r="G278" s="1064">
        <v>43361</v>
      </c>
      <c r="H278" s="1062" t="s">
        <v>275</v>
      </c>
      <c r="I278" s="1063">
        <v>44973</v>
      </c>
      <c r="J278" s="583" t="s">
        <v>271</v>
      </c>
      <c r="K278" s="755" t="str">
        <f t="shared" si="9"/>
        <v>I</v>
      </c>
      <c r="L278" s="756" t="str">
        <f t="shared" si="10"/>
        <v>G8</v>
      </c>
      <c r="M278" s="756" t="str">
        <f t="shared" si="11"/>
        <v>J1</v>
      </c>
      <c r="N278" s="757" t="str">
        <f t="shared" si="12"/>
        <v/>
      </c>
      <c r="O278" s="8">
        <f t="shared" si="14"/>
        <v>46069</v>
      </c>
      <c r="P278" s="9" t="str">
        <f t="shared" ca="1" si="15"/>
        <v>ATRASADO</v>
      </c>
      <c r="Q278" s="1062" t="s">
        <v>1556</v>
      </c>
      <c r="R278" s="1059"/>
      <c r="S278" s="9" t="str">
        <f t="shared" si="13"/>
        <v/>
      </c>
    </row>
    <row r="279" spans="1:19" x14ac:dyDescent="0.3">
      <c r="A279" s="9">
        <v>276</v>
      </c>
      <c r="B279" s="1065" t="s">
        <v>312</v>
      </c>
      <c r="C279" s="1060" t="s">
        <v>3856</v>
      </c>
      <c r="D279" s="1062" t="s">
        <v>3857</v>
      </c>
      <c r="E279" s="1063">
        <v>24924</v>
      </c>
      <c r="F279" s="9">
        <f t="shared" ca="1" si="8"/>
        <v>58</v>
      </c>
      <c r="G279" s="1064">
        <v>43258</v>
      </c>
      <c r="H279" s="1062" t="s">
        <v>271</v>
      </c>
      <c r="I279" s="1063">
        <v>44976</v>
      </c>
      <c r="J279" s="583" t="s">
        <v>271</v>
      </c>
      <c r="K279" s="755" t="str">
        <f t="shared" si="9"/>
        <v>I</v>
      </c>
      <c r="L279" s="756" t="str">
        <f t="shared" si="10"/>
        <v>G8</v>
      </c>
      <c r="M279" s="756" t="str">
        <f t="shared" si="11"/>
        <v>J1</v>
      </c>
      <c r="N279" s="757" t="str">
        <f t="shared" si="12"/>
        <v/>
      </c>
      <c r="O279" s="8">
        <f t="shared" si="14"/>
        <v>46072</v>
      </c>
      <c r="P279" s="9" t="str">
        <f t="shared" ca="1" si="15"/>
        <v>ATRASADO</v>
      </c>
      <c r="Q279" s="1062" t="s">
        <v>1556</v>
      </c>
      <c r="R279" s="1061"/>
      <c r="S279" s="9" t="str">
        <f t="shared" si="13"/>
        <v/>
      </c>
    </row>
    <row r="280" spans="1:19" x14ac:dyDescent="0.3">
      <c r="A280" s="9">
        <v>277</v>
      </c>
      <c r="B280" s="1065" t="s">
        <v>579</v>
      </c>
      <c r="C280" s="1060" t="s">
        <v>3858</v>
      </c>
      <c r="D280" s="1062" t="s">
        <v>3859</v>
      </c>
      <c r="E280" s="1063">
        <v>33014</v>
      </c>
      <c r="F280" s="9">
        <f t="shared" ca="1" si="8"/>
        <v>36</v>
      </c>
      <c r="G280" s="1064">
        <v>44565</v>
      </c>
      <c r="H280" s="1062" t="s">
        <v>8</v>
      </c>
      <c r="I280" s="1063">
        <v>44962</v>
      </c>
      <c r="J280" s="583" t="s">
        <v>271</v>
      </c>
      <c r="K280" s="755" t="str">
        <f t="shared" si="9"/>
        <v>I</v>
      </c>
      <c r="L280" s="756" t="str">
        <f t="shared" si="10"/>
        <v>G8</v>
      </c>
      <c r="M280" s="756" t="str">
        <f t="shared" si="11"/>
        <v>J1</v>
      </c>
      <c r="N280" s="757" t="str">
        <f t="shared" si="12"/>
        <v/>
      </c>
      <c r="O280" s="8">
        <f t="shared" si="14"/>
        <v>46058</v>
      </c>
      <c r="P280" s="9" t="str">
        <f t="shared" ca="1" si="15"/>
        <v>ATRASADO</v>
      </c>
      <c r="Q280" s="1062" t="s">
        <v>1556</v>
      </c>
      <c r="R280" s="1059"/>
      <c r="S280" s="9" t="str">
        <f t="shared" si="13"/>
        <v/>
      </c>
    </row>
    <row r="281" spans="1:19" x14ac:dyDescent="0.3">
      <c r="A281" s="9">
        <v>278</v>
      </c>
      <c r="B281" s="1065" t="s">
        <v>579</v>
      </c>
      <c r="C281" s="1060" t="s">
        <v>3860</v>
      </c>
      <c r="D281" s="1062" t="s">
        <v>3861</v>
      </c>
      <c r="E281" s="1063">
        <v>32673</v>
      </c>
      <c r="F281" s="9">
        <f t="shared" ca="1" si="8"/>
        <v>37</v>
      </c>
      <c r="G281" s="1064">
        <v>44228</v>
      </c>
      <c r="H281" s="1062" t="s">
        <v>275</v>
      </c>
      <c r="I281" s="1063">
        <v>44972</v>
      </c>
      <c r="J281" s="583" t="s">
        <v>340</v>
      </c>
      <c r="K281" s="755" t="str">
        <f t="shared" si="9"/>
        <v>I</v>
      </c>
      <c r="L281" s="756" t="str">
        <f t="shared" si="10"/>
        <v>G8</v>
      </c>
      <c r="M281" s="756" t="str">
        <f t="shared" si="11"/>
        <v>S</v>
      </c>
      <c r="N281" s="757" t="str">
        <f t="shared" si="12"/>
        <v/>
      </c>
      <c r="O281" s="8">
        <f t="shared" si="14"/>
        <v>45337</v>
      </c>
      <c r="P281" s="9" t="str">
        <f t="shared" ca="1" si="15"/>
        <v>ATRASADO</v>
      </c>
      <c r="Q281" s="1062" t="s">
        <v>1556</v>
      </c>
      <c r="R281" s="1059"/>
      <c r="S281" s="9" t="str">
        <f t="shared" si="13"/>
        <v/>
      </c>
    </row>
    <row r="282" spans="1:19" x14ac:dyDescent="0.3">
      <c r="A282" s="9">
        <v>279</v>
      </c>
      <c r="B282" s="1071" t="s">
        <v>312</v>
      </c>
      <c r="C282" s="1067" t="s">
        <v>3862</v>
      </c>
      <c r="D282" s="1069" t="s">
        <v>3863</v>
      </c>
      <c r="E282" s="1070">
        <v>25389</v>
      </c>
      <c r="F282" s="9">
        <f t="shared" ca="1" si="8"/>
        <v>57</v>
      </c>
      <c r="G282" s="1069" t="s">
        <v>8</v>
      </c>
      <c r="H282" s="1069" t="s">
        <v>8</v>
      </c>
      <c r="I282" s="1070">
        <v>44978</v>
      </c>
      <c r="J282" s="583" t="s">
        <v>271</v>
      </c>
      <c r="K282" s="755" t="str">
        <f t="shared" si="9"/>
        <v>I</v>
      </c>
      <c r="L282" s="756" t="str">
        <f t="shared" si="10"/>
        <v>G8</v>
      </c>
      <c r="M282" s="756" t="str">
        <f t="shared" si="11"/>
        <v>J1</v>
      </c>
      <c r="N282" s="757" t="str">
        <f t="shared" si="12"/>
        <v/>
      </c>
      <c r="O282" s="8">
        <f t="shared" si="14"/>
        <v>46074</v>
      </c>
      <c r="P282" s="9" t="str">
        <f t="shared" ca="1" si="15"/>
        <v>ATRASADO</v>
      </c>
      <c r="Q282" s="1069" t="s">
        <v>1556</v>
      </c>
      <c r="R282" s="1066"/>
      <c r="S282" s="9" t="str">
        <f t="shared" si="13"/>
        <v/>
      </c>
    </row>
    <row r="283" spans="1:19" x14ac:dyDescent="0.3">
      <c r="A283" s="9">
        <v>280</v>
      </c>
      <c r="B283" s="1071" t="s">
        <v>312</v>
      </c>
      <c r="C283" s="1067" t="s">
        <v>3864</v>
      </c>
      <c r="D283" s="1069" t="s">
        <v>3865</v>
      </c>
      <c r="E283" s="1070">
        <v>25540</v>
      </c>
      <c r="F283" s="9">
        <f t="shared" ca="1" si="8"/>
        <v>56</v>
      </c>
      <c r="G283" s="1072">
        <v>43659</v>
      </c>
      <c r="H283" s="1069" t="s">
        <v>275</v>
      </c>
      <c r="I283" s="1070">
        <v>44980</v>
      </c>
      <c r="J283" s="583" t="s">
        <v>8</v>
      </c>
      <c r="K283" s="755" t="str">
        <f t="shared" si="9"/>
        <v>SI</v>
      </c>
      <c r="L283" s="756" t="str">
        <f t="shared" si="10"/>
        <v xml:space="preserve">N </v>
      </c>
      <c r="M283" s="756" t="str">
        <f t="shared" si="11"/>
        <v>RE</v>
      </c>
      <c r="N283" s="757" t="str">
        <f t="shared" si="12"/>
        <v>GI</v>
      </c>
      <c r="O283" s="8">
        <f t="shared" si="14"/>
        <v>46076</v>
      </c>
      <c r="P283" s="9" t="str">
        <f t="shared" ca="1" si="15"/>
        <v>ATRASADO</v>
      </c>
      <c r="Q283" s="1069" t="s">
        <v>1556</v>
      </c>
      <c r="R283" s="1066"/>
      <c r="S283" s="9" t="str">
        <f t="shared" si="13"/>
        <v/>
      </c>
    </row>
    <row r="284" spans="1:19" x14ac:dyDescent="0.3">
      <c r="A284" s="9">
        <v>281</v>
      </c>
      <c r="B284" s="1071" t="s">
        <v>78</v>
      </c>
      <c r="C284" s="1067" t="s">
        <v>3866</v>
      </c>
      <c r="D284" s="1069" t="s">
        <v>3867</v>
      </c>
      <c r="E284" s="1070">
        <v>24840</v>
      </c>
      <c r="F284" s="9">
        <f t="shared" ca="1" si="8"/>
        <v>58</v>
      </c>
      <c r="G284" s="1072">
        <v>44616</v>
      </c>
      <c r="H284" s="1069" t="s">
        <v>275</v>
      </c>
      <c r="I284" s="1070">
        <v>44960</v>
      </c>
      <c r="J284" s="583" t="s">
        <v>271</v>
      </c>
      <c r="K284" s="755" t="str">
        <f t="shared" si="9"/>
        <v>I</v>
      </c>
      <c r="L284" s="756" t="str">
        <f t="shared" si="10"/>
        <v>G8</v>
      </c>
      <c r="M284" s="756" t="str">
        <f t="shared" si="11"/>
        <v>J1</v>
      </c>
      <c r="N284" s="757" t="str">
        <f t="shared" si="12"/>
        <v/>
      </c>
      <c r="O284" s="8">
        <f t="shared" si="14"/>
        <v>46056</v>
      </c>
      <c r="P284" s="9" t="str">
        <f t="shared" ca="1" si="15"/>
        <v>ATRASADO</v>
      </c>
      <c r="Q284" s="1069" t="s">
        <v>1556</v>
      </c>
      <c r="R284" s="1066"/>
      <c r="S284" s="9" t="str">
        <f t="shared" si="13"/>
        <v/>
      </c>
    </row>
    <row r="285" spans="1:19" x14ac:dyDescent="0.3">
      <c r="A285" s="9">
        <v>282</v>
      </c>
      <c r="B285" s="1071" t="s">
        <v>312</v>
      </c>
      <c r="C285" s="1067" t="s">
        <v>3868</v>
      </c>
      <c r="D285" s="1069" t="s">
        <v>3869</v>
      </c>
      <c r="E285" s="1070">
        <v>35809</v>
      </c>
      <c r="F285" s="9">
        <f t="shared" ca="1" si="8"/>
        <v>28</v>
      </c>
      <c r="G285" s="1072">
        <v>43394</v>
      </c>
      <c r="H285" s="1069" t="s">
        <v>271</v>
      </c>
      <c r="I285" s="1070">
        <v>44961</v>
      </c>
      <c r="J285" s="583" t="s">
        <v>8</v>
      </c>
      <c r="K285" s="755" t="str">
        <f t="shared" si="9"/>
        <v>SI</v>
      </c>
      <c r="L285" s="756" t="str">
        <f t="shared" si="10"/>
        <v xml:space="preserve">N </v>
      </c>
      <c r="M285" s="756" t="str">
        <f t="shared" si="11"/>
        <v>RE</v>
      </c>
      <c r="N285" s="757" t="str">
        <f t="shared" si="12"/>
        <v>GI</v>
      </c>
      <c r="O285" s="8">
        <f t="shared" si="14"/>
        <v>46057</v>
      </c>
      <c r="P285" s="9" t="str">
        <f t="shared" ca="1" si="15"/>
        <v>ATRASADO</v>
      </c>
      <c r="Q285" s="1069" t="s">
        <v>1556</v>
      </c>
      <c r="R285" s="1066"/>
      <c r="S285" s="9" t="str">
        <f t="shared" si="13"/>
        <v/>
      </c>
    </row>
    <row r="286" spans="1:19" x14ac:dyDescent="0.3">
      <c r="A286" s="9">
        <v>283</v>
      </c>
      <c r="B286" s="1071" t="s">
        <v>579</v>
      </c>
      <c r="C286" s="1067" t="s">
        <v>3870</v>
      </c>
      <c r="D286" s="1069" t="s">
        <v>3871</v>
      </c>
      <c r="E286" s="1070">
        <v>31788</v>
      </c>
      <c r="F286" s="9">
        <f t="shared" ca="1" si="8"/>
        <v>39</v>
      </c>
      <c r="G286" s="1072">
        <v>43323</v>
      </c>
      <c r="H286" s="1069" t="s">
        <v>271</v>
      </c>
      <c r="I286" s="1070">
        <v>44969</v>
      </c>
      <c r="J286" s="583" t="s">
        <v>275</v>
      </c>
      <c r="K286" s="755" t="str">
        <f t="shared" si="9"/>
        <v>I</v>
      </c>
      <c r="L286" s="756" t="str">
        <f t="shared" si="10"/>
        <v>G8</v>
      </c>
      <c r="M286" s="756" t="str">
        <f t="shared" si="11"/>
        <v/>
      </c>
      <c r="N286" s="757" t="str">
        <f t="shared" si="12"/>
        <v/>
      </c>
      <c r="O286" s="8">
        <f t="shared" si="14"/>
        <v>46065</v>
      </c>
      <c r="P286" s="9" t="str">
        <f t="shared" ca="1" si="15"/>
        <v>ATRASADO</v>
      </c>
      <c r="Q286" s="1069" t="s">
        <v>1556</v>
      </c>
      <c r="R286" s="1068"/>
      <c r="S286" s="9" t="str">
        <f t="shared" si="13"/>
        <v/>
      </c>
    </row>
    <row r="287" spans="1:19" x14ac:dyDescent="0.3">
      <c r="A287" s="9">
        <v>284</v>
      </c>
      <c r="B287" s="1071" t="s">
        <v>579</v>
      </c>
      <c r="C287" s="1067" t="s">
        <v>3872</v>
      </c>
      <c r="D287" s="1069" t="s">
        <v>3873</v>
      </c>
      <c r="E287" s="1070">
        <v>26495</v>
      </c>
      <c r="F287" s="9">
        <f t="shared" ca="1" si="8"/>
        <v>54</v>
      </c>
      <c r="G287" s="1072">
        <v>43590</v>
      </c>
      <c r="H287" s="1069" t="s">
        <v>275</v>
      </c>
      <c r="I287" s="1070">
        <v>44975</v>
      </c>
      <c r="J287" s="583" t="s">
        <v>291</v>
      </c>
      <c r="K287" s="755" t="str">
        <f t="shared" si="9"/>
        <v>I</v>
      </c>
      <c r="L287" s="756" t="str">
        <f t="shared" si="10"/>
        <v>G8</v>
      </c>
      <c r="M287" s="756" t="str">
        <f t="shared" si="11"/>
        <v>J5</v>
      </c>
      <c r="N287" s="757" t="str">
        <f t="shared" si="12"/>
        <v/>
      </c>
      <c r="O287" s="8">
        <f t="shared" si="14"/>
        <v>46071</v>
      </c>
      <c r="P287" s="9" t="str">
        <f t="shared" ca="1" si="15"/>
        <v>ATRASADO</v>
      </c>
      <c r="Q287" s="1069" t="s">
        <v>1556</v>
      </c>
      <c r="R287" s="1066"/>
      <c r="S287" s="9" t="str">
        <f t="shared" si="13"/>
        <v>CANDIDA</v>
      </c>
    </row>
    <row r="288" spans="1:19" x14ac:dyDescent="0.3">
      <c r="A288" s="9">
        <v>285</v>
      </c>
      <c r="B288" s="1071" t="s">
        <v>579</v>
      </c>
      <c r="C288" s="1067" t="s">
        <v>3874</v>
      </c>
      <c r="D288" s="1069" t="s">
        <v>3875</v>
      </c>
      <c r="E288" s="1070">
        <v>35014</v>
      </c>
      <c r="F288" s="9">
        <f t="shared" ca="1" si="8"/>
        <v>30</v>
      </c>
      <c r="G288" s="1072">
        <v>43967</v>
      </c>
      <c r="H288" s="1069" t="s">
        <v>275</v>
      </c>
      <c r="I288" s="1070">
        <v>44983</v>
      </c>
      <c r="J288" s="583" t="s">
        <v>8</v>
      </c>
      <c r="K288" s="755" t="str">
        <f t="shared" si="9"/>
        <v>SI</v>
      </c>
      <c r="L288" s="756" t="str">
        <f t="shared" si="10"/>
        <v xml:space="preserve">N </v>
      </c>
      <c r="M288" s="756" t="str">
        <f t="shared" si="11"/>
        <v>RE</v>
      </c>
      <c r="N288" s="757" t="str">
        <f t="shared" si="12"/>
        <v>GI</v>
      </c>
      <c r="O288" s="8">
        <f t="shared" si="14"/>
        <v>46079</v>
      </c>
      <c r="P288" s="9" t="str">
        <f t="shared" ca="1" si="15"/>
        <v>ATRASADO</v>
      </c>
      <c r="Q288" s="1069" t="s">
        <v>1556</v>
      </c>
      <c r="R288" s="1066"/>
      <c r="S288" s="9" t="str">
        <f t="shared" si="13"/>
        <v/>
      </c>
    </row>
    <row r="289" spans="1:19" x14ac:dyDescent="0.3">
      <c r="A289" s="9">
        <v>286</v>
      </c>
      <c r="B289" s="1071" t="s">
        <v>579</v>
      </c>
      <c r="C289" s="1067" t="s">
        <v>3876</v>
      </c>
      <c r="D289" s="1069" t="s">
        <v>3877</v>
      </c>
      <c r="E289" s="1070">
        <v>35143</v>
      </c>
      <c r="F289" s="9">
        <f t="shared" ca="1" si="8"/>
        <v>30</v>
      </c>
      <c r="G289" s="1072">
        <v>43498</v>
      </c>
      <c r="H289" s="1069" t="s">
        <v>8</v>
      </c>
      <c r="I289" s="1070">
        <v>44959</v>
      </c>
      <c r="J289" s="583" t="s">
        <v>271</v>
      </c>
      <c r="K289" s="755" t="str">
        <f t="shared" si="9"/>
        <v>I</v>
      </c>
      <c r="L289" s="756" t="str">
        <f t="shared" si="10"/>
        <v>G8</v>
      </c>
      <c r="M289" s="756" t="str">
        <f t="shared" si="11"/>
        <v>J1</v>
      </c>
      <c r="N289" s="757" t="str">
        <f t="shared" si="12"/>
        <v/>
      </c>
      <c r="O289" s="8">
        <f t="shared" si="14"/>
        <v>46055</v>
      </c>
      <c r="P289" s="9" t="str">
        <f t="shared" ca="1" si="15"/>
        <v>ATRASADO</v>
      </c>
      <c r="Q289" s="1069" t="s">
        <v>1556</v>
      </c>
      <c r="R289" s="1068"/>
      <c r="S289" s="9" t="str">
        <f t="shared" si="13"/>
        <v/>
      </c>
    </row>
    <row r="290" spans="1:19" x14ac:dyDescent="0.3">
      <c r="A290" s="9">
        <v>287</v>
      </c>
      <c r="B290" s="1071" t="s">
        <v>579</v>
      </c>
      <c r="C290" s="1067" t="s">
        <v>3878</v>
      </c>
      <c r="D290" s="1069" t="s">
        <v>3879</v>
      </c>
      <c r="E290" s="1070">
        <v>23292</v>
      </c>
      <c r="F290" s="9">
        <f t="shared" ca="1" si="8"/>
        <v>62</v>
      </c>
      <c r="G290" s="1072">
        <v>44324</v>
      </c>
      <c r="H290" s="1069" t="s">
        <v>275</v>
      </c>
      <c r="I290" s="1070">
        <v>44959</v>
      </c>
      <c r="J290" s="583" t="s">
        <v>735</v>
      </c>
      <c r="K290" s="755" t="str">
        <f t="shared" si="9"/>
        <v>G3</v>
      </c>
      <c r="L290" s="756" t="str">
        <f t="shared" si="10"/>
        <v>O5</v>
      </c>
      <c r="M290" s="756" t="str">
        <f t="shared" si="11"/>
        <v/>
      </c>
      <c r="N290" s="757" t="str">
        <f t="shared" si="12"/>
        <v/>
      </c>
      <c r="O290" s="8">
        <f t="shared" si="14"/>
        <v>45048</v>
      </c>
      <c r="P290" s="9" t="str">
        <f t="shared" ca="1" si="15"/>
        <v>ATRASADO</v>
      </c>
      <c r="Q290" s="1069" t="s">
        <v>1556</v>
      </c>
      <c r="R290" s="1068"/>
      <c r="S290" s="9" t="str">
        <f t="shared" si="13"/>
        <v/>
      </c>
    </row>
    <row r="291" spans="1:19" x14ac:dyDescent="0.3">
      <c r="A291" s="9">
        <v>288</v>
      </c>
      <c r="B291" s="1071" t="s">
        <v>579</v>
      </c>
      <c r="C291" s="1067" t="s">
        <v>3880</v>
      </c>
      <c r="D291" s="1069" t="s">
        <v>3881</v>
      </c>
      <c r="E291" s="1070">
        <v>31303</v>
      </c>
      <c r="F291" s="9">
        <f t="shared" ca="1" si="8"/>
        <v>41</v>
      </c>
      <c r="G291" s="1072">
        <v>43727</v>
      </c>
      <c r="H291" s="1069" t="s">
        <v>271</v>
      </c>
      <c r="I291" s="1070">
        <v>44966</v>
      </c>
      <c r="J291" s="583" t="s">
        <v>275</v>
      </c>
      <c r="K291" s="755" t="str">
        <f t="shared" si="9"/>
        <v>I</v>
      </c>
      <c r="L291" s="756" t="str">
        <f t="shared" si="10"/>
        <v>G8</v>
      </c>
      <c r="M291" s="756" t="str">
        <f t="shared" si="11"/>
        <v/>
      </c>
      <c r="N291" s="757" t="str">
        <f t="shared" si="12"/>
        <v/>
      </c>
      <c r="O291" s="8">
        <f t="shared" si="14"/>
        <v>46062</v>
      </c>
      <c r="P291" s="9" t="str">
        <f t="shared" ca="1" si="15"/>
        <v>ATRASADO</v>
      </c>
      <c r="Q291" s="1069" t="s">
        <v>1556</v>
      </c>
      <c r="R291" s="1066"/>
      <c r="S291" s="9" t="str">
        <f t="shared" si="13"/>
        <v/>
      </c>
    </row>
    <row r="292" spans="1:19" x14ac:dyDescent="0.3">
      <c r="A292" s="9">
        <v>289</v>
      </c>
      <c r="B292" s="1071" t="s">
        <v>579</v>
      </c>
      <c r="C292" s="1067" t="s">
        <v>3882</v>
      </c>
      <c r="D292" s="1069" t="s">
        <v>3883</v>
      </c>
      <c r="E292" s="1070">
        <v>24029</v>
      </c>
      <c r="F292" s="9">
        <f t="shared" ca="1" si="8"/>
        <v>60</v>
      </c>
      <c r="G292" s="1072">
        <v>43247</v>
      </c>
      <c r="H292" s="1069" t="s">
        <v>8</v>
      </c>
      <c r="I292" s="1070">
        <v>44967</v>
      </c>
      <c r="J292" s="583" t="s">
        <v>8</v>
      </c>
      <c r="K292" s="755" t="str">
        <f t="shared" si="9"/>
        <v>SI</v>
      </c>
      <c r="L292" s="756" t="str">
        <f t="shared" si="10"/>
        <v xml:space="preserve">N </v>
      </c>
      <c r="M292" s="756" t="str">
        <f t="shared" si="11"/>
        <v>RE</v>
      </c>
      <c r="N292" s="757" t="str">
        <f t="shared" si="12"/>
        <v>GI</v>
      </c>
      <c r="O292" s="8">
        <f t="shared" si="14"/>
        <v>46063</v>
      </c>
      <c r="P292" s="9" t="str">
        <f t="shared" ca="1" si="15"/>
        <v>ATRASADO</v>
      </c>
      <c r="Q292" s="1069" t="s">
        <v>1556</v>
      </c>
      <c r="R292" s="1066"/>
      <c r="S292" s="9" t="str">
        <f t="shared" si="13"/>
        <v/>
      </c>
    </row>
    <row r="293" spans="1:19" x14ac:dyDescent="0.3">
      <c r="A293" s="9">
        <v>290</v>
      </c>
      <c r="B293" s="1071" t="s">
        <v>579</v>
      </c>
      <c r="C293" s="1067" t="s">
        <v>3884</v>
      </c>
      <c r="D293" s="1069" t="s">
        <v>3885</v>
      </c>
      <c r="E293" s="1070">
        <v>26521</v>
      </c>
      <c r="F293" s="9">
        <f t="shared" ca="1" si="8"/>
        <v>54</v>
      </c>
      <c r="G293" s="1072">
        <v>43858</v>
      </c>
      <c r="H293" s="1069" t="s">
        <v>271</v>
      </c>
      <c r="I293" s="1070">
        <v>44985</v>
      </c>
      <c r="J293" s="583" t="s">
        <v>291</v>
      </c>
      <c r="K293" s="755" t="str">
        <f t="shared" si="9"/>
        <v>I</v>
      </c>
      <c r="L293" s="756" t="str">
        <f t="shared" si="10"/>
        <v>G8</v>
      </c>
      <c r="M293" s="756" t="str">
        <f t="shared" si="11"/>
        <v>J5</v>
      </c>
      <c r="N293" s="757" t="str">
        <f t="shared" si="12"/>
        <v/>
      </c>
      <c r="O293" s="8">
        <f t="shared" si="14"/>
        <v>46081</v>
      </c>
      <c r="P293" s="9" t="str">
        <f t="shared" ca="1" si="15"/>
        <v>ATRASADO</v>
      </c>
      <c r="Q293" s="1069" t="s">
        <v>1556</v>
      </c>
      <c r="R293" s="1068"/>
      <c r="S293" s="9" t="str">
        <f t="shared" si="13"/>
        <v>CANDIDA</v>
      </c>
    </row>
    <row r="294" spans="1:19" x14ac:dyDescent="0.3">
      <c r="A294" s="9">
        <v>291</v>
      </c>
      <c r="B294" s="1080" t="s">
        <v>312</v>
      </c>
      <c r="C294" s="1075" t="s">
        <v>3886</v>
      </c>
      <c r="D294" s="1077" t="s">
        <v>3887</v>
      </c>
      <c r="E294" s="1078">
        <v>30700</v>
      </c>
      <c r="F294" s="9">
        <f t="shared" ca="1" si="8"/>
        <v>42</v>
      </c>
      <c r="G294" s="1079">
        <v>43526</v>
      </c>
      <c r="H294" s="1077" t="s">
        <v>275</v>
      </c>
      <c r="I294" s="1078">
        <v>44975</v>
      </c>
      <c r="J294" s="583" t="s">
        <v>275</v>
      </c>
      <c r="K294" s="755" t="str">
        <f t="shared" si="9"/>
        <v>I</v>
      </c>
      <c r="L294" s="756" t="str">
        <f t="shared" si="10"/>
        <v>G8</v>
      </c>
      <c r="M294" s="756" t="str">
        <f t="shared" si="11"/>
        <v/>
      </c>
      <c r="N294" s="757" t="str">
        <f t="shared" si="12"/>
        <v/>
      </c>
      <c r="O294" s="8">
        <f t="shared" si="14"/>
        <v>46071</v>
      </c>
      <c r="P294" s="9" t="str">
        <f t="shared" ca="1" si="15"/>
        <v>ATRASADO</v>
      </c>
      <c r="Q294" s="1077" t="s">
        <v>1556</v>
      </c>
      <c r="R294" s="1074"/>
      <c r="S294" s="9" t="str">
        <f t="shared" si="13"/>
        <v/>
      </c>
    </row>
    <row r="295" spans="1:19" x14ac:dyDescent="0.3">
      <c r="A295" s="9">
        <v>292</v>
      </c>
      <c r="B295" s="1080" t="s">
        <v>312</v>
      </c>
      <c r="C295" s="1075" t="s">
        <v>3888</v>
      </c>
      <c r="D295" s="1077" t="s">
        <v>3889</v>
      </c>
      <c r="E295" s="1078">
        <v>33298</v>
      </c>
      <c r="F295" s="9">
        <f t="shared" ca="1" si="8"/>
        <v>35</v>
      </c>
      <c r="G295" s="1079">
        <v>44532</v>
      </c>
      <c r="H295" s="1077" t="s">
        <v>271</v>
      </c>
      <c r="I295" s="1078">
        <v>44977</v>
      </c>
      <c r="J295" s="583" t="s">
        <v>271</v>
      </c>
      <c r="K295" s="755" t="str">
        <f t="shared" si="9"/>
        <v>I</v>
      </c>
      <c r="L295" s="756" t="str">
        <f t="shared" si="10"/>
        <v>G8</v>
      </c>
      <c r="M295" s="756" t="str">
        <f t="shared" si="11"/>
        <v>J1</v>
      </c>
      <c r="N295" s="757" t="str">
        <f t="shared" si="12"/>
        <v/>
      </c>
      <c r="O295" s="8">
        <f t="shared" si="14"/>
        <v>46073</v>
      </c>
      <c r="P295" s="9" t="str">
        <f t="shared" ca="1" si="15"/>
        <v>ATRASADO</v>
      </c>
      <c r="Q295" s="1077" t="s">
        <v>1556</v>
      </c>
      <c r="R295" s="1076"/>
      <c r="S295" s="9" t="str">
        <f t="shared" si="13"/>
        <v/>
      </c>
    </row>
    <row r="296" spans="1:19" x14ac:dyDescent="0.3">
      <c r="A296" s="9">
        <v>293</v>
      </c>
      <c r="B296" s="1080" t="s">
        <v>312</v>
      </c>
      <c r="C296" s="1075" t="s">
        <v>3890</v>
      </c>
      <c r="D296" s="1077" t="s">
        <v>3891</v>
      </c>
      <c r="E296" s="1078">
        <v>29086</v>
      </c>
      <c r="F296" s="9">
        <f t="shared" ca="1" si="8"/>
        <v>47</v>
      </c>
      <c r="G296" s="1079">
        <v>43933</v>
      </c>
      <c r="H296" s="1077" t="s">
        <v>275</v>
      </c>
      <c r="I296" s="1078">
        <v>44966</v>
      </c>
      <c r="J296" s="583" t="s">
        <v>275</v>
      </c>
      <c r="K296" s="755" t="str">
        <f t="shared" si="9"/>
        <v>I</v>
      </c>
      <c r="L296" s="756" t="str">
        <f t="shared" si="10"/>
        <v>G8</v>
      </c>
      <c r="M296" s="756" t="str">
        <f t="shared" si="11"/>
        <v/>
      </c>
      <c r="N296" s="757" t="str">
        <f t="shared" si="12"/>
        <v/>
      </c>
      <c r="O296" s="8">
        <f t="shared" si="14"/>
        <v>46062</v>
      </c>
      <c r="P296" s="9" t="str">
        <f t="shared" ca="1" si="15"/>
        <v>ATRASADO</v>
      </c>
      <c r="Q296" s="1077" t="s">
        <v>1556</v>
      </c>
      <c r="R296" s="1076"/>
      <c r="S296" s="9" t="str">
        <f t="shared" si="13"/>
        <v/>
      </c>
    </row>
    <row r="297" spans="1:19" x14ac:dyDescent="0.3">
      <c r="A297" s="9">
        <v>294</v>
      </c>
      <c r="B297" s="1080" t="s">
        <v>579</v>
      </c>
      <c r="C297" s="1075" t="s">
        <v>3892</v>
      </c>
      <c r="D297" s="1077" t="s">
        <v>3893</v>
      </c>
      <c r="E297" s="1078">
        <v>29359</v>
      </c>
      <c r="F297" s="9">
        <f t="shared" ca="1" si="8"/>
        <v>46</v>
      </c>
      <c r="G297" s="1079">
        <v>44447</v>
      </c>
      <c r="H297" s="1077" t="s">
        <v>275</v>
      </c>
      <c r="I297" s="1078">
        <v>44962</v>
      </c>
      <c r="J297" s="583" t="s">
        <v>8</v>
      </c>
      <c r="K297" s="755" t="str">
        <f t="shared" si="9"/>
        <v>SI</v>
      </c>
      <c r="L297" s="756" t="str">
        <f t="shared" si="10"/>
        <v xml:space="preserve">N </v>
      </c>
      <c r="M297" s="756" t="str">
        <f t="shared" si="11"/>
        <v>RE</v>
      </c>
      <c r="N297" s="757" t="str">
        <f t="shared" si="12"/>
        <v>GI</v>
      </c>
      <c r="O297" s="8">
        <f t="shared" si="14"/>
        <v>46058</v>
      </c>
      <c r="P297" s="9" t="str">
        <f t="shared" ca="1" si="15"/>
        <v>ATRASADO</v>
      </c>
      <c r="Q297" s="1077" t="s">
        <v>1556</v>
      </c>
      <c r="R297" s="1074"/>
      <c r="S297" s="9" t="str">
        <f t="shared" si="13"/>
        <v/>
      </c>
    </row>
    <row r="298" spans="1:19" x14ac:dyDescent="0.3">
      <c r="A298" s="9">
        <v>295</v>
      </c>
      <c r="B298" s="1087" t="s">
        <v>270</v>
      </c>
      <c r="C298" s="1082" t="s">
        <v>3894</v>
      </c>
      <c r="D298" s="1084" t="s">
        <v>3895</v>
      </c>
      <c r="E298" s="1085">
        <v>35791</v>
      </c>
      <c r="F298" s="9">
        <f t="shared" ca="1" si="8"/>
        <v>28</v>
      </c>
      <c r="G298" s="1086">
        <v>43705</v>
      </c>
      <c r="H298" s="1084" t="s">
        <v>327</v>
      </c>
      <c r="I298" s="1085">
        <v>44993</v>
      </c>
      <c r="J298" s="583" t="s">
        <v>327</v>
      </c>
      <c r="K298" s="755" t="str">
        <f t="shared" si="9"/>
        <v>I</v>
      </c>
      <c r="L298" s="756" t="str">
        <f t="shared" si="10"/>
        <v>G7</v>
      </c>
      <c r="M298" s="756" t="str">
        <f t="shared" si="11"/>
        <v>S</v>
      </c>
      <c r="N298" s="757" t="str">
        <f t="shared" si="12"/>
        <v/>
      </c>
      <c r="O298" s="8">
        <f t="shared" si="14"/>
        <v>45359</v>
      </c>
      <c r="P298" s="9" t="str">
        <f t="shared" ca="1" si="15"/>
        <v>ATRASADO</v>
      </c>
      <c r="Q298" s="1084" t="s">
        <v>1556</v>
      </c>
      <c r="R298" s="1081"/>
      <c r="S298" s="9" t="str">
        <f t="shared" si="13"/>
        <v/>
      </c>
    </row>
    <row r="299" spans="1:19" x14ac:dyDescent="0.3">
      <c r="A299" s="9">
        <v>296</v>
      </c>
      <c r="B299" s="1087" t="s">
        <v>270</v>
      </c>
      <c r="C299" s="1082" t="s">
        <v>3896</v>
      </c>
      <c r="D299" s="1084" t="s">
        <v>3897</v>
      </c>
      <c r="E299" s="1085">
        <v>24412</v>
      </c>
      <c r="F299" s="9">
        <f t="shared" ca="1" si="8"/>
        <v>59</v>
      </c>
      <c r="G299" s="1086">
        <v>43546</v>
      </c>
      <c r="H299" s="1084" t="s">
        <v>275</v>
      </c>
      <c r="I299" s="1085">
        <v>45014</v>
      </c>
      <c r="J299" s="583" t="s">
        <v>275</v>
      </c>
      <c r="K299" s="755" t="str">
        <f t="shared" si="9"/>
        <v>I</v>
      </c>
      <c r="L299" s="756" t="str">
        <f t="shared" si="10"/>
        <v>G8</v>
      </c>
      <c r="M299" s="756" t="str">
        <f t="shared" si="11"/>
        <v/>
      </c>
      <c r="N299" s="757" t="str">
        <f t="shared" si="12"/>
        <v/>
      </c>
      <c r="O299" s="8">
        <f t="shared" si="14"/>
        <v>46110</v>
      </c>
      <c r="P299" s="9" t="str">
        <f t="shared" ca="1" si="15"/>
        <v>ATRASADO</v>
      </c>
      <c r="Q299" s="1084" t="s">
        <v>1556</v>
      </c>
      <c r="R299" s="1083"/>
      <c r="S299" s="9" t="str">
        <f t="shared" si="13"/>
        <v/>
      </c>
    </row>
    <row r="300" spans="1:19" x14ac:dyDescent="0.3">
      <c r="A300" s="9">
        <v>297</v>
      </c>
      <c r="B300" s="1087" t="s">
        <v>270</v>
      </c>
      <c r="C300" s="1082" t="s">
        <v>3898</v>
      </c>
      <c r="D300" s="1084" t="s">
        <v>3899</v>
      </c>
      <c r="E300" s="1085">
        <v>31337</v>
      </c>
      <c r="F300" s="9">
        <f t="shared" ca="1" si="8"/>
        <v>40</v>
      </c>
      <c r="G300" s="1086">
        <v>43911</v>
      </c>
      <c r="H300" s="1084" t="s">
        <v>271</v>
      </c>
      <c r="I300" s="1085">
        <v>45015</v>
      </c>
      <c r="J300" s="583" t="s">
        <v>275</v>
      </c>
      <c r="K300" s="755" t="str">
        <f t="shared" si="9"/>
        <v>I</v>
      </c>
      <c r="L300" s="756" t="str">
        <f t="shared" si="10"/>
        <v>G8</v>
      </c>
      <c r="M300" s="756" t="str">
        <f t="shared" si="11"/>
        <v/>
      </c>
      <c r="N300" s="757" t="str">
        <f t="shared" si="12"/>
        <v/>
      </c>
      <c r="O300" s="8">
        <f t="shared" si="14"/>
        <v>46111</v>
      </c>
      <c r="P300" s="9" t="str">
        <f t="shared" ca="1" si="15"/>
        <v>ATRASADO</v>
      </c>
      <c r="Q300" s="1084" t="s">
        <v>1556</v>
      </c>
      <c r="R300" s="1081"/>
      <c r="S300" s="9" t="str">
        <f t="shared" si="13"/>
        <v/>
      </c>
    </row>
    <row r="301" spans="1:19" x14ac:dyDescent="0.3">
      <c r="A301" s="9">
        <v>298</v>
      </c>
      <c r="B301" s="1087" t="s">
        <v>270</v>
      </c>
      <c r="C301" s="1082" t="s">
        <v>3900</v>
      </c>
      <c r="D301" s="1084" t="s">
        <v>3901</v>
      </c>
      <c r="E301" s="1085">
        <v>35278</v>
      </c>
      <c r="F301" s="9">
        <f t="shared" ca="1" si="8"/>
        <v>30</v>
      </c>
      <c r="G301" s="1086">
        <v>43559</v>
      </c>
      <c r="H301" s="1084" t="s">
        <v>275</v>
      </c>
      <c r="I301" s="1085">
        <v>44989</v>
      </c>
      <c r="J301" s="583" t="s">
        <v>271</v>
      </c>
      <c r="K301" s="755" t="str">
        <f t="shared" si="9"/>
        <v>I</v>
      </c>
      <c r="L301" s="756" t="str">
        <f t="shared" si="10"/>
        <v>G8</v>
      </c>
      <c r="M301" s="756" t="str">
        <f t="shared" si="11"/>
        <v>J1</v>
      </c>
      <c r="N301" s="757" t="str">
        <f t="shared" si="12"/>
        <v/>
      </c>
      <c r="O301" s="8">
        <f t="shared" si="14"/>
        <v>46085</v>
      </c>
      <c r="P301" s="9" t="str">
        <f t="shared" ca="1" si="15"/>
        <v>ATRASADO</v>
      </c>
      <c r="Q301" s="1084" t="s">
        <v>1556</v>
      </c>
      <c r="R301" s="1081"/>
      <c r="S301" s="9" t="str">
        <f t="shared" si="13"/>
        <v/>
      </c>
    </row>
    <row r="302" spans="1:19" x14ac:dyDescent="0.3">
      <c r="A302" s="9">
        <v>299</v>
      </c>
      <c r="B302" s="1087" t="s">
        <v>270</v>
      </c>
      <c r="C302" s="1082" t="s">
        <v>3902</v>
      </c>
      <c r="D302" s="1084" t="s">
        <v>3903</v>
      </c>
      <c r="E302" s="1085">
        <v>29922</v>
      </c>
      <c r="F302" s="9">
        <f t="shared" ca="1" si="8"/>
        <v>44</v>
      </c>
      <c r="G302" s="1086">
        <v>43908</v>
      </c>
      <c r="H302" s="1084" t="s">
        <v>271</v>
      </c>
      <c r="I302" s="1085">
        <v>45001</v>
      </c>
      <c r="J302" s="583" t="s">
        <v>8</v>
      </c>
      <c r="K302" s="755" t="str">
        <f t="shared" si="9"/>
        <v>SI</v>
      </c>
      <c r="L302" s="756" t="str">
        <f t="shared" si="10"/>
        <v xml:space="preserve">N </v>
      </c>
      <c r="M302" s="756" t="str">
        <f t="shared" si="11"/>
        <v>RE</v>
      </c>
      <c r="N302" s="757" t="str">
        <f t="shared" si="12"/>
        <v>GI</v>
      </c>
      <c r="O302" s="8">
        <f t="shared" si="14"/>
        <v>46097</v>
      </c>
      <c r="P302" s="9" t="str">
        <f t="shared" ca="1" si="15"/>
        <v>ATRASADO</v>
      </c>
      <c r="Q302" s="1084" t="s">
        <v>1556</v>
      </c>
      <c r="R302" s="1083"/>
      <c r="S302" s="9" t="str">
        <f t="shared" si="13"/>
        <v/>
      </c>
    </row>
    <row r="303" spans="1:19" x14ac:dyDescent="0.3">
      <c r="A303" s="9">
        <v>300</v>
      </c>
      <c r="B303" s="1087" t="s">
        <v>270</v>
      </c>
      <c r="C303" s="1082" t="s">
        <v>3904</v>
      </c>
      <c r="D303" s="1084" t="s">
        <v>3905</v>
      </c>
      <c r="E303" s="1085">
        <v>34006</v>
      </c>
      <c r="F303" s="9">
        <f t="shared" ca="1" si="8"/>
        <v>33</v>
      </c>
      <c r="G303" s="1086">
        <v>44555</v>
      </c>
      <c r="H303" s="1084" t="s">
        <v>8</v>
      </c>
      <c r="I303" s="1085">
        <v>44992</v>
      </c>
      <c r="J303" s="583" t="s">
        <v>275</v>
      </c>
      <c r="K303" s="755" t="str">
        <f t="shared" si="9"/>
        <v>I</v>
      </c>
      <c r="L303" s="756" t="str">
        <f t="shared" si="10"/>
        <v>G8</v>
      </c>
      <c r="M303" s="756" t="str">
        <f t="shared" si="11"/>
        <v/>
      </c>
      <c r="N303" s="757" t="str">
        <f t="shared" si="12"/>
        <v/>
      </c>
      <c r="O303" s="8">
        <f t="shared" si="14"/>
        <v>46088</v>
      </c>
      <c r="P303" s="9" t="str">
        <f t="shared" ca="1" si="15"/>
        <v>ATRASADO</v>
      </c>
      <c r="Q303" s="1084" t="s">
        <v>1556</v>
      </c>
      <c r="R303" s="1083"/>
      <c r="S303" s="9" t="str">
        <f t="shared" si="13"/>
        <v/>
      </c>
    </row>
    <row r="304" spans="1:19" x14ac:dyDescent="0.3">
      <c r="A304" s="9">
        <v>301</v>
      </c>
      <c r="B304" s="1087" t="s">
        <v>270</v>
      </c>
      <c r="C304" s="1082" t="s">
        <v>3906</v>
      </c>
      <c r="D304" s="1084" t="s">
        <v>3907</v>
      </c>
      <c r="E304" s="1085">
        <v>22824</v>
      </c>
      <c r="F304" s="9">
        <f t="shared" ca="1" si="8"/>
        <v>64</v>
      </c>
      <c r="G304" s="1086">
        <v>43635</v>
      </c>
      <c r="H304" s="1084" t="s">
        <v>271</v>
      </c>
      <c r="I304" s="1085">
        <v>44989</v>
      </c>
      <c r="J304" s="583" t="s">
        <v>320</v>
      </c>
      <c r="K304" s="755" t="str">
        <f t="shared" si="9"/>
        <v>I</v>
      </c>
      <c r="L304" s="756" t="str">
        <f t="shared" si="10"/>
        <v>G8</v>
      </c>
      <c r="M304" s="756" t="str">
        <f t="shared" si="11"/>
        <v>J1</v>
      </c>
      <c r="N304" s="757" t="str">
        <f t="shared" si="12"/>
        <v>S</v>
      </c>
      <c r="O304" s="8">
        <f t="shared" si="14"/>
        <v>45355</v>
      </c>
      <c r="P304" s="9" t="str">
        <f t="shared" ca="1" si="15"/>
        <v>ATRASADO</v>
      </c>
      <c r="Q304" s="1084" t="s">
        <v>1556</v>
      </c>
      <c r="R304" s="1081"/>
      <c r="S304" s="9" t="str">
        <f t="shared" si="13"/>
        <v/>
      </c>
    </row>
    <row r="305" spans="1:19" x14ac:dyDescent="0.3">
      <c r="A305" s="9">
        <v>302</v>
      </c>
      <c r="B305" s="1087" t="s">
        <v>270</v>
      </c>
      <c r="C305" s="1082" t="s">
        <v>3908</v>
      </c>
      <c r="D305" s="1084" t="s">
        <v>3909</v>
      </c>
      <c r="E305" s="1085">
        <v>31946</v>
      </c>
      <c r="F305" s="9">
        <f t="shared" ca="1" si="8"/>
        <v>39</v>
      </c>
      <c r="G305" s="1086">
        <v>44571</v>
      </c>
      <c r="H305" s="1084" t="s">
        <v>271</v>
      </c>
      <c r="I305" s="1085">
        <v>45000</v>
      </c>
      <c r="J305" s="583" t="s">
        <v>8</v>
      </c>
      <c r="K305" s="755" t="str">
        <f t="shared" si="9"/>
        <v>SI</v>
      </c>
      <c r="L305" s="756" t="str">
        <f t="shared" si="10"/>
        <v xml:space="preserve">N </v>
      </c>
      <c r="M305" s="756" t="str">
        <f t="shared" si="11"/>
        <v>RE</v>
      </c>
      <c r="N305" s="757" t="str">
        <f t="shared" si="12"/>
        <v>GI</v>
      </c>
      <c r="O305" s="8">
        <f t="shared" si="14"/>
        <v>46096</v>
      </c>
      <c r="P305" s="9" t="str">
        <f t="shared" ca="1" si="15"/>
        <v>ATRASADO</v>
      </c>
      <c r="Q305" s="1084" t="s">
        <v>1556</v>
      </c>
      <c r="R305" s="1081"/>
      <c r="S305" s="9" t="str">
        <f t="shared" si="13"/>
        <v/>
      </c>
    </row>
    <row r="306" spans="1:19" x14ac:dyDescent="0.3">
      <c r="A306" s="9">
        <v>303</v>
      </c>
      <c r="B306" s="1087" t="s">
        <v>270</v>
      </c>
      <c r="C306" s="1082" t="s">
        <v>3910</v>
      </c>
      <c r="D306" s="1084" t="s">
        <v>3911</v>
      </c>
      <c r="E306" s="1085">
        <v>27973</v>
      </c>
      <c r="F306" s="9">
        <f t="shared" ca="1" si="8"/>
        <v>50</v>
      </c>
      <c r="G306" s="1084" t="s">
        <v>8</v>
      </c>
      <c r="H306" s="1084" t="s">
        <v>8</v>
      </c>
      <c r="I306" s="1085">
        <v>44998</v>
      </c>
      <c r="J306" s="583" t="s">
        <v>271</v>
      </c>
      <c r="K306" s="755" t="str">
        <f t="shared" si="9"/>
        <v>I</v>
      </c>
      <c r="L306" s="756" t="str">
        <f t="shared" si="10"/>
        <v>G8</v>
      </c>
      <c r="M306" s="756" t="str">
        <f t="shared" si="11"/>
        <v>J1</v>
      </c>
      <c r="N306" s="757" t="str">
        <f t="shared" si="12"/>
        <v/>
      </c>
      <c r="O306" s="8">
        <f t="shared" si="14"/>
        <v>46094</v>
      </c>
      <c r="P306" s="9" t="str">
        <f t="shared" ca="1" si="15"/>
        <v>ATRASADO</v>
      </c>
      <c r="Q306" s="1084" t="s">
        <v>1556</v>
      </c>
      <c r="R306" s="1083"/>
      <c r="S306" s="9" t="str">
        <f t="shared" si="13"/>
        <v/>
      </c>
    </row>
    <row r="307" spans="1:19" x14ac:dyDescent="0.3">
      <c r="A307" s="9">
        <v>304</v>
      </c>
      <c r="B307" s="1087" t="s">
        <v>270</v>
      </c>
      <c r="C307" s="1082" t="s">
        <v>3912</v>
      </c>
      <c r="D307" s="1084" t="s">
        <v>3913</v>
      </c>
      <c r="E307" s="1085">
        <v>22028</v>
      </c>
      <c r="F307" s="9">
        <f t="shared" ca="1" si="8"/>
        <v>66</v>
      </c>
      <c r="G307" s="1086">
        <v>43514</v>
      </c>
      <c r="H307" s="1084" t="s">
        <v>275</v>
      </c>
      <c r="I307" s="1085">
        <v>45010</v>
      </c>
      <c r="J307" s="583" t="s">
        <v>305</v>
      </c>
      <c r="K307" s="755" t="str">
        <f t="shared" si="9"/>
        <v>I</v>
      </c>
      <c r="L307" s="756" t="str">
        <f t="shared" si="10"/>
        <v>J1</v>
      </c>
      <c r="M307" s="756" t="str">
        <f t="shared" si="11"/>
        <v/>
      </c>
      <c r="N307" s="757" t="str">
        <f t="shared" si="12"/>
        <v/>
      </c>
      <c r="O307" s="8">
        <f t="shared" si="14"/>
        <v>46106</v>
      </c>
      <c r="P307" s="9" t="str">
        <f t="shared" ca="1" si="15"/>
        <v>ATRASADO</v>
      </c>
      <c r="Q307" s="1084" t="s">
        <v>1556</v>
      </c>
      <c r="R307" s="1083"/>
      <c r="S307" s="9" t="str">
        <f t="shared" si="13"/>
        <v/>
      </c>
    </row>
    <row r="308" spans="1:19" x14ac:dyDescent="0.3">
      <c r="A308" s="9">
        <v>305</v>
      </c>
      <c r="B308" s="1087" t="s">
        <v>270</v>
      </c>
      <c r="C308" s="1082" t="s">
        <v>3914</v>
      </c>
      <c r="D308" s="1084" t="s">
        <v>3915</v>
      </c>
      <c r="E308" s="1085">
        <v>24212</v>
      </c>
      <c r="F308" s="9">
        <f t="shared" ca="1" si="8"/>
        <v>60</v>
      </c>
      <c r="G308" s="1086">
        <v>43695</v>
      </c>
      <c r="H308" s="1084" t="s">
        <v>8</v>
      </c>
      <c r="I308" s="1085">
        <v>44988</v>
      </c>
      <c r="J308" s="583" t="s">
        <v>275</v>
      </c>
      <c r="K308" s="755" t="str">
        <f t="shared" si="9"/>
        <v>I</v>
      </c>
      <c r="L308" s="756" t="str">
        <f t="shared" si="10"/>
        <v>G8</v>
      </c>
      <c r="M308" s="756" t="str">
        <f t="shared" si="11"/>
        <v/>
      </c>
      <c r="N308" s="757" t="str">
        <f t="shared" si="12"/>
        <v/>
      </c>
      <c r="O308" s="8">
        <f t="shared" si="14"/>
        <v>46084</v>
      </c>
      <c r="P308" s="9" t="str">
        <f t="shared" ca="1" si="15"/>
        <v>ATRASADO</v>
      </c>
      <c r="Q308" s="1084" t="s">
        <v>1556</v>
      </c>
      <c r="R308" s="1083"/>
      <c r="S308" s="9" t="str">
        <f t="shared" si="13"/>
        <v/>
      </c>
    </row>
    <row r="309" spans="1:19" x14ac:dyDescent="0.3">
      <c r="A309" s="9">
        <v>306</v>
      </c>
      <c r="B309" s="1087" t="s">
        <v>270</v>
      </c>
      <c r="C309" s="1082" t="s">
        <v>3916</v>
      </c>
      <c r="D309" s="1084" t="s">
        <v>3917</v>
      </c>
      <c r="E309" s="1085">
        <v>26995</v>
      </c>
      <c r="F309" s="9">
        <f t="shared" ca="1" si="8"/>
        <v>52</v>
      </c>
      <c r="G309" s="1086">
        <v>44535</v>
      </c>
      <c r="H309" s="1084" t="s">
        <v>275</v>
      </c>
      <c r="I309" s="1085">
        <v>44987</v>
      </c>
      <c r="J309" s="583" t="s">
        <v>8</v>
      </c>
      <c r="K309" s="755" t="str">
        <f t="shared" si="9"/>
        <v>SI</v>
      </c>
      <c r="L309" s="756" t="str">
        <f t="shared" si="10"/>
        <v xml:space="preserve">N </v>
      </c>
      <c r="M309" s="756" t="str">
        <f t="shared" si="11"/>
        <v>RE</v>
      </c>
      <c r="N309" s="757" t="str">
        <f t="shared" si="12"/>
        <v>GI</v>
      </c>
      <c r="O309" s="8">
        <f t="shared" si="14"/>
        <v>46083</v>
      </c>
      <c r="P309" s="9" t="str">
        <f t="shared" ca="1" si="15"/>
        <v>ATRASADO</v>
      </c>
      <c r="Q309" s="1084" t="s">
        <v>1556</v>
      </c>
      <c r="R309" s="1081"/>
      <c r="S309" s="9" t="str">
        <f t="shared" si="13"/>
        <v/>
      </c>
    </row>
    <row r="310" spans="1:19" x14ac:dyDescent="0.3">
      <c r="A310" s="9">
        <v>307</v>
      </c>
      <c r="B310" s="1095" t="s">
        <v>56</v>
      </c>
      <c r="C310" s="1090" t="s">
        <v>3918</v>
      </c>
      <c r="D310" s="1092" t="s">
        <v>3919</v>
      </c>
      <c r="E310" s="1093">
        <v>33155</v>
      </c>
      <c r="F310" s="9">
        <f t="shared" ca="1" si="8"/>
        <v>35</v>
      </c>
      <c r="G310" s="1094">
        <v>43386</v>
      </c>
      <c r="H310" s="1092" t="s">
        <v>275</v>
      </c>
      <c r="I310" s="1093">
        <v>45015</v>
      </c>
      <c r="J310" s="583" t="s">
        <v>275</v>
      </c>
      <c r="K310" s="755" t="str">
        <f t="shared" si="9"/>
        <v>I</v>
      </c>
      <c r="L310" s="756" t="str">
        <f t="shared" si="10"/>
        <v>G8</v>
      </c>
      <c r="M310" s="756" t="str">
        <f t="shared" si="11"/>
        <v/>
      </c>
      <c r="N310" s="757" t="str">
        <f t="shared" si="12"/>
        <v/>
      </c>
      <c r="O310" s="8">
        <f t="shared" si="14"/>
        <v>46111</v>
      </c>
      <c r="P310" s="9" t="str">
        <f t="shared" ca="1" si="15"/>
        <v>ATRASADO</v>
      </c>
      <c r="Q310" s="1092" t="s">
        <v>1556</v>
      </c>
      <c r="R310" s="1091" t="s">
        <v>2024</v>
      </c>
      <c r="S310" s="9" t="str">
        <f t="shared" si="13"/>
        <v/>
      </c>
    </row>
    <row r="311" spans="1:19" x14ac:dyDescent="0.3">
      <c r="A311" s="9">
        <v>308</v>
      </c>
      <c r="B311" s="1095" t="s">
        <v>56</v>
      </c>
      <c r="C311" s="1090" t="s">
        <v>3920</v>
      </c>
      <c r="D311" s="1092" t="s">
        <v>3921</v>
      </c>
      <c r="E311" s="1093">
        <v>29565</v>
      </c>
      <c r="F311" s="9">
        <f t="shared" ca="1" si="8"/>
        <v>45</v>
      </c>
      <c r="G311" s="1092" t="s">
        <v>8</v>
      </c>
      <c r="H311" s="1092" t="s">
        <v>275</v>
      </c>
      <c r="I311" s="1093">
        <v>44988</v>
      </c>
      <c r="J311" s="583" t="s">
        <v>271</v>
      </c>
      <c r="K311" s="755" t="str">
        <f t="shared" si="9"/>
        <v>I</v>
      </c>
      <c r="L311" s="756" t="str">
        <f t="shared" si="10"/>
        <v>G8</v>
      </c>
      <c r="M311" s="756" t="str">
        <f t="shared" si="11"/>
        <v>J1</v>
      </c>
      <c r="N311" s="757" t="str">
        <f t="shared" si="12"/>
        <v/>
      </c>
      <c r="O311" s="8">
        <f t="shared" si="14"/>
        <v>46084</v>
      </c>
      <c r="P311" s="9" t="str">
        <f t="shared" ca="1" si="15"/>
        <v>ATRASADO</v>
      </c>
      <c r="Q311" s="1092" t="s">
        <v>1556</v>
      </c>
      <c r="R311" s="1091"/>
      <c r="S311" s="9" t="str">
        <f t="shared" si="13"/>
        <v/>
      </c>
    </row>
    <row r="312" spans="1:19" x14ac:dyDescent="0.3">
      <c r="A312" s="9">
        <v>309</v>
      </c>
      <c r="B312" s="1095" t="s">
        <v>56</v>
      </c>
      <c r="C312" s="1090" t="s">
        <v>3922</v>
      </c>
      <c r="D312" s="1092" t="s">
        <v>3923</v>
      </c>
      <c r="E312" s="1093">
        <v>25260</v>
      </c>
      <c r="F312" s="9">
        <f t="shared" ca="1" si="8"/>
        <v>57</v>
      </c>
      <c r="G312" s="1092" t="s">
        <v>8</v>
      </c>
      <c r="H312" s="1092" t="s">
        <v>271</v>
      </c>
      <c r="I312" s="1093">
        <v>44997</v>
      </c>
      <c r="J312" s="583" t="s">
        <v>8</v>
      </c>
      <c r="K312" s="755" t="str">
        <f t="shared" si="9"/>
        <v>SI</v>
      </c>
      <c r="L312" s="756" t="str">
        <f t="shared" si="10"/>
        <v xml:space="preserve">N </v>
      </c>
      <c r="M312" s="756" t="str">
        <f t="shared" si="11"/>
        <v>RE</v>
      </c>
      <c r="N312" s="757" t="str">
        <f t="shared" si="12"/>
        <v>GI</v>
      </c>
      <c r="O312" s="8">
        <f t="shared" si="14"/>
        <v>46093</v>
      </c>
      <c r="P312" s="9" t="str">
        <f t="shared" ca="1" si="15"/>
        <v>ATRASADO</v>
      </c>
      <c r="Q312" s="1092" t="s">
        <v>1556</v>
      </c>
      <c r="R312" s="1089"/>
      <c r="S312" s="9" t="str">
        <f t="shared" si="13"/>
        <v/>
      </c>
    </row>
    <row r="313" spans="1:19" x14ac:dyDescent="0.3">
      <c r="A313" s="9">
        <v>310</v>
      </c>
      <c r="B313" s="1095" t="s">
        <v>56</v>
      </c>
      <c r="C313" s="1090" t="s">
        <v>3924</v>
      </c>
      <c r="D313" s="1092" t="s">
        <v>3925</v>
      </c>
      <c r="E313" s="1093">
        <v>28767</v>
      </c>
      <c r="F313" s="9">
        <f t="shared" ca="1" si="8"/>
        <v>47</v>
      </c>
      <c r="G313" s="1094">
        <v>44535</v>
      </c>
      <c r="H313" s="1092" t="s">
        <v>271</v>
      </c>
      <c r="I313" s="1093">
        <v>44999</v>
      </c>
      <c r="J313" s="583" t="s">
        <v>8</v>
      </c>
      <c r="K313" s="755" t="str">
        <f t="shared" si="9"/>
        <v>SI</v>
      </c>
      <c r="L313" s="756" t="str">
        <f t="shared" si="10"/>
        <v xml:space="preserve">N </v>
      </c>
      <c r="M313" s="756" t="str">
        <f t="shared" si="11"/>
        <v>RE</v>
      </c>
      <c r="N313" s="757" t="str">
        <f t="shared" si="12"/>
        <v>GI</v>
      </c>
      <c r="O313" s="8">
        <f t="shared" si="14"/>
        <v>46095</v>
      </c>
      <c r="P313" s="9" t="str">
        <f t="shared" ca="1" si="15"/>
        <v>ATRASADO</v>
      </c>
      <c r="Q313" s="1092" t="s">
        <v>1556</v>
      </c>
      <c r="R313" s="1089"/>
      <c r="S313" s="9" t="str">
        <f t="shared" si="13"/>
        <v/>
      </c>
    </row>
    <row r="314" spans="1:19" x14ac:dyDescent="0.3">
      <c r="A314" s="9">
        <v>311</v>
      </c>
      <c r="B314" s="1101" t="s">
        <v>346</v>
      </c>
      <c r="C314" s="1097" t="s">
        <v>3926</v>
      </c>
      <c r="D314" s="1098" t="s">
        <v>3927</v>
      </c>
      <c r="E314" s="1099">
        <v>21666</v>
      </c>
      <c r="F314" s="9">
        <f t="shared" ca="1" si="8"/>
        <v>67</v>
      </c>
      <c r="G314" s="1100">
        <v>43968</v>
      </c>
      <c r="H314" s="1098" t="s">
        <v>1606</v>
      </c>
      <c r="I314" s="1099">
        <v>45014</v>
      </c>
      <c r="J314" s="583" t="s">
        <v>320</v>
      </c>
      <c r="K314" s="755" t="str">
        <f t="shared" si="9"/>
        <v>I</v>
      </c>
      <c r="L314" s="756" t="str">
        <f t="shared" si="10"/>
        <v>G8</v>
      </c>
      <c r="M314" s="756" t="str">
        <f t="shared" si="11"/>
        <v>J1</v>
      </c>
      <c r="N314" s="757" t="str">
        <f t="shared" si="12"/>
        <v>S</v>
      </c>
      <c r="O314" s="8">
        <f t="shared" si="14"/>
        <v>45380</v>
      </c>
      <c r="P314" s="9" t="str">
        <f t="shared" ca="1" si="15"/>
        <v>ATRASADO</v>
      </c>
      <c r="Q314" s="1098" t="s">
        <v>1556</v>
      </c>
      <c r="R314" s="1096"/>
      <c r="S314" s="9" t="str">
        <f t="shared" si="13"/>
        <v/>
      </c>
    </row>
    <row r="315" spans="1:19" x14ac:dyDescent="0.3">
      <c r="A315" s="9">
        <v>312</v>
      </c>
      <c r="B315" s="1101" t="s">
        <v>346</v>
      </c>
      <c r="C315" s="1097" t="s">
        <v>3928</v>
      </c>
      <c r="D315" s="1098" t="s">
        <v>3929</v>
      </c>
      <c r="E315" s="1099">
        <v>35344</v>
      </c>
      <c r="F315" s="9">
        <f t="shared" ca="1" si="8"/>
        <v>29</v>
      </c>
      <c r="G315" s="1100">
        <v>44494</v>
      </c>
      <c r="H315" s="1098" t="s">
        <v>271</v>
      </c>
      <c r="I315" s="1099">
        <v>45011</v>
      </c>
      <c r="J315" s="583" t="s">
        <v>271</v>
      </c>
      <c r="K315" s="755" t="str">
        <f t="shared" si="9"/>
        <v>I</v>
      </c>
      <c r="L315" s="756" t="str">
        <f t="shared" si="10"/>
        <v>G8</v>
      </c>
      <c r="M315" s="756" t="str">
        <f t="shared" si="11"/>
        <v>J1</v>
      </c>
      <c r="N315" s="757" t="str">
        <f t="shared" si="12"/>
        <v/>
      </c>
      <c r="O315" s="8">
        <f t="shared" si="14"/>
        <v>46107</v>
      </c>
      <c r="P315" s="9" t="str">
        <f t="shared" ca="1" si="15"/>
        <v>ATRASADO</v>
      </c>
      <c r="Q315" s="1098" t="s">
        <v>1556</v>
      </c>
      <c r="R315" s="1096"/>
      <c r="S315" s="9" t="str">
        <f t="shared" si="13"/>
        <v/>
      </c>
    </row>
    <row r="316" spans="1:19" x14ac:dyDescent="0.3">
      <c r="A316" s="9">
        <v>313</v>
      </c>
      <c r="B316" s="1101" t="s">
        <v>346</v>
      </c>
      <c r="C316" s="1097" t="s">
        <v>3930</v>
      </c>
      <c r="D316" s="1098" t="s">
        <v>3931</v>
      </c>
      <c r="E316" s="1099">
        <v>21893</v>
      </c>
      <c r="F316" s="9">
        <f t="shared" ca="1" si="8"/>
        <v>66</v>
      </c>
      <c r="G316" s="1100">
        <v>43914</v>
      </c>
      <c r="H316" s="1098" t="s">
        <v>1873</v>
      </c>
      <c r="I316" s="1099">
        <v>44998</v>
      </c>
      <c r="J316" s="583" t="s">
        <v>271</v>
      </c>
      <c r="K316" s="755" t="str">
        <f t="shared" si="9"/>
        <v>I</v>
      </c>
      <c r="L316" s="756" t="str">
        <f t="shared" si="10"/>
        <v>G8</v>
      </c>
      <c r="M316" s="756" t="str">
        <f t="shared" si="11"/>
        <v>J1</v>
      </c>
      <c r="N316" s="757" t="str">
        <f t="shared" si="12"/>
        <v/>
      </c>
      <c r="O316" s="8">
        <f t="shared" si="14"/>
        <v>46094</v>
      </c>
      <c r="P316" s="9" t="str">
        <f t="shared" ca="1" si="15"/>
        <v>ATRASADO</v>
      </c>
      <c r="Q316" s="1098" t="s">
        <v>1556</v>
      </c>
      <c r="R316" s="1096"/>
      <c r="S316" s="9" t="str">
        <f t="shared" si="13"/>
        <v/>
      </c>
    </row>
    <row r="317" spans="1:19" x14ac:dyDescent="0.3">
      <c r="A317" s="9">
        <v>314</v>
      </c>
      <c r="B317" s="1101" t="s">
        <v>346</v>
      </c>
      <c r="C317" s="1097" t="s">
        <v>3932</v>
      </c>
      <c r="D317" s="1098" t="s">
        <v>3933</v>
      </c>
      <c r="E317" s="1099">
        <v>27045</v>
      </c>
      <c r="F317" s="9">
        <f t="shared" ca="1" si="8"/>
        <v>52</v>
      </c>
      <c r="G317" s="1100">
        <v>44490</v>
      </c>
      <c r="H317" s="1098" t="s">
        <v>327</v>
      </c>
      <c r="I317" s="1099">
        <v>45014</v>
      </c>
      <c r="J317" s="583" t="s">
        <v>271</v>
      </c>
      <c r="K317" s="755" t="str">
        <f t="shared" si="9"/>
        <v>I</v>
      </c>
      <c r="L317" s="756" t="str">
        <f t="shared" si="10"/>
        <v>G8</v>
      </c>
      <c r="M317" s="756" t="str">
        <f t="shared" si="11"/>
        <v>J1</v>
      </c>
      <c r="N317" s="757" t="str">
        <f t="shared" si="12"/>
        <v/>
      </c>
      <c r="O317" s="8">
        <f t="shared" si="14"/>
        <v>46110</v>
      </c>
      <c r="P317" s="9" t="str">
        <f t="shared" ca="1" si="15"/>
        <v>ATRASADO</v>
      </c>
      <c r="Q317" s="1098" t="s">
        <v>1556</v>
      </c>
      <c r="R317" s="1096"/>
      <c r="S317" s="9" t="str">
        <f t="shared" si="13"/>
        <v/>
      </c>
    </row>
    <row r="318" spans="1:19" x14ac:dyDescent="0.3">
      <c r="A318" s="9">
        <v>315</v>
      </c>
      <c r="B318" s="1101" t="s">
        <v>346</v>
      </c>
      <c r="C318" s="1097" t="s">
        <v>3934</v>
      </c>
      <c r="D318" s="1098" t="s">
        <v>3935</v>
      </c>
      <c r="E318" s="1099">
        <v>35282</v>
      </c>
      <c r="F318" s="9">
        <f t="shared" ca="1" si="8"/>
        <v>30</v>
      </c>
      <c r="G318" s="1100">
        <v>43430</v>
      </c>
      <c r="H318" s="1098" t="s">
        <v>275</v>
      </c>
      <c r="I318" s="1099">
        <v>44986</v>
      </c>
      <c r="J318" s="583" t="s">
        <v>271</v>
      </c>
      <c r="K318" s="755" t="str">
        <f t="shared" si="9"/>
        <v>I</v>
      </c>
      <c r="L318" s="756" t="str">
        <f t="shared" si="10"/>
        <v>G8</v>
      </c>
      <c r="M318" s="756" t="str">
        <f t="shared" si="11"/>
        <v>J1</v>
      </c>
      <c r="N318" s="757" t="str">
        <f t="shared" si="12"/>
        <v/>
      </c>
      <c r="O318" s="8">
        <f t="shared" si="14"/>
        <v>46082</v>
      </c>
      <c r="P318" s="9" t="str">
        <f t="shared" ca="1" si="15"/>
        <v>ATRASADO</v>
      </c>
      <c r="Q318" s="1098" t="s">
        <v>1556</v>
      </c>
      <c r="R318" s="1096"/>
      <c r="S318" s="9" t="str">
        <f t="shared" si="13"/>
        <v/>
      </c>
    </row>
    <row r="319" spans="1:19" x14ac:dyDescent="0.3">
      <c r="A319" s="9">
        <v>316</v>
      </c>
      <c r="B319" s="1101" t="s">
        <v>346</v>
      </c>
      <c r="C319" s="1097" t="s">
        <v>3936</v>
      </c>
      <c r="D319" s="1098" t="s">
        <v>3937</v>
      </c>
      <c r="E319" s="1099">
        <v>35297</v>
      </c>
      <c r="F319" s="9">
        <f t="shared" ca="1" si="8"/>
        <v>30</v>
      </c>
      <c r="G319" s="1100">
        <v>44324</v>
      </c>
      <c r="H319" s="1098" t="s">
        <v>271</v>
      </c>
      <c r="I319" s="1099">
        <v>44994</v>
      </c>
      <c r="J319" s="583" t="s">
        <v>275</v>
      </c>
      <c r="K319" s="755" t="str">
        <f t="shared" si="9"/>
        <v>I</v>
      </c>
      <c r="L319" s="756" t="str">
        <f t="shared" si="10"/>
        <v>G8</v>
      </c>
      <c r="M319" s="756" t="str">
        <f t="shared" si="11"/>
        <v/>
      </c>
      <c r="N319" s="757" t="str">
        <f t="shared" si="12"/>
        <v/>
      </c>
      <c r="O319" s="8">
        <f t="shared" si="14"/>
        <v>46090</v>
      </c>
      <c r="P319" s="9" t="str">
        <f t="shared" ca="1" si="15"/>
        <v>ATRASADO</v>
      </c>
      <c r="Q319" s="1098" t="s">
        <v>1556</v>
      </c>
      <c r="R319" s="1096"/>
      <c r="S319" s="9" t="str">
        <f t="shared" si="13"/>
        <v/>
      </c>
    </row>
    <row r="320" spans="1:19" x14ac:dyDescent="0.3">
      <c r="A320" s="9">
        <v>317</v>
      </c>
      <c r="B320" s="1101" t="s">
        <v>346</v>
      </c>
      <c r="C320" s="1097" t="s">
        <v>3938</v>
      </c>
      <c r="D320" s="1098" t="s">
        <v>3939</v>
      </c>
      <c r="E320" s="1099">
        <v>30013</v>
      </c>
      <c r="F320" s="9">
        <f t="shared" ca="1" si="8"/>
        <v>44</v>
      </c>
      <c r="G320" s="1100">
        <v>44493</v>
      </c>
      <c r="H320" s="1098" t="s">
        <v>327</v>
      </c>
      <c r="I320" s="1099">
        <v>44992</v>
      </c>
      <c r="J320" s="583" t="s">
        <v>271</v>
      </c>
      <c r="K320" s="755" t="str">
        <f t="shared" si="9"/>
        <v>I</v>
      </c>
      <c r="L320" s="756" t="str">
        <f t="shared" si="10"/>
        <v>G8</v>
      </c>
      <c r="M320" s="756" t="str">
        <f t="shared" si="11"/>
        <v>J1</v>
      </c>
      <c r="N320" s="757" t="str">
        <f t="shared" si="12"/>
        <v/>
      </c>
      <c r="O320" s="8">
        <f t="shared" si="14"/>
        <v>46088</v>
      </c>
      <c r="P320" s="9" t="str">
        <f t="shared" ca="1" si="15"/>
        <v>ATRASADO</v>
      </c>
      <c r="Q320" s="1098" t="s">
        <v>1556</v>
      </c>
      <c r="R320" s="1096"/>
      <c r="S320" s="9" t="str">
        <f t="shared" si="13"/>
        <v/>
      </c>
    </row>
    <row r="321" spans="1:19" x14ac:dyDescent="0.3">
      <c r="A321" s="9">
        <v>318</v>
      </c>
      <c r="B321" s="1108" t="s">
        <v>75</v>
      </c>
      <c r="C321" s="1103" t="s">
        <v>3940</v>
      </c>
      <c r="D321" s="1105" t="s">
        <v>3941</v>
      </c>
      <c r="E321" s="1106">
        <v>22502</v>
      </c>
      <c r="F321" s="9">
        <f t="shared" ca="1" si="8"/>
        <v>65</v>
      </c>
      <c r="G321" s="1107">
        <v>43584</v>
      </c>
      <c r="H321" s="1105" t="s">
        <v>275</v>
      </c>
      <c r="I321" s="1106">
        <v>44992</v>
      </c>
      <c r="J321" s="583" t="s">
        <v>271</v>
      </c>
      <c r="K321" s="755" t="str">
        <f t="shared" si="9"/>
        <v>I</v>
      </c>
      <c r="L321" s="756" t="str">
        <f t="shared" si="10"/>
        <v>G8</v>
      </c>
      <c r="M321" s="756" t="str">
        <f t="shared" si="11"/>
        <v>J1</v>
      </c>
      <c r="N321" s="757" t="str">
        <f t="shared" si="12"/>
        <v/>
      </c>
      <c r="O321" s="8">
        <f t="shared" si="14"/>
        <v>46088</v>
      </c>
      <c r="P321" s="9" t="str">
        <f t="shared" ca="1" si="15"/>
        <v>ATRASADO</v>
      </c>
      <c r="Q321" s="1105" t="s">
        <v>1556</v>
      </c>
      <c r="R321" s="1102"/>
      <c r="S321" s="9" t="str">
        <f t="shared" si="13"/>
        <v/>
      </c>
    </row>
    <row r="322" spans="1:19" x14ac:dyDescent="0.3">
      <c r="A322" s="9">
        <v>319</v>
      </c>
      <c r="B322" s="1108" t="s">
        <v>75</v>
      </c>
      <c r="C322" s="1103" t="s">
        <v>3942</v>
      </c>
      <c r="D322" s="1105" t="s">
        <v>3943</v>
      </c>
      <c r="E322" s="1106">
        <v>20720</v>
      </c>
      <c r="F322" s="9">
        <f t="shared" ca="1" si="8"/>
        <v>70</v>
      </c>
      <c r="G322" s="1107">
        <v>43362</v>
      </c>
      <c r="H322" s="1105" t="s">
        <v>271</v>
      </c>
      <c r="I322" s="1106">
        <v>45015</v>
      </c>
      <c r="J322" s="583" t="s">
        <v>271</v>
      </c>
      <c r="K322" s="755" t="str">
        <f t="shared" si="9"/>
        <v>I</v>
      </c>
      <c r="L322" s="756" t="str">
        <f t="shared" si="10"/>
        <v>G8</v>
      </c>
      <c r="M322" s="756" t="str">
        <f t="shared" si="11"/>
        <v>J1</v>
      </c>
      <c r="N322" s="757" t="str">
        <f t="shared" si="12"/>
        <v/>
      </c>
      <c r="O322" s="8">
        <f t="shared" si="14"/>
        <v>46111</v>
      </c>
      <c r="P322" s="9" t="str">
        <f t="shared" ca="1" si="15"/>
        <v>ATRASADO</v>
      </c>
      <c r="Q322" s="1105" t="s">
        <v>1556</v>
      </c>
      <c r="R322" s="1102"/>
      <c r="S322" s="9" t="str">
        <f t="shared" si="13"/>
        <v/>
      </c>
    </row>
    <row r="323" spans="1:19" x14ac:dyDescent="0.3">
      <c r="A323" s="9">
        <v>320</v>
      </c>
      <c r="B323" s="1108" t="s">
        <v>75</v>
      </c>
      <c r="C323" s="1103" t="s">
        <v>3944</v>
      </c>
      <c r="D323" s="1105" t="s">
        <v>3945</v>
      </c>
      <c r="E323" s="1106">
        <v>35631</v>
      </c>
      <c r="F323" s="9">
        <f t="shared" ca="1" si="8"/>
        <v>29</v>
      </c>
      <c r="G323" s="1105" t="s">
        <v>8</v>
      </c>
      <c r="H323" s="1105" t="s">
        <v>271</v>
      </c>
      <c r="I323" s="1106">
        <v>45006</v>
      </c>
      <c r="J323" s="583" t="s">
        <v>275</v>
      </c>
      <c r="K323" s="755" t="str">
        <f t="shared" si="9"/>
        <v>I</v>
      </c>
      <c r="L323" s="756" t="str">
        <f t="shared" si="10"/>
        <v>G8</v>
      </c>
      <c r="M323" s="756" t="str">
        <f t="shared" si="11"/>
        <v/>
      </c>
      <c r="N323" s="757" t="str">
        <f t="shared" si="12"/>
        <v/>
      </c>
      <c r="O323" s="8">
        <f t="shared" si="14"/>
        <v>46102</v>
      </c>
      <c r="P323" s="9" t="str">
        <f t="shared" ca="1" si="15"/>
        <v>ATRASADO</v>
      </c>
      <c r="Q323" s="1105" t="s">
        <v>1556</v>
      </c>
      <c r="R323" s="1104"/>
      <c r="S323" s="9" t="str">
        <f t="shared" si="13"/>
        <v/>
      </c>
    </row>
    <row r="324" spans="1:19" x14ac:dyDescent="0.3">
      <c r="A324" s="9">
        <v>321</v>
      </c>
      <c r="B324" s="1108" t="s">
        <v>75</v>
      </c>
      <c r="C324" s="1103" t="s">
        <v>3946</v>
      </c>
      <c r="D324" s="1105" t="s">
        <v>3947</v>
      </c>
      <c r="E324" s="1106">
        <v>23761</v>
      </c>
      <c r="F324" s="9">
        <f t="shared" ca="1" si="8"/>
        <v>61</v>
      </c>
      <c r="G324" s="1105" t="s">
        <v>8</v>
      </c>
      <c r="H324" s="1105" t="s">
        <v>271</v>
      </c>
      <c r="I324" s="1106">
        <v>45011</v>
      </c>
      <c r="J324" s="583" t="s">
        <v>275</v>
      </c>
      <c r="K324" s="755" t="str">
        <f t="shared" si="9"/>
        <v>I</v>
      </c>
      <c r="L324" s="756" t="str">
        <f t="shared" si="10"/>
        <v>G8</v>
      </c>
      <c r="M324" s="756" t="str">
        <f t="shared" si="11"/>
        <v/>
      </c>
      <c r="N324" s="757" t="str">
        <f t="shared" si="12"/>
        <v/>
      </c>
      <c r="O324" s="8">
        <f t="shared" si="14"/>
        <v>46107</v>
      </c>
      <c r="P324" s="9" t="str">
        <f t="shared" ca="1" si="15"/>
        <v>ATRASADO</v>
      </c>
      <c r="Q324" s="1105" t="s">
        <v>1556</v>
      </c>
      <c r="R324" s="1102"/>
      <c r="S324" s="9" t="str">
        <f t="shared" si="13"/>
        <v/>
      </c>
    </row>
    <row r="325" spans="1:19" x14ac:dyDescent="0.3">
      <c r="A325" s="9">
        <v>322</v>
      </c>
      <c r="B325" s="1108" t="s">
        <v>75</v>
      </c>
      <c r="C325" s="1103" t="s">
        <v>3948</v>
      </c>
      <c r="D325" s="1105" t="s">
        <v>3949</v>
      </c>
      <c r="E325" s="1106">
        <v>28017</v>
      </c>
      <c r="F325" s="9">
        <f t="shared" ca="1" si="8"/>
        <v>50</v>
      </c>
      <c r="G325" s="1105" t="s">
        <v>8</v>
      </c>
      <c r="H325" s="1105" t="s">
        <v>324</v>
      </c>
      <c r="I325" s="1106">
        <v>44988</v>
      </c>
      <c r="J325" s="583" t="s">
        <v>275</v>
      </c>
      <c r="K325" s="755" t="str">
        <f t="shared" si="9"/>
        <v>I</v>
      </c>
      <c r="L325" s="756" t="str">
        <f t="shared" si="10"/>
        <v>G8</v>
      </c>
      <c r="M325" s="756" t="str">
        <f t="shared" si="11"/>
        <v/>
      </c>
      <c r="N325" s="757" t="str">
        <f t="shared" si="12"/>
        <v/>
      </c>
      <c r="O325" s="8">
        <f t="shared" si="14"/>
        <v>46084</v>
      </c>
      <c r="P325" s="9" t="str">
        <f t="shared" ca="1" si="15"/>
        <v>ATRASADO</v>
      </c>
      <c r="Q325" s="1105" t="s">
        <v>1556</v>
      </c>
      <c r="R325" s="1102"/>
      <c r="S325" s="9" t="str">
        <f t="shared" si="13"/>
        <v/>
      </c>
    </row>
    <row r="326" spans="1:19" x14ac:dyDescent="0.3">
      <c r="A326" s="9">
        <v>323</v>
      </c>
      <c r="B326" s="1108" t="s">
        <v>75</v>
      </c>
      <c r="C326" s="1103" t="s">
        <v>3950</v>
      </c>
      <c r="D326" s="1105" t="s">
        <v>3951</v>
      </c>
      <c r="E326" s="1106">
        <v>33599</v>
      </c>
      <c r="F326" s="9">
        <f t="shared" ca="1" si="8"/>
        <v>34</v>
      </c>
      <c r="G326" s="1105" t="s">
        <v>8</v>
      </c>
      <c r="H326" s="1105" t="s">
        <v>271</v>
      </c>
      <c r="I326" s="1106">
        <v>44988</v>
      </c>
      <c r="J326" s="583" t="s">
        <v>8</v>
      </c>
      <c r="K326" s="755" t="str">
        <f t="shared" si="9"/>
        <v>SI</v>
      </c>
      <c r="L326" s="756" t="str">
        <f t="shared" si="10"/>
        <v xml:space="preserve">N </v>
      </c>
      <c r="M326" s="756" t="str">
        <f t="shared" si="11"/>
        <v>RE</v>
      </c>
      <c r="N326" s="757" t="str">
        <f t="shared" si="12"/>
        <v>GI</v>
      </c>
      <c r="O326" s="8">
        <f t="shared" si="14"/>
        <v>46084</v>
      </c>
      <c r="P326" s="9" t="str">
        <f t="shared" ca="1" si="15"/>
        <v>ATRASADO</v>
      </c>
      <c r="Q326" s="1105" t="s">
        <v>1556</v>
      </c>
      <c r="R326" s="1102"/>
      <c r="S326" s="9" t="str">
        <f t="shared" si="13"/>
        <v/>
      </c>
    </row>
    <row r="327" spans="1:19" x14ac:dyDescent="0.3">
      <c r="A327" s="9">
        <v>324</v>
      </c>
      <c r="B327" s="1108" t="s">
        <v>75</v>
      </c>
      <c r="C327" s="1103" t="s">
        <v>3952</v>
      </c>
      <c r="D327" s="1105" t="s">
        <v>3953</v>
      </c>
      <c r="E327" s="1106">
        <v>29356</v>
      </c>
      <c r="F327" s="9">
        <f t="shared" ca="1" si="8"/>
        <v>46</v>
      </c>
      <c r="G327" s="1105" t="s">
        <v>8</v>
      </c>
      <c r="H327" s="1105" t="s">
        <v>275</v>
      </c>
      <c r="I327" s="1106">
        <v>45013</v>
      </c>
      <c r="J327" s="583" t="s">
        <v>8</v>
      </c>
      <c r="K327" s="755" t="str">
        <f t="shared" si="9"/>
        <v>SI</v>
      </c>
      <c r="L327" s="756" t="str">
        <f t="shared" si="10"/>
        <v xml:space="preserve">N </v>
      </c>
      <c r="M327" s="756" t="str">
        <f t="shared" si="11"/>
        <v>RE</v>
      </c>
      <c r="N327" s="757" t="str">
        <f t="shared" si="12"/>
        <v>GI</v>
      </c>
      <c r="O327" s="8">
        <f t="shared" si="14"/>
        <v>46109</v>
      </c>
      <c r="P327" s="9" t="str">
        <f t="shared" ca="1" si="15"/>
        <v>ATRASADO</v>
      </c>
      <c r="Q327" s="1105" t="s">
        <v>1556</v>
      </c>
      <c r="R327" s="1104"/>
      <c r="S327" s="9" t="str">
        <f t="shared" si="13"/>
        <v/>
      </c>
    </row>
    <row r="328" spans="1:19" x14ac:dyDescent="0.3">
      <c r="A328" s="9">
        <v>325</v>
      </c>
      <c r="B328" s="1108" t="s">
        <v>75</v>
      </c>
      <c r="C328" s="1103" t="s">
        <v>3954</v>
      </c>
      <c r="D328" s="1105" t="s">
        <v>3955</v>
      </c>
      <c r="E328" s="1106">
        <v>28180</v>
      </c>
      <c r="F328" s="9">
        <f t="shared" ca="1" si="8"/>
        <v>49</v>
      </c>
      <c r="G328" s="1107">
        <v>44065</v>
      </c>
      <c r="H328" s="1105" t="s">
        <v>271</v>
      </c>
      <c r="I328" s="1106">
        <v>45015</v>
      </c>
      <c r="J328" s="583" t="s">
        <v>271</v>
      </c>
      <c r="K328" s="755" t="str">
        <f t="shared" si="9"/>
        <v>I</v>
      </c>
      <c r="L328" s="756" t="str">
        <f t="shared" si="10"/>
        <v>G8</v>
      </c>
      <c r="M328" s="756" t="str">
        <f t="shared" si="11"/>
        <v>J1</v>
      </c>
      <c r="N328" s="757" t="str">
        <f t="shared" si="12"/>
        <v/>
      </c>
      <c r="O328" s="8">
        <f t="shared" si="14"/>
        <v>46111</v>
      </c>
      <c r="P328" s="9" t="str">
        <f t="shared" ca="1" si="15"/>
        <v>ATRASADO</v>
      </c>
      <c r="Q328" s="1105" t="s">
        <v>1556</v>
      </c>
      <c r="R328" s="1102"/>
      <c r="S328" s="9" t="str">
        <f t="shared" si="13"/>
        <v/>
      </c>
    </row>
    <row r="329" spans="1:19" x14ac:dyDescent="0.3">
      <c r="A329" s="9">
        <v>326</v>
      </c>
      <c r="B329" s="1108" t="s">
        <v>75</v>
      </c>
      <c r="C329" s="1103" t="s">
        <v>3956</v>
      </c>
      <c r="D329" s="1105" t="s">
        <v>3957</v>
      </c>
      <c r="E329" s="1106">
        <v>32870</v>
      </c>
      <c r="F329" s="9">
        <f t="shared" ca="1" si="8"/>
        <v>36</v>
      </c>
      <c r="G329" s="1107">
        <v>44183</v>
      </c>
      <c r="H329" s="1105" t="s">
        <v>275</v>
      </c>
      <c r="I329" s="1106">
        <v>44988</v>
      </c>
      <c r="J329" s="583" t="s">
        <v>275</v>
      </c>
      <c r="K329" s="755" t="str">
        <f t="shared" si="9"/>
        <v>I</v>
      </c>
      <c r="L329" s="756" t="str">
        <f t="shared" si="10"/>
        <v>G8</v>
      </c>
      <c r="M329" s="756" t="str">
        <f t="shared" si="11"/>
        <v/>
      </c>
      <c r="N329" s="757" t="str">
        <f t="shared" si="12"/>
        <v/>
      </c>
      <c r="O329" s="8">
        <f t="shared" si="14"/>
        <v>46084</v>
      </c>
      <c r="P329" s="9" t="str">
        <f t="shared" ca="1" si="15"/>
        <v>ATRASADO</v>
      </c>
      <c r="Q329" s="1105" t="s">
        <v>1556</v>
      </c>
      <c r="R329" s="1104" t="s">
        <v>2540</v>
      </c>
      <c r="S329" s="9" t="str">
        <f t="shared" si="13"/>
        <v/>
      </c>
    </row>
    <row r="330" spans="1:19" x14ac:dyDescent="0.3">
      <c r="A330" s="9">
        <v>327</v>
      </c>
      <c r="B330" s="1108" t="s">
        <v>75</v>
      </c>
      <c r="C330" s="1103" t="s">
        <v>3958</v>
      </c>
      <c r="D330" s="1105" t="s">
        <v>3959</v>
      </c>
      <c r="E330" s="1106">
        <v>21829</v>
      </c>
      <c r="F330" s="9">
        <f t="shared" ca="1" si="8"/>
        <v>66</v>
      </c>
      <c r="G330" s="1107">
        <v>44064</v>
      </c>
      <c r="H330" s="1105" t="s">
        <v>275</v>
      </c>
      <c r="I330" s="1106">
        <v>45004</v>
      </c>
      <c r="J330" s="583" t="s">
        <v>275</v>
      </c>
      <c r="K330" s="755" t="str">
        <f t="shared" si="9"/>
        <v>I</v>
      </c>
      <c r="L330" s="756" t="str">
        <f t="shared" si="10"/>
        <v>G8</v>
      </c>
      <c r="M330" s="756" t="str">
        <f t="shared" si="11"/>
        <v/>
      </c>
      <c r="N330" s="757" t="str">
        <f t="shared" si="12"/>
        <v/>
      </c>
      <c r="O330" s="8">
        <f t="shared" si="14"/>
        <v>46100</v>
      </c>
      <c r="P330" s="9" t="str">
        <f t="shared" ca="1" si="15"/>
        <v>ATRASADO</v>
      </c>
      <c r="Q330" s="1105" t="s">
        <v>1556</v>
      </c>
      <c r="R330" s="1102"/>
      <c r="S330" s="9" t="str">
        <f t="shared" si="13"/>
        <v/>
      </c>
    </row>
    <row r="331" spans="1:19" x14ac:dyDescent="0.3">
      <c r="A331" s="9">
        <v>328</v>
      </c>
      <c r="B331" s="1108" t="s">
        <v>75</v>
      </c>
      <c r="C331" s="1103" t="s">
        <v>3960</v>
      </c>
      <c r="D331" s="1105" t="s">
        <v>3961</v>
      </c>
      <c r="E331" s="1106">
        <v>29598</v>
      </c>
      <c r="F331" s="9">
        <f t="shared" ca="1" si="8"/>
        <v>45</v>
      </c>
      <c r="G331" s="1105" t="s">
        <v>8</v>
      </c>
      <c r="H331" s="1105" t="s">
        <v>8</v>
      </c>
      <c r="I331" s="1106">
        <v>45012</v>
      </c>
      <c r="J331" s="583" t="s">
        <v>275</v>
      </c>
      <c r="K331" s="755" t="str">
        <f t="shared" si="9"/>
        <v>I</v>
      </c>
      <c r="L331" s="756" t="str">
        <f t="shared" si="10"/>
        <v>G8</v>
      </c>
      <c r="M331" s="756" t="str">
        <f t="shared" si="11"/>
        <v/>
      </c>
      <c r="N331" s="757" t="str">
        <f t="shared" si="12"/>
        <v/>
      </c>
      <c r="O331" s="8">
        <f t="shared" si="14"/>
        <v>46108</v>
      </c>
      <c r="P331" s="9" t="str">
        <f t="shared" ca="1" si="15"/>
        <v>ATRASADO</v>
      </c>
      <c r="Q331" s="1105" t="s">
        <v>1556</v>
      </c>
      <c r="R331" s="1102"/>
      <c r="S331" s="9" t="str">
        <f t="shared" si="13"/>
        <v/>
      </c>
    </row>
    <row r="332" spans="1:19" x14ac:dyDescent="0.3">
      <c r="A332" s="9">
        <v>329</v>
      </c>
      <c r="B332" s="1108" t="s">
        <v>75</v>
      </c>
      <c r="C332" s="1103" t="s">
        <v>3962</v>
      </c>
      <c r="D332" s="1105" t="s">
        <v>3963</v>
      </c>
      <c r="E332" s="1106">
        <v>24962</v>
      </c>
      <c r="F332" s="9">
        <f t="shared" ca="1" si="8"/>
        <v>58</v>
      </c>
      <c r="G332" s="1107">
        <v>44271</v>
      </c>
      <c r="H332" s="1105" t="s">
        <v>8</v>
      </c>
      <c r="I332" s="1106">
        <v>45014</v>
      </c>
      <c r="J332" s="583" t="s">
        <v>271</v>
      </c>
      <c r="K332" s="755" t="str">
        <f t="shared" si="9"/>
        <v>I</v>
      </c>
      <c r="L332" s="756" t="str">
        <f t="shared" si="10"/>
        <v>G8</v>
      </c>
      <c r="M332" s="756" t="str">
        <f t="shared" si="11"/>
        <v>J1</v>
      </c>
      <c r="N332" s="757" t="str">
        <f t="shared" si="12"/>
        <v/>
      </c>
      <c r="O332" s="8">
        <f t="shared" si="14"/>
        <v>46110</v>
      </c>
      <c r="P332" s="9" t="str">
        <f t="shared" ca="1" si="15"/>
        <v>ATRASADO</v>
      </c>
      <c r="Q332" s="1105" t="s">
        <v>1556</v>
      </c>
      <c r="R332" s="1104"/>
      <c r="S332" s="9" t="str">
        <f t="shared" si="13"/>
        <v/>
      </c>
    </row>
    <row r="333" spans="1:19" x14ac:dyDescent="0.3">
      <c r="A333" s="9">
        <v>330</v>
      </c>
      <c r="B333" s="1114" t="s">
        <v>75</v>
      </c>
      <c r="C333" s="1110" t="s">
        <v>3964</v>
      </c>
      <c r="D333" s="1112" t="s">
        <v>3965</v>
      </c>
      <c r="E333" s="1113">
        <v>30962</v>
      </c>
      <c r="F333" s="9">
        <f t="shared" ca="1" si="8"/>
        <v>41</v>
      </c>
      <c r="G333" s="1112" t="s">
        <v>8</v>
      </c>
      <c r="H333" s="1112" t="s">
        <v>271</v>
      </c>
      <c r="I333" s="1113">
        <v>45007</v>
      </c>
      <c r="J333" s="583" t="s">
        <v>275</v>
      </c>
      <c r="K333" s="755" t="str">
        <f t="shared" si="9"/>
        <v>I</v>
      </c>
      <c r="L333" s="756" t="str">
        <f t="shared" si="10"/>
        <v>G8</v>
      </c>
      <c r="M333" s="756" t="str">
        <f t="shared" si="11"/>
        <v/>
      </c>
      <c r="N333" s="757" t="str">
        <f t="shared" si="12"/>
        <v/>
      </c>
      <c r="O333" s="8">
        <f t="shared" si="14"/>
        <v>46103</v>
      </c>
      <c r="P333" s="9" t="str">
        <f t="shared" ca="1" si="15"/>
        <v>ATRASADO</v>
      </c>
      <c r="Q333" s="1112" t="s">
        <v>1556</v>
      </c>
      <c r="R333" s="1109"/>
      <c r="S333" s="9" t="str">
        <f t="shared" si="13"/>
        <v/>
      </c>
    </row>
    <row r="334" spans="1:19" x14ac:dyDescent="0.3">
      <c r="A334" s="9">
        <v>331</v>
      </c>
      <c r="B334" s="1114" t="s">
        <v>75</v>
      </c>
      <c r="C334" s="1110" t="s">
        <v>3966</v>
      </c>
      <c r="D334" s="1112" t="s">
        <v>3967</v>
      </c>
      <c r="E334" s="1113">
        <v>30155</v>
      </c>
      <c r="F334" s="9">
        <f t="shared" ca="1" si="8"/>
        <v>44</v>
      </c>
      <c r="G334" s="1115">
        <v>44463</v>
      </c>
      <c r="H334" s="1112" t="s">
        <v>275</v>
      </c>
      <c r="I334" s="1113">
        <v>45001</v>
      </c>
      <c r="J334" s="583" t="s">
        <v>8</v>
      </c>
      <c r="K334" s="755" t="str">
        <f t="shared" si="9"/>
        <v>SI</v>
      </c>
      <c r="L334" s="756" t="str">
        <f t="shared" si="10"/>
        <v xml:space="preserve">N </v>
      </c>
      <c r="M334" s="756" t="str">
        <f t="shared" si="11"/>
        <v>RE</v>
      </c>
      <c r="N334" s="757" t="str">
        <f t="shared" si="12"/>
        <v>GI</v>
      </c>
      <c r="O334" s="8">
        <f t="shared" si="14"/>
        <v>46097</v>
      </c>
      <c r="P334" s="9" t="str">
        <f t="shared" ca="1" si="15"/>
        <v>ATRASADO</v>
      </c>
      <c r="Q334" s="1112" t="s">
        <v>1556</v>
      </c>
      <c r="R334" s="1109"/>
      <c r="S334" s="9" t="str">
        <f t="shared" si="13"/>
        <v/>
      </c>
    </row>
    <row r="335" spans="1:19" x14ac:dyDescent="0.3">
      <c r="A335" s="9">
        <v>332</v>
      </c>
      <c r="B335" s="1114" t="s">
        <v>75</v>
      </c>
      <c r="C335" s="1110" t="s">
        <v>3968</v>
      </c>
      <c r="D335" s="1112" t="s">
        <v>3969</v>
      </c>
      <c r="E335" s="1113">
        <v>27325</v>
      </c>
      <c r="F335" s="9">
        <f t="shared" ca="1" si="8"/>
        <v>51</v>
      </c>
      <c r="G335" s="1115">
        <v>43680</v>
      </c>
      <c r="H335" s="1112" t="s">
        <v>271</v>
      </c>
      <c r="I335" s="1113">
        <v>44988</v>
      </c>
      <c r="J335" s="583" t="s">
        <v>271</v>
      </c>
      <c r="K335" s="755" t="str">
        <f t="shared" si="9"/>
        <v>I</v>
      </c>
      <c r="L335" s="756" t="str">
        <f t="shared" si="10"/>
        <v>G8</v>
      </c>
      <c r="M335" s="756" t="str">
        <f t="shared" si="11"/>
        <v>J1</v>
      </c>
      <c r="N335" s="757" t="str">
        <f t="shared" si="12"/>
        <v/>
      </c>
      <c r="O335" s="8">
        <f t="shared" si="14"/>
        <v>46084</v>
      </c>
      <c r="P335" s="9" t="str">
        <f t="shared" ca="1" si="15"/>
        <v>ATRASADO</v>
      </c>
      <c r="Q335" s="1112" t="s">
        <v>1556</v>
      </c>
      <c r="R335" s="1109"/>
      <c r="S335" s="9" t="str">
        <f t="shared" si="13"/>
        <v/>
      </c>
    </row>
    <row r="336" spans="1:19" x14ac:dyDescent="0.3">
      <c r="A336" s="9">
        <v>333</v>
      </c>
      <c r="B336" s="1114" t="s">
        <v>75</v>
      </c>
      <c r="C336" s="1110" t="s">
        <v>3970</v>
      </c>
      <c r="D336" s="1112" t="s">
        <v>3971</v>
      </c>
      <c r="E336" s="1113">
        <v>21190</v>
      </c>
      <c r="F336" s="9">
        <f t="shared" ca="1" si="8"/>
        <v>68</v>
      </c>
      <c r="G336" s="1115">
        <v>43390</v>
      </c>
      <c r="H336" s="1112" t="s">
        <v>340</v>
      </c>
      <c r="I336" s="1113">
        <v>44989</v>
      </c>
      <c r="J336" s="583" t="s">
        <v>275</v>
      </c>
      <c r="K336" s="755" t="str">
        <f t="shared" si="9"/>
        <v>I</v>
      </c>
      <c r="L336" s="756" t="str">
        <f t="shared" si="10"/>
        <v>G8</v>
      </c>
      <c r="M336" s="756" t="str">
        <f t="shared" si="11"/>
        <v/>
      </c>
      <c r="N336" s="757" t="str">
        <f t="shared" si="12"/>
        <v/>
      </c>
      <c r="O336" s="8">
        <f t="shared" si="14"/>
        <v>46085</v>
      </c>
      <c r="P336" s="9" t="str">
        <f t="shared" ca="1" si="15"/>
        <v>ATRASADO</v>
      </c>
      <c r="Q336" s="1112" t="s">
        <v>1556</v>
      </c>
      <c r="R336" s="1111"/>
      <c r="S336" s="9" t="str">
        <f t="shared" si="13"/>
        <v/>
      </c>
    </row>
    <row r="337" spans="1:19" x14ac:dyDescent="0.3">
      <c r="A337" s="9">
        <v>334</v>
      </c>
      <c r="B337" s="1114" t="s">
        <v>75</v>
      </c>
      <c r="C337" s="1110" t="s">
        <v>3972</v>
      </c>
      <c r="D337" s="1112" t="s">
        <v>3973</v>
      </c>
      <c r="E337" s="1113">
        <v>29841</v>
      </c>
      <c r="F337" s="9">
        <f t="shared" ca="1" si="8"/>
        <v>45</v>
      </c>
      <c r="G337" s="1115">
        <v>43481</v>
      </c>
      <c r="H337" s="1112" t="s">
        <v>275</v>
      </c>
      <c r="I337" s="1113">
        <v>45000</v>
      </c>
      <c r="J337" s="583" t="s">
        <v>275</v>
      </c>
      <c r="K337" s="755" t="str">
        <f t="shared" si="9"/>
        <v>I</v>
      </c>
      <c r="L337" s="756" t="str">
        <f t="shared" si="10"/>
        <v>G8</v>
      </c>
      <c r="M337" s="756" t="str">
        <f t="shared" si="11"/>
        <v/>
      </c>
      <c r="N337" s="757" t="str">
        <f t="shared" si="12"/>
        <v/>
      </c>
      <c r="O337" s="8">
        <f t="shared" si="14"/>
        <v>46096</v>
      </c>
      <c r="P337" s="9" t="str">
        <f t="shared" ca="1" si="15"/>
        <v>ATRASADO</v>
      </c>
      <c r="Q337" s="1112" t="s">
        <v>1556</v>
      </c>
      <c r="R337" s="1109"/>
      <c r="S337" s="9" t="str">
        <f t="shared" si="13"/>
        <v/>
      </c>
    </row>
    <row r="338" spans="1:19" x14ac:dyDescent="0.3">
      <c r="A338" s="9">
        <v>335</v>
      </c>
      <c r="B338" s="1114" t="s">
        <v>75</v>
      </c>
      <c r="C338" s="1110" t="s">
        <v>3974</v>
      </c>
      <c r="D338" s="1112" t="s">
        <v>3975</v>
      </c>
      <c r="E338" s="1113">
        <v>27390</v>
      </c>
      <c r="F338" s="9">
        <f t="shared" ca="1" si="8"/>
        <v>51</v>
      </c>
      <c r="G338" s="1115">
        <v>43776</v>
      </c>
      <c r="H338" s="1112" t="s">
        <v>275</v>
      </c>
      <c r="I338" s="1113">
        <v>44989</v>
      </c>
      <c r="J338" s="583" t="s">
        <v>327</v>
      </c>
      <c r="K338" s="755" t="str">
        <f t="shared" si="9"/>
        <v>I</v>
      </c>
      <c r="L338" s="756" t="str">
        <f t="shared" si="10"/>
        <v>G7</v>
      </c>
      <c r="M338" s="756" t="str">
        <f t="shared" si="11"/>
        <v>S</v>
      </c>
      <c r="N338" s="757" t="str">
        <f t="shared" si="12"/>
        <v/>
      </c>
      <c r="O338" s="8">
        <f t="shared" si="14"/>
        <v>45355</v>
      </c>
      <c r="P338" s="9" t="str">
        <f t="shared" ca="1" si="15"/>
        <v>ATRASADO</v>
      </c>
      <c r="Q338" s="1112" t="s">
        <v>1556</v>
      </c>
      <c r="R338" s="1111" t="s">
        <v>2308</v>
      </c>
      <c r="S338" s="9" t="str">
        <f t="shared" si="13"/>
        <v/>
      </c>
    </row>
    <row r="339" spans="1:19" x14ac:dyDescent="0.3">
      <c r="A339" s="9">
        <v>336</v>
      </c>
      <c r="B339" s="1114" t="s">
        <v>75</v>
      </c>
      <c r="C339" s="1110" t="s">
        <v>3976</v>
      </c>
      <c r="D339" s="1112" t="s">
        <v>3977</v>
      </c>
      <c r="E339" s="1113">
        <v>24144</v>
      </c>
      <c r="F339" s="9">
        <f t="shared" ca="1" si="8"/>
        <v>60</v>
      </c>
      <c r="G339" s="1112" t="s">
        <v>8</v>
      </c>
      <c r="H339" s="1112" t="s">
        <v>275</v>
      </c>
      <c r="I339" s="1113">
        <v>45005</v>
      </c>
      <c r="J339" s="583" t="s">
        <v>8</v>
      </c>
      <c r="K339" s="755" t="str">
        <f t="shared" si="9"/>
        <v>SI</v>
      </c>
      <c r="L339" s="756" t="str">
        <f t="shared" si="10"/>
        <v xml:space="preserve">N </v>
      </c>
      <c r="M339" s="756" t="str">
        <f t="shared" si="11"/>
        <v>RE</v>
      </c>
      <c r="N339" s="757" t="str">
        <f t="shared" si="12"/>
        <v>GI</v>
      </c>
      <c r="O339" s="8">
        <f t="shared" si="14"/>
        <v>46101</v>
      </c>
      <c r="P339" s="9" t="str">
        <f t="shared" ca="1" si="15"/>
        <v>ATRASADO</v>
      </c>
      <c r="Q339" s="1112" t="s">
        <v>1556</v>
      </c>
      <c r="R339" s="1109"/>
      <c r="S339" s="9" t="str">
        <f t="shared" si="13"/>
        <v/>
      </c>
    </row>
    <row r="340" spans="1:19" x14ac:dyDescent="0.3">
      <c r="A340" s="9">
        <v>337</v>
      </c>
      <c r="B340" s="1129" t="s">
        <v>56</v>
      </c>
      <c r="C340" s="1124" t="s">
        <v>3978</v>
      </c>
      <c r="D340" s="1126" t="s">
        <v>3979</v>
      </c>
      <c r="E340" s="1127">
        <v>29850</v>
      </c>
      <c r="F340" s="9">
        <f t="shared" ca="1" si="8"/>
        <v>45</v>
      </c>
      <c r="G340" s="1128">
        <v>44334</v>
      </c>
      <c r="H340" s="1126" t="s">
        <v>275</v>
      </c>
      <c r="I340" s="1127">
        <v>45013</v>
      </c>
      <c r="J340" s="583" t="s">
        <v>271</v>
      </c>
      <c r="K340" s="755" t="str">
        <f t="shared" si="9"/>
        <v>I</v>
      </c>
      <c r="L340" s="756" t="str">
        <f t="shared" si="10"/>
        <v>G8</v>
      </c>
      <c r="M340" s="756" t="str">
        <f t="shared" si="11"/>
        <v>J1</v>
      </c>
      <c r="N340" s="757" t="str">
        <f t="shared" si="12"/>
        <v/>
      </c>
      <c r="O340" s="8">
        <f t="shared" si="14"/>
        <v>46109</v>
      </c>
      <c r="P340" s="9" t="str">
        <f t="shared" ca="1" si="15"/>
        <v>ATRASADO</v>
      </c>
      <c r="Q340" s="1126" t="s">
        <v>1556</v>
      </c>
      <c r="R340" s="1125"/>
      <c r="S340" s="9" t="str">
        <f t="shared" si="13"/>
        <v/>
      </c>
    </row>
    <row r="341" spans="1:19" x14ac:dyDescent="0.3">
      <c r="A341" s="9">
        <v>338</v>
      </c>
      <c r="B341" s="1129" t="s">
        <v>56</v>
      </c>
      <c r="C341" s="1124" t="s">
        <v>3980</v>
      </c>
      <c r="D341" s="1126" t="s">
        <v>3981</v>
      </c>
      <c r="E341" s="1127">
        <v>31857</v>
      </c>
      <c r="F341" s="9">
        <f t="shared" ca="1" si="8"/>
        <v>39</v>
      </c>
      <c r="G341" s="1128">
        <v>43273</v>
      </c>
      <c r="H341" s="1126" t="s">
        <v>275</v>
      </c>
      <c r="I341" s="1127">
        <v>44990</v>
      </c>
      <c r="J341" s="583" t="s">
        <v>8</v>
      </c>
      <c r="K341" s="755" t="str">
        <f t="shared" si="9"/>
        <v>SI</v>
      </c>
      <c r="L341" s="756" t="str">
        <f t="shared" si="10"/>
        <v xml:space="preserve">N </v>
      </c>
      <c r="M341" s="756" t="str">
        <f t="shared" si="11"/>
        <v>RE</v>
      </c>
      <c r="N341" s="757" t="str">
        <f t="shared" si="12"/>
        <v>GI</v>
      </c>
      <c r="O341" s="8">
        <f t="shared" si="14"/>
        <v>46086</v>
      </c>
      <c r="P341" s="9" t="str">
        <f t="shared" ca="1" si="15"/>
        <v>ATRASADO</v>
      </c>
      <c r="Q341" s="1126" t="s">
        <v>1556</v>
      </c>
      <c r="R341" s="1125"/>
      <c r="S341" s="9" t="str">
        <f t="shared" si="13"/>
        <v/>
      </c>
    </row>
    <row r="342" spans="1:19" x14ac:dyDescent="0.3">
      <c r="A342" s="9">
        <v>339</v>
      </c>
      <c r="B342" s="1129" t="s">
        <v>56</v>
      </c>
      <c r="C342" s="1124" t="s">
        <v>3982</v>
      </c>
      <c r="D342" s="1126" t="s">
        <v>3983</v>
      </c>
      <c r="E342" s="1127">
        <v>21787</v>
      </c>
      <c r="F342" s="9">
        <f t="shared" ca="1" si="8"/>
        <v>67</v>
      </c>
      <c r="G342" s="1126" t="s">
        <v>8</v>
      </c>
      <c r="H342" s="1126" t="s">
        <v>8</v>
      </c>
      <c r="I342" s="1127">
        <v>45015</v>
      </c>
      <c r="J342" s="583" t="s">
        <v>271</v>
      </c>
      <c r="K342" s="755" t="str">
        <f t="shared" si="9"/>
        <v>I</v>
      </c>
      <c r="L342" s="756" t="str">
        <f t="shared" si="10"/>
        <v>G8</v>
      </c>
      <c r="M342" s="756" t="str">
        <f t="shared" si="11"/>
        <v>J1</v>
      </c>
      <c r="N342" s="757" t="str">
        <f t="shared" si="12"/>
        <v/>
      </c>
      <c r="O342" s="8">
        <f t="shared" si="14"/>
        <v>46111</v>
      </c>
      <c r="P342" s="9" t="str">
        <f t="shared" ca="1" si="15"/>
        <v>ATRASADO</v>
      </c>
      <c r="Q342" s="1126" t="s">
        <v>1556</v>
      </c>
      <c r="R342" s="1123"/>
      <c r="S342" s="9" t="str">
        <f t="shared" si="13"/>
        <v/>
      </c>
    </row>
    <row r="343" spans="1:19" x14ac:dyDescent="0.3">
      <c r="A343" s="9">
        <v>340</v>
      </c>
      <c r="B343" s="1129" t="s">
        <v>56</v>
      </c>
      <c r="C343" s="1124" t="s">
        <v>3984</v>
      </c>
      <c r="D343" s="1126" t="s">
        <v>3985</v>
      </c>
      <c r="E343" s="1127">
        <v>26704</v>
      </c>
      <c r="F343" s="9">
        <f t="shared" ca="1" si="8"/>
        <v>53</v>
      </c>
      <c r="G343" s="1126" t="s">
        <v>8</v>
      </c>
      <c r="H343" s="1126" t="s">
        <v>275</v>
      </c>
      <c r="I343" s="1127">
        <v>45009</v>
      </c>
      <c r="J343" s="583" t="s">
        <v>8</v>
      </c>
      <c r="K343" s="755" t="str">
        <f t="shared" si="9"/>
        <v>SI</v>
      </c>
      <c r="L343" s="756" t="str">
        <f t="shared" si="10"/>
        <v xml:space="preserve">N </v>
      </c>
      <c r="M343" s="756" t="str">
        <f t="shared" si="11"/>
        <v>RE</v>
      </c>
      <c r="N343" s="757" t="str">
        <f t="shared" si="12"/>
        <v>GI</v>
      </c>
      <c r="O343" s="8">
        <f t="shared" si="14"/>
        <v>46105</v>
      </c>
      <c r="P343" s="9" t="str">
        <f t="shared" ca="1" si="15"/>
        <v>ATRASADO</v>
      </c>
      <c r="Q343" s="1126" t="s">
        <v>1556</v>
      </c>
      <c r="R343" s="1123"/>
      <c r="S343" s="9" t="str">
        <f t="shared" si="13"/>
        <v/>
      </c>
    </row>
    <row r="344" spans="1:19" x14ac:dyDescent="0.3">
      <c r="A344" s="9">
        <v>341</v>
      </c>
      <c r="B344" s="1129" t="s">
        <v>56</v>
      </c>
      <c r="C344" s="1124" t="s">
        <v>3986</v>
      </c>
      <c r="D344" s="1126" t="s">
        <v>3987</v>
      </c>
      <c r="E344" s="1127">
        <v>27886</v>
      </c>
      <c r="F344" s="9">
        <f t="shared" ca="1" si="8"/>
        <v>50</v>
      </c>
      <c r="G344" s="1126" t="s">
        <v>8</v>
      </c>
      <c r="H344" s="1126" t="s">
        <v>271</v>
      </c>
      <c r="I344" s="1127">
        <v>44988</v>
      </c>
      <c r="J344" s="583" t="s">
        <v>8</v>
      </c>
      <c r="K344" s="755" t="str">
        <f t="shared" si="9"/>
        <v>SI</v>
      </c>
      <c r="L344" s="756" t="str">
        <f t="shared" si="10"/>
        <v xml:space="preserve">N </v>
      </c>
      <c r="M344" s="756" t="str">
        <f t="shared" si="11"/>
        <v>RE</v>
      </c>
      <c r="N344" s="757" t="str">
        <f t="shared" si="12"/>
        <v>GI</v>
      </c>
      <c r="O344" s="8">
        <f t="shared" si="14"/>
        <v>46084</v>
      </c>
      <c r="P344" s="9" t="str">
        <f t="shared" ca="1" si="15"/>
        <v>ATRASADO</v>
      </c>
      <c r="Q344" s="1126" t="s">
        <v>1556</v>
      </c>
      <c r="R344" s="1123"/>
      <c r="S344" s="9" t="str">
        <f t="shared" si="13"/>
        <v/>
      </c>
    </row>
    <row r="345" spans="1:19" x14ac:dyDescent="0.3">
      <c r="A345" s="9">
        <v>342</v>
      </c>
      <c r="B345" s="1129" t="s">
        <v>56</v>
      </c>
      <c r="C345" s="1124" t="s">
        <v>3988</v>
      </c>
      <c r="D345" s="1126" t="s">
        <v>3989</v>
      </c>
      <c r="E345" s="1127">
        <v>26902</v>
      </c>
      <c r="F345" s="9">
        <f t="shared" ca="1" si="8"/>
        <v>53</v>
      </c>
      <c r="G345" s="1128">
        <v>44588</v>
      </c>
      <c r="H345" s="1126" t="s">
        <v>275</v>
      </c>
      <c r="I345" s="1127">
        <v>45015</v>
      </c>
      <c r="J345" s="583" t="s">
        <v>271</v>
      </c>
      <c r="K345" s="755" t="str">
        <f t="shared" si="9"/>
        <v>I</v>
      </c>
      <c r="L345" s="756" t="str">
        <f t="shared" si="10"/>
        <v>G8</v>
      </c>
      <c r="M345" s="756" t="str">
        <f t="shared" si="11"/>
        <v>J1</v>
      </c>
      <c r="N345" s="757" t="str">
        <f t="shared" si="12"/>
        <v/>
      </c>
      <c r="O345" s="8">
        <f t="shared" si="14"/>
        <v>46111</v>
      </c>
      <c r="P345" s="9" t="str">
        <f t="shared" ca="1" si="15"/>
        <v>ATRASADO</v>
      </c>
      <c r="Q345" s="1126" t="s">
        <v>1556</v>
      </c>
      <c r="R345" s="1123"/>
      <c r="S345" s="9" t="str">
        <f t="shared" si="13"/>
        <v/>
      </c>
    </row>
    <row r="346" spans="1:19" x14ac:dyDescent="0.3">
      <c r="A346" s="9">
        <v>343</v>
      </c>
      <c r="B346" s="1129" t="s">
        <v>56</v>
      </c>
      <c r="C346" s="1124" t="s">
        <v>3990</v>
      </c>
      <c r="D346" s="1126" t="s">
        <v>3991</v>
      </c>
      <c r="E346" s="1127">
        <v>20366</v>
      </c>
      <c r="F346" s="9">
        <f t="shared" ca="1" si="8"/>
        <v>70</v>
      </c>
      <c r="G346" s="1128">
        <v>43633</v>
      </c>
      <c r="H346" s="1126" t="s">
        <v>275</v>
      </c>
      <c r="I346" s="1127">
        <v>44994</v>
      </c>
      <c r="J346" s="583" t="s">
        <v>271</v>
      </c>
      <c r="K346" s="755" t="str">
        <f t="shared" si="9"/>
        <v>I</v>
      </c>
      <c r="L346" s="756" t="str">
        <f t="shared" si="10"/>
        <v>G8</v>
      </c>
      <c r="M346" s="756" t="str">
        <f t="shared" si="11"/>
        <v>J1</v>
      </c>
      <c r="N346" s="757" t="str">
        <f t="shared" si="12"/>
        <v/>
      </c>
      <c r="O346" s="8">
        <f t="shared" si="14"/>
        <v>46090</v>
      </c>
      <c r="P346" s="9" t="str">
        <f t="shared" ca="1" si="15"/>
        <v>ATRASADO</v>
      </c>
      <c r="Q346" s="1126" t="s">
        <v>1556</v>
      </c>
      <c r="R346" s="1123"/>
      <c r="S346" s="9" t="str">
        <f t="shared" si="13"/>
        <v/>
      </c>
    </row>
    <row r="347" spans="1:19" x14ac:dyDescent="0.3">
      <c r="A347" s="9">
        <v>344</v>
      </c>
      <c r="B347" s="1129" t="s">
        <v>56</v>
      </c>
      <c r="C347" s="1124" t="s">
        <v>3992</v>
      </c>
      <c r="D347" s="1126" t="s">
        <v>3993</v>
      </c>
      <c r="E347" s="1127">
        <v>21413</v>
      </c>
      <c r="F347" s="9">
        <f t="shared" ca="1" si="8"/>
        <v>68</v>
      </c>
      <c r="G347" s="1128">
        <v>43987</v>
      </c>
      <c r="H347" s="1126" t="s">
        <v>8</v>
      </c>
      <c r="I347" s="1127">
        <v>45008</v>
      </c>
      <c r="J347" s="583" t="s">
        <v>275</v>
      </c>
      <c r="K347" s="755" t="str">
        <f t="shared" si="9"/>
        <v>I</v>
      </c>
      <c r="L347" s="756" t="str">
        <f t="shared" si="10"/>
        <v>G8</v>
      </c>
      <c r="M347" s="756" t="str">
        <f t="shared" si="11"/>
        <v/>
      </c>
      <c r="N347" s="757" t="str">
        <f t="shared" si="12"/>
        <v/>
      </c>
      <c r="O347" s="8">
        <f t="shared" si="14"/>
        <v>46104</v>
      </c>
      <c r="P347" s="9" t="str">
        <f t="shared" ca="1" si="15"/>
        <v>ATRASADO</v>
      </c>
      <c r="Q347" s="1126" t="s">
        <v>1556</v>
      </c>
      <c r="R347" s="1125"/>
      <c r="S347" s="9" t="str">
        <f t="shared" si="13"/>
        <v/>
      </c>
    </row>
    <row r="348" spans="1:19" x14ac:dyDescent="0.3">
      <c r="A348" s="9">
        <v>345</v>
      </c>
      <c r="B348" s="1137" t="s">
        <v>111</v>
      </c>
      <c r="C348" s="1133" t="s">
        <v>3994</v>
      </c>
      <c r="D348" s="1134" t="s">
        <v>3995</v>
      </c>
      <c r="E348" s="1135">
        <v>29363</v>
      </c>
      <c r="F348" s="9">
        <f t="shared" ca="1" si="8"/>
        <v>46</v>
      </c>
      <c r="G348" s="1136">
        <v>44125</v>
      </c>
      <c r="H348" s="1134" t="s">
        <v>8</v>
      </c>
      <c r="I348" s="1135">
        <v>45011</v>
      </c>
      <c r="J348" s="583" t="s">
        <v>275</v>
      </c>
      <c r="K348" s="755" t="str">
        <f t="shared" si="9"/>
        <v>I</v>
      </c>
      <c r="L348" s="756" t="str">
        <f t="shared" si="10"/>
        <v>G8</v>
      </c>
      <c r="M348" s="756" t="str">
        <f t="shared" si="11"/>
        <v/>
      </c>
      <c r="N348" s="757" t="str">
        <f t="shared" si="12"/>
        <v/>
      </c>
      <c r="O348" s="8">
        <f t="shared" si="14"/>
        <v>46107</v>
      </c>
      <c r="P348" s="9" t="str">
        <f t="shared" ca="1" si="15"/>
        <v>ATRASADO</v>
      </c>
      <c r="Q348" s="1134" t="s">
        <v>1556</v>
      </c>
      <c r="R348" s="1132"/>
      <c r="S348" s="9" t="str">
        <f t="shared" si="13"/>
        <v/>
      </c>
    </row>
    <row r="349" spans="1:19" x14ac:dyDescent="0.3">
      <c r="A349" s="9">
        <v>346</v>
      </c>
      <c r="B349" s="1137" t="s">
        <v>111</v>
      </c>
      <c r="C349" s="1133" t="s">
        <v>3996</v>
      </c>
      <c r="D349" s="1134" t="s">
        <v>3997</v>
      </c>
      <c r="E349" s="1135">
        <v>22136</v>
      </c>
      <c r="F349" s="9">
        <f t="shared" ca="1" si="8"/>
        <v>66</v>
      </c>
      <c r="G349" s="1136">
        <v>43384</v>
      </c>
      <c r="H349" s="1134" t="s">
        <v>8</v>
      </c>
      <c r="I349" s="1135">
        <v>45011</v>
      </c>
      <c r="J349" s="583" t="s">
        <v>275</v>
      </c>
      <c r="K349" s="755" t="str">
        <f t="shared" si="9"/>
        <v>I</v>
      </c>
      <c r="L349" s="756" t="str">
        <f t="shared" si="10"/>
        <v>G8</v>
      </c>
      <c r="M349" s="756" t="str">
        <f t="shared" si="11"/>
        <v/>
      </c>
      <c r="N349" s="757" t="str">
        <f t="shared" si="12"/>
        <v/>
      </c>
      <c r="O349" s="8">
        <f t="shared" si="14"/>
        <v>46107</v>
      </c>
      <c r="P349" s="9" t="str">
        <f t="shared" ca="1" si="15"/>
        <v>ATRASADO</v>
      </c>
      <c r="Q349" s="1134" t="s">
        <v>1556</v>
      </c>
      <c r="R349" s="1132"/>
      <c r="S349" s="9" t="str">
        <f t="shared" si="13"/>
        <v/>
      </c>
    </row>
    <row r="350" spans="1:19" x14ac:dyDescent="0.3">
      <c r="A350" s="9">
        <v>347</v>
      </c>
      <c r="B350" s="1137" t="s">
        <v>111</v>
      </c>
      <c r="C350" s="1133" t="s">
        <v>3998</v>
      </c>
      <c r="D350" s="1134" t="s">
        <v>3999</v>
      </c>
      <c r="E350" s="1135">
        <v>31557</v>
      </c>
      <c r="F350" s="9">
        <f t="shared" ca="1" si="8"/>
        <v>40</v>
      </c>
      <c r="G350" s="1136">
        <v>44623</v>
      </c>
      <c r="H350" s="1134" t="s">
        <v>275</v>
      </c>
      <c r="I350" s="1135">
        <v>45009</v>
      </c>
      <c r="J350" s="583" t="s">
        <v>275</v>
      </c>
      <c r="K350" s="755" t="str">
        <f t="shared" si="9"/>
        <v>I</v>
      </c>
      <c r="L350" s="756" t="str">
        <f t="shared" si="10"/>
        <v>G8</v>
      </c>
      <c r="M350" s="756" t="str">
        <f t="shared" si="11"/>
        <v/>
      </c>
      <c r="N350" s="757" t="str">
        <f t="shared" si="12"/>
        <v/>
      </c>
      <c r="O350" s="8">
        <f t="shared" si="14"/>
        <v>46105</v>
      </c>
      <c r="P350" s="9" t="str">
        <f t="shared" ca="1" si="15"/>
        <v>ATRASADO</v>
      </c>
      <c r="Q350" s="1134" t="s">
        <v>1556</v>
      </c>
      <c r="R350" s="1138"/>
      <c r="S350" s="9" t="str">
        <f t="shared" si="13"/>
        <v/>
      </c>
    </row>
    <row r="351" spans="1:19" x14ac:dyDescent="0.3">
      <c r="A351" s="9">
        <v>348</v>
      </c>
      <c r="B351" s="1137" t="s">
        <v>111</v>
      </c>
      <c r="C351" s="1133" t="s">
        <v>4000</v>
      </c>
      <c r="D351" s="1134" t="s">
        <v>4001</v>
      </c>
      <c r="E351" s="1135">
        <v>26973</v>
      </c>
      <c r="F351" s="9">
        <f t="shared" ca="1" si="8"/>
        <v>52</v>
      </c>
      <c r="G351" s="1136">
        <v>44275</v>
      </c>
      <c r="H351" s="1134" t="s">
        <v>275</v>
      </c>
      <c r="I351" s="1135">
        <v>45003</v>
      </c>
      <c r="J351" s="583" t="s">
        <v>275</v>
      </c>
      <c r="K351" s="755" t="str">
        <f t="shared" si="9"/>
        <v>I</v>
      </c>
      <c r="L351" s="756" t="str">
        <f t="shared" si="10"/>
        <v>G8</v>
      </c>
      <c r="M351" s="756" t="str">
        <f t="shared" si="11"/>
        <v/>
      </c>
      <c r="N351" s="757" t="str">
        <f t="shared" si="12"/>
        <v/>
      </c>
      <c r="O351" s="8">
        <f t="shared" si="14"/>
        <v>46099</v>
      </c>
      <c r="P351" s="9" t="str">
        <f t="shared" ca="1" si="15"/>
        <v>ATRASADO</v>
      </c>
      <c r="Q351" s="1134" t="s">
        <v>1556</v>
      </c>
      <c r="R351" s="1132"/>
      <c r="S351" s="9" t="str">
        <f t="shared" si="13"/>
        <v/>
      </c>
    </row>
    <row r="352" spans="1:19" x14ac:dyDescent="0.3">
      <c r="A352" s="9">
        <v>349</v>
      </c>
      <c r="B352" s="1137" t="s">
        <v>111</v>
      </c>
      <c r="C352" s="1133" t="s">
        <v>4002</v>
      </c>
      <c r="D352" s="1134" t="s">
        <v>4003</v>
      </c>
      <c r="E352" s="1135">
        <v>35531</v>
      </c>
      <c r="F352" s="9">
        <f t="shared" ca="1" si="8"/>
        <v>29</v>
      </c>
      <c r="G352" s="1136">
        <v>44344</v>
      </c>
      <c r="H352" s="1134" t="s">
        <v>275</v>
      </c>
      <c r="I352" s="1135">
        <v>44987</v>
      </c>
      <c r="J352" s="583" t="s">
        <v>271</v>
      </c>
      <c r="K352" s="755" t="str">
        <f t="shared" si="9"/>
        <v>I</v>
      </c>
      <c r="L352" s="756" t="str">
        <f t="shared" si="10"/>
        <v>G8</v>
      </c>
      <c r="M352" s="756" t="str">
        <f t="shared" si="11"/>
        <v>J1</v>
      </c>
      <c r="N352" s="757" t="str">
        <f t="shared" si="12"/>
        <v/>
      </c>
      <c r="O352" s="8">
        <f t="shared" si="14"/>
        <v>46083</v>
      </c>
      <c r="P352" s="9" t="str">
        <f t="shared" ca="1" si="15"/>
        <v>ATRASADO</v>
      </c>
      <c r="Q352" s="1134" t="s">
        <v>1556</v>
      </c>
      <c r="R352" s="1139"/>
      <c r="S352" s="9" t="str">
        <f t="shared" si="13"/>
        <v/>
      </c>
    </row>
    <row r="353" spans="1:19" x14ac:dyDescent="0.3">
      <c r="A353" s="9">
        <v>350</v>
      </c>
      <c r="B353" s="1137" t="s">
        <v>111</v>
      </c>
      <c r="C353" s="1133" t="s">
        <v>4004</v>
      </c>
      <c r="D353" s="1134" t="s">
        <v>4005</v>
      </c>
      <c r="E353" s="1135">
        <v>21911</v>
      </c>
      <c r="F353" s="9">
        <f t="shared" ca="1" si="8"/>
        <v>66</v>
      </c>
      <c r="G353" s="1136">
        <v>44076</v>
      </c>
      <c r="H353" s="1134" t="s">
        <v>275</v>
      </c>
      <c r="I353" s="1135">
        <v>45015</v>
      </c>
      <c r="J353" s="583" t="s">
        <v>275</v>
      </c>
      <c r="K353" s="755" t="str">
        <f t="shared" si="9"/>
        <v>I</v>
      </c>
      <c r="L353" s="756" t="str">
        <f t="shared" si="10"/>
        <v>G8</v>
      </c>
      <c r="M353" s="756" t="str">
        <f t="shared" si="11"/>
        <v/>
      </c>
      <c r="N353" s="757" t="str">
        <f t="shared" si="12"/>
        <v/>
      </c>
      <c r="O353" s="8">
        <f t="shared" si="14"/>
        <v>46111</v>
      </c>
      <c r="P353" s="9" t="str">
        <f t="shared" ca="1" si="15"/>
        <v>ATRASADO</v>
      </c>
      <c r="Q353" s="1134" t="s">
        <v>1556</v>
      </c>
      <c r="R353" s="1139"/>
      <c r="S353" s="9" t="str">
        <f t="shared" si="13"/>
        <v/>
      </c>
    </row>
    <row r="354" spans="1:19" x14ac:dyDescent="0.3">
      <c r="A354" s="9">
        <v>351</v>
      </c>
      <c r="B354" s="1137" t="s">
        <v>111</v>
      </c>
      <c r="C354" s="1133" t="s">
        <v>4006</v>
      </c>
      <c r="D354" s="1134" t="s">
        <v>4007</v>
      </c>
      <c r="E354" s="1135">
        <v>25381</v>
      </c>
      <c r="F354" s="9">
        <f t="shared" ca="1" si="8"/>
        <v>57</v>
      </c>
      <c r="G354" s="1136">
        <v>44315</v>
      </c>
      <c r="H354" s="1134" t="s">
        <v>275</v>
      </c>
      <c r="I354" s="1135">
        <v>45016</v>
      </c>
      <c r="J354" s="583" t="s">
        <v>275</v>
      </c>
      <c r="K354" s="755" t="str">
        <f t="shared" si="9"/>
        <v>I</v>
      </c>
      <c r="L354" s="756" t="str">
        <f t="shared" si="10"/>
        <v>G8</v>
      </c>
      <c r="M354" s="756" t="str">
        <f t="shared" si="11"/>
        <v/>
      </c>
      <c r="N354" s="757" t="str">
        <f t="shared" si="12"/>
        <v/>
      </c>
      <c r="O354" s="8">
        <f t="shared" si="14"/>
        <v>46112</v>
      </c>
      <c r="P354" s="9" t="str">
        <f t="shared" ca="1" si="15"/>
        <v>ATRASADO</v>
      </c>
      <c r="Q354" s="1134" t="s">
        <v>1556</v>
      </c>
      <c r="R354" s="1139"/>
      <c r="S354" s="9" t="str">
        <f t="shared" si="13"/>
        <v/>
      </c>
    </row>
    <row r="355" spans="1:19" x14ac:dyDescent="0.3">
      <c r="A355" s="9">
        <v>352</v>
      </c>
      <c r="B355" s="1137" t="s">
        <v>111</v>
      </c>
      <c r="C355" s="1133" t="s">
        <v>4008</v>
      </c>
      <c r="D355" s="1134" t="s">
        <v>4009</v>
      </c>
      <c r="E355" s="1135">
        <v>31471</v>
      </c>
      <c r="F355" s="9">
        <f t="shared" ca="1" si="8"/>
        <v>40</v>
      </c>
      <c r="G355" s="1136">
        <v>43216</v>
      </c>
      <c r="H355" s="1134" t="s">
        <v>275</v>
      </c>
      <c r="I355" s="1135">
        <v>45005</v>
      </c>
      <c r="J355" s="583" t="s">
        <v>275</v>
      </c>
      <c r="K355" s="755" t="str">
        <f t="shared" si="9"/>
        <v>I</v>
      </c>
      <c r="L355" s="756" t="str">
        <f t="shared" si="10"/>
        <v>G8</v>
      </c>
      <c r="M355" s="756" t="str">
        <f t="shared" si="11"/>
        <v/>
      </c>
      <c r="N355" s="757" t="str">
        <f t="shared" si="12"/>
        <v/>
      </c>
      <c r="O355" s="8">
        <f t="shared" si="14"/>
        <v>46101</v>
      </c>
      <c r="P355" s="9" t="str">
        <f t="shared" ca="1" si="15"/>
        <v>ATRASADO</v>
      </c>
      <c r="Q355" s="1134" t="s">
        <v>1556</v>
      </c>
      <c r="R355" s="1139"/>
      <c r="S355" s="9" t="str">
        <f t="shared" si="13"/>
        <v/>
      </c>
    </row>
    <row r="356" spans="1:19" x14ac:dyDescent="0.3">
      <c r="A356" s="9">
        <v>353</v>
      </c>
      <c r="B356" s="1137" t="s">
        <v>111</v>
      </c>
      <c r="C356" s="1133" t="s">
        <v>4010</v>
      </c>
      <c r="D356" s="1134" t="s">
        <v>4011</v>
      </c>
      <c r="E356" s="1135">
        <v>35114</v>
      </c>
      <c r="F356" s="9">
        <f t="shared" ca="1" si="8"/>
        <v>30</v>
      </c>
      <c r="G356" s="1136">
        <v>43823</v>
      </c>
      <c r="H356" s="1134" t="s">
        <v>271</v>
      </c>
      <c r="I356" s="1135">
        <v>44999</v>
      </c>
      <c r="J356" s="583" t="s">
        <v>271</v>
      </c>
      <c r="K356" s="755" t="str">
        <f t="shared" si="9"/>
        <v>I</v>
      </c>
      <c r="L356" s="756" t="str">
        <f t="shared" si="10"/>
        <v>G8</v>
      </c>
      <c r="M356" s="756" t="str">
        <f t="shared" si="11"/>
        <v>J1</v>
      </c>
      <c r="N356" s="757" t="str">
        <f t="shared" si="12"/>
        <v/>
      </c>
      <c r="O356" s="8">
        <f t="shared" si="14"/>
        <v>46095</v>
      </c>
      <c r="P356" s="9" t="str">
        <f t="shared" ca="1" si="15"/>
        <v>ATRASADO</v>
      </c>
      <c r="Q356" s="1134" t="s">
        <v>1556</v>
      </c>
      <c r="R356" s="1139"/>
      <c r="S356" s="9" t="str">
        <f t="shared" si="13"/>
        <v/>
      </c>
    </row>
    <row r="357" spans="1:19" x14ac:dyDescent="0.3">
      <c r="A357" s="9">
        <v>354</v>
      </c>
      <c r="B357" s="1137" t="s">
        <v>111</v>
      </c>
      <c r="C357" s="1133" t="s">
        <v>4012</v>
      </c>
      <c r="D357" s="1134" t="s">
        <v>4013</v>
      </c>
      <c r="E357" s="1135">
        <v>35175</v>
      </c>
      <c r="F357" s="9">
        <f t="shared" ca="1" si="8"/>
        <v>30</v>
      </c>
      <c r="G357" s="1136">
        <v>44152</v>
      </c>
      <c r="H357" s="1134" t="s">
        <v>271</v>
      </c>
      <c r="I357" s="1135">
        <v>45010</v>
      </c>
      <c r="J357" s="583" t="s">
        <v>275</v>
      </c>
      <c r="K357" s="755" t="str">
        <f t="shared" si="9"/>
        <v>I</v>
      </c>
      <c r="L357" s="756" t="str">
        <f t="shared" si="10"/>
        <v>G8</v>
      </c>
      <c r="M357" s="756" t="str">
        <f t="shared" si="11"/>
        <v/>
      </c>
      <c r="N357" s="757" t="str">
        <f t="shared" si="12"/>
        <v/>
      </c>
      <c r="O357" s="8">
        <f t="shared" si="14"/>
        <v>46106</v>
      </c>
      <c r="P357" s="9" t="str">
        <f t="shared" ca="1" si="15"/>
        <v>ATRASADO</v>
      </c>
      <c r="Q357" s="1134" t="s">
        <v>1556</v>
      </c>
      <c r="R357" s="1139"/>
      <c r="S357" s="9" t="str">
        <f t="shared" si="13"/>
        <v/>
      </c>
    </row>
    <row r="358" spans="1:19" x14ac:dyDescent="0.3">
      <c r="A358" s="9">
        <v>355</v>
      </c>
      <c r="B358" s="1137" t="s">
        <v>111</v>
      </c>
      <c r="C358" s="1133" t="s">
        <v>4014</v>
      </c>
      <c r="D358" s="1134" t="s">
        <v>4015</v>
      </c>
      <c r="E358" s="1135">
        <v>22118</v>
      </c>
      <c r="F358" s="9">
        <f t="shared" ca="1" si="8"/>
        <v>66</v>
      </c>
      <c r="G358" s="1134" t="s">
        <v>8</v>
      </c>
      <c r="H358" s="1134" t="s">
        <v>8</v>
      </c>
      <c r="I358" s="1135">
        <v>44997</v>
      </c>
      <c r="J358" s="583" t="s">
        <v>271</v>
      </c>
      <c r="K358" s="755" t="str">
        <f t="shared" si="9"/>
        <v>I</v>
      </c>
      <c r="L358" s="756" t="str">
        <f t="shared" si="10"/>
        <v>G8</v>
      </c>
      <c r="M358" s="756" t="str">
        <f t="shared" si="11"/>
        <v>J1</v>
      </c>
      <c r="N358" s="757" t="str">
        <f t="shared" si="12"/>
        <v/>
      </c>
      <c r="O358" s="8">
        <f t="shared" si="14"/>
        <v>46093</v>
      </c>
      <c r="P358" s="9" t="str">
        <f t="shared" ca="1" si="15"/>
        <v>ATRASADO</v>
      </c>
      <c r="Q358" s="1134" t="s">
        <v>1556</v>
      </c>
      <c r="R358" s="1139"/>
      <c r="S358" s="9" t="str">
        <f t="shared" si="13"/>
        <v/>
      </c>
    </row>
    <row r="359" spans="1:19" x14ac:dyDescent="0.3">
      <c r="A359" s="9">
        <v>356</v>
      </c>
      <c r="B359" s="1137" t="s">
        <v>111</v>
      </c>
      <c r="C359" s="1133" t="s">
        <v>4016</v>
      </c>
      <c r="D359" s="1134" t="s">
        <v>4017</v>
      </c>
      <c r="E359" s="1135">
        <v>35446</v>
      </c>
      <c r="F359" s="9">
        <f t="shared" ca="1" si="8"/>
        <v>29</v>
      </c>
      <c r="G359" s="1136">
        <v>44287</v>
      </c>
      <c r="H359" s="1134" t="s">
        <v>8</v>
      </c>
      <c r="I359" s="1135">
        <v>44987</v>
      </c>
      <c r="J359" s="583" t="s">
        <v>275</v>
      </c>
      <c r="K359" s="755" t="str">
        <f t="shared" si="9"/>
        <v>I</v>
      </c>
      <c r="L359" s="756" t="str">
        <f t="shared" si="10"/>
        <v>G8</v>
      </c>
      <c r="M359" s="756" t="str">
        <f t="shared" si="11"/>
        <v/>
      </c>
      <c r="N359" s="757" t="str">
        <f t="shared" si="12"/>
        <v/>
      </c>
      <c r="O359" s="8">
        <f t="shared" si="14"/>
        <v>46083</v>
      </c>
      <c r="P359" s="9" t="str">
        <f t="shared" ca="1" si="15"/>
        <v>ATRASADO</v>
      </c>
      <c r="Q359" s="1134" t="s">
        <v>1556</v>
      </c>
      <c r="R359" s="1139"/>
      <c r="S359" s="9" t="str">
        <f t="shared" si="13"/>
        <v/>
      </c>
    </row>
    <row r="360" spans="1:19" x14ac:dyDescent="0.3">
      <c r="A360" s="9">
        <v>357</v>
      </c>
      <c r="B360" s="1137" t="s">
        <v>111</v>
      </c>
      <c r="C360" s="1133" t="s">
        <v>4018</v>
      </c>
      <c r="D360" s="1134" t="s">
        <v>4019</v>
      </c>
      <c r="E360" s="1135">
        <v>25892</v>
      </c>
      <c r="F360" s="9">
        <f t="shared" ca="1" si="8"/>
        <v>55</v>
      </c>
      <c r="G360" s="1136">
        <v>44653</v>
      </c>
      <c r="H360" s="1134" t="s">
        <v>8</v>
      </c>
      <c r="I360" s="1135">
        <v>44986</v>
      </c>
      <c r="J360" s="583" t="s">
        <v>271</v>
      </c>
      <c r="K360" s="755" t="str">
        <f t="shared" si="9"/>
        <v>I</v>
      </c>
      <c r="L360" s="756" t="str">
        <f t="shared" si="10"/>
        <v>G8</v>
      </c>
      <c r="M360" s="756" t="str">
        <f t="shared" si="11"/>
        <v>J1</v>
      </c>
      <c r="N360" s="757" t="str">
        <f t="shared" si="12"/>
        <v/>
      </c>
      <c r="O360" s="8">
        <f t="shared" si="14"/>
        <v>46082</v>
      </c>
      <c r="P360" s="9" t="str">
        <f t="shared" ca="1" si="15"/>
        <v>ATRASADO</v>
      </c>
      <c r="Q360" s="1134" t="s">
        <v>1556</v>
      </c>
      <c r="R360" s="1132"/>
      <c r="S360" s="9" t="str">
        <f t="shared" si="13"/>
        <v/>
      </c>
    </row>
    <row r="361" spans="1:19" x14ac:dyDescent="0.3">
      <c r="A361" s="9">
        <v>358</v>
      </c>
      <c r="B361" s="1137" t="s">
        <v>111</v>
      </c>
      <c r="C361" s="1133" t="s">
        <v>4020</v>
      </c>
      <c r="D361" s="1134" t="s">
        <v>4021</v>
      </c>
      <c r="E361" s="1135">
        <v>30744</v>
      </c>
      <c r="F361" s="9">
        <f t="shared" ca="1" si="8"/>
        <v>42</v>
      </c>
      <c r="G361" s="1136">
        <v>43765</v>
      </c>
      <c r="H361" s="1134" t="s">
        <v>275</v>
      </c>
      <c r="I361" s="1135">
        <v>45015</v>
      </c>
      <c r="J361" s="583" t="s">
        <v>291</v>
      </c>
      <c r="K361" s="755" t="str">
        <f t="shared" si="9"/>
        <v>I</v>
      </c>
      <c r="L361" s="756" t="str">
        <f t="shared" si="10"/>
        <v>G8</v>
      </c>
      <c r="M361" s="756" t="str">
        <f t="shared" si="11"/>
        <v>J5</v>
      </c>
      <c r="N361" s="757" t="str">
        <f t="shared" si="12"/>
        <v/>
      </c>
      <c r="O361" s="8">
        <f t="shared" si="14"/>
        <v>46111</v>
      </c>
      <c r="P361" s="9" t="str">
        <f t="shared" ca="1" si="15"/>
        <v>ATRASADO</v>
      </c>
      <c r="Q361" s="1134" t="s">
        <v>1556</v>
      </c>
      <c r="R361" s="1132"/>
      <c r="S361" s="9" t="str">
        <f t="shared" si="13"/>
        <v>CANDIDA</v>
      </c>
    </row>
    <row r="362" spans="1:19" x14ac:dyDescent="0.3">
      <c r="A362" s="9">
        <v>359</v>
      </c>
      <c r="B362" s="1146" t="s">
        <v>579</v>
      </c>
      <c r="C362" s="1141" t="s">
        <v>4022</v>
      </c>
      <c r="D362" s="1143" t="s">
        <v>4023</v>
      </c>
      <c r="E362" s="1144">
        <v>26074</v>
      </c>
      <c r="F362" s="9">
        <f t="shared" ca="1" si="8"/>
        <v>55</v>
      </c>
      <c r="G362" s="1145">
        <v>44267</v>
      </c>
      <c r="H362" s="1143" t="s">
        <v>8</v>
      </c>
      <c r="I362" s="1144">
        <v>45003</v>
      </c>
      <c r="J362" s="583" t="s">
        <v>275</v>
      </c>
      <c r="K362" s="755" t="str">
        <f t="shared" si="9"/>
        <v>I</v>
      </c>
      <c r="L362" s="756" t="str">
        <f t="shared" si="10"/>
        <v>G8</v>
      </c>
      <c r="M362" s="756" t="str">
        <f t="shared" si="11"/>
        <v/>
      </c>
      <c r="N362" s="757" t="str">
        <f t="shared" si="12"/>
        <v/>
      </c>
      <c r="O362" s="8">
        <f t="shared" si="14"/>
        <v>46099</v>
      </c>
      <c r="P362" s="9" t="str">
        <f t="shared" ca="1" si="15"/>
        <v>ATRASADO</v>
      </c>
      <c r="Q362" s="1143" t="s">
        <v>1556</v>
      </c>
      <c r="R362" s="1140"/>
      <c r="S362" s="9" t="str">
        <f t="shared" si="13"/>
        <v/>
      </c>
    </row>
    <row r="363" spans="1:19" x14ac:dyDescent="0.3">
      <c r="A363" s="9">
        <v>360</v>
      </c>
      <c r="B363" s="1146" t="s">
        <v>579</v>
      </c>
      <c r="C363" s="1141" t="s">
        <v>4024</v>
      </c>
      <c r="D363" s="1143" t="s">
        <v>4025</v>
      </c>
      <c r="E363" s="1144">
        <v>30718</v>
      </c>
      <c r="F363" s="9">
        <f t="shared" ca="1" si="8"/>
        <v>42</v>
      </c>
      <c r="G363" s="1145">
        <v>44508</v>
      </c>
      <c r="H363" s="1143" t="s">
        <v>275</v>
      </c>
      <c r="I363" s="1144">
        <v>45008</v>
      </c>
      <c r="J363" s="583" t="s">
        <v>275</v>
      </c>
      <c r="K363" s="755" t="str">
        <f t="shared" si="9"/>
        <v>I</v>
      </c>
      <c r="L363" s="756" t="str">
        <f t="shared" si="10"/>
        <v>G8</v>
      </c>
      <c r="M363" s="756" t="str">
        <f t="shared" si="11"/>
        <v/>
      </c>
      <c r="N363" s="757" t="str">
        <f t="shared" si="12"/>
        <v/>
      </c>
      <c r="O363" s="8">
        <f t="shared" si="14"/>
        <v>46104</v>
      </c>
      <c r="P363" s="9" t="str">
        <f t="shared" ca="1" si="15"/>
        <v>ATRASADO</v>
      </c>
      <c r="Q363" s="1143" t="s">
        <v>1556</v>
      </c>
      <c r="R363" s="1140"/>
      <c r="S363" s="9" t="str">
        <f t="shared" si="13"/>
        <v/>
      </c>
    </row>
    <row r="364" spans="1:19" x14ac:dyDescent="0.3">
      <c r="A364" s="9">
        <v>361</v>
      </c>
      <c r="B364" s="1146" t="s">
        <v>579</v>
      </c>
      <c r="C364" s="1141" t="s">
        <v>4026</v>
      </c>
      <c r="D364" s="1143" t="s">
        <v>4027</v>
      </c>
      <c r="E364" s="1144">
        <v>21628</v>
      </c>
      <c r="F364" s="9">
        <f t="shared" ca="1" si="8"/>
        <v>67</v>
      </c>
      <c r="G364" s="1145">
        <v>44541</v>
      </c>
      <c r="H364" s="1143" t="s">
        <v>8</v>
      </c>
      <c r="I364" s="1144">
        <v>45003</v>
      </c>
      <c r="J364" s="583" t="s">
        <v>271</v>
      </c>
      <c r="K364" s="755" t="str">
        <f t="shared" si="9"/>
        <v>I</v>
      </c>
      <c r="L364" s="756" t="str">
        <f t="shared" si="10"/>
        <v>G8</v>
      </c>
      <c r="M364" s="756" t="str">
        <f t="shared" si="11"/>
        <v>J1</v>
      </c>
      <c r="N364" s="757" t="str">
        <f t="shared" si="12"/>
        <v/>
      </c>
      <c r="O364" s="8">
        <f t="shared" si="14"/>
        <v>46099</v>
      </c>
      <c r="P364" s="9" t="str">
        <f t="shared" ca="1" si="15"/>
        <v>ATRASADO</v>
      </c>
      <c r="Q364" s="1143" t="s">
        <v>1556</v>
      </c>
      <c r="R364" s="1140"/>
      <c r="S364" s="9" t="str">
        <f t="shared" si="13"/>
        <v/>
      </c>
    </row>
    <row r="365" spans="1:19" x14ac:dyDescent="0.3">
      <c r="A365" s="9">
        <v>362</v>
      </c>
      <c r="B365" s="1146" t="s">
        <v>579</v>
      </c>
      <c r="C365" s="1141" t="s">
        <v>4028</v>
      </c>
      <c r="D365" s="1143" t="s">
        <v>4029</v>
      </c>
      <c r="E365" s="1144">
        <v>23353</v>
      </c>
      <c r="F365" s="9">
        <f t="shared" ca="1" si="8"/>
        <v>62</v>
      </c>
      <c r="G365" s="1145">
        <v>43654</v>
      </c>
      <c r="H365" s="1143" t="s">
        <v>271</v>
      </c>
      <c r="I365" s="1144">
        <v>44987</v>
      </c>
      <c r="J365" s="583" t="s">
        <v>327</v>
      </c>
      <c r="K365" s="755" t="str">
        <f t="shared" si="9"/>
        <v>I</v>
      </c>
      <c r="L365" s="756" t="str">
        <f t="shared" si="10"/>
        <v>G7</v>
      </c>
      <c r="M365" s="756" t="str">
        <f t="shared" si="11"/>
        <v>S</v>
      </c>
      <c r="N365" s="757" t="str">
        <f t="shared" si="12"/>
        <v/>
      </c>
      <c r="O365" s="8">
        <f t="shared" si="14"/>
        <v>45353</v>
      </c>
      <c r="P365" s="9" t="str">
        <f t="shared" ca="1" si="15"/>
        <v>ATRASADO</v>
      </c>
      <c r="Q365" s="1143" t="s">
        <v>1556</v>
      </c>
      <c r="R365" s="1142"/>
      <c r="S365" s="9" t="str">
        <f t="shared" si="13"/>
        <v/>
      </c>
    </row>
    <row r="366" spans="1:19" x14ac:dyDescent="0.3">
      <c r="A366" s="9">
        <v>363</v>
      </c>
      <c r="B366" s="1146" t="s">
        <v>579</v>
      </c>
      <c r="C366" s="1141" t="s">
        <v>4030</v>
      </c>
      <c r="D366" s="1143" t="s">
        <v>4031</v>
      </c>
      <c r="E366" s="1144">
        <v>26708</v>
      </c>
      <c r="F366" s="9">
        <f t="shared" ca="1" si="8"/>
        <v>53</v>
      </c>
      <c r="G366" s="1145">
        <v>43341</v>
      </c>
      <c r="H366" s="1143" t="s">
        <v>275</v>
      </c>
      <c r="I366" s="1144">
        <v>44995</v>
      </c>
      <c r="J366" s="583" t="s">
        <v>321</v>
      </c>
      <c r="K366" s="755" t="str">
        <f t="shared" si="9"/>
        <v>G2</v>
      </c>
      <c r="L366" s="756" t="str">
        <f t="shared" si="10"/>
        <v>O5</v>
      </c>
      <c r="M366" s="756" t="str">
        <f t="shared" si="11"/>
        <v/>
      </c>
      <c r="N366" s="757" t="str">
        <f t="shared" si="12"/>
        <v/>
      </c>
      <c r="O366" s="8">
        <f t="shared" si="14"/>
        <v>45087</v>
      </c>
      <c r="P366" s="9" t="str">
        <f t="shared" ca="1" si="15"/>
        <v>ATRASADO</v>
      </c>
      <c r="Q366" s="1143" t="s">
        <v>1556</v>
      </c>
      <c r="R366" s="1140"/>
      <c r="S366" s="9" t="str">
        <f t="shared" si="13"/>
        <v/>
      </c>
    </row>
    <row r="367" spans="1:19" x14ac:dyDescent="0.3">
      <c r="A367" s="9">
        <v>364</v>
      </c>
      <c r="B367" s="1146" t="s">
        <v>579</v>
      </c>
      <c r="C367" s="1141" t="s">
        <v>4032</v>
      </c>
      <c r="D367" s="1143" t="s">
        <v>4033</v>
      </c>
      <c r="E367" s="1144">
        <v>30196</v>
      </c>
      <c r="F367" s="9">
        <f t="shared" ca="1" si="8"/>
        <v>44</v>
      </c>
      <c r="G367" s="1145">
        <v>44464</v>
      </c>
      <c r="H367" s="1143" t="s">
        <v>275</v>
      </c>
      <c r="I367" s="1144">
        <v>44991</v>
      </c>
      <c r="J367" s="583" t="s">
        <v>275</v>
      </c>
      <c r="K367" s="755" t="str">
        <f t="shared" si="9"/>
        <v>I</v>
      </c>
      <c r="L367" s="756" t="str">
        <f t="shared" si="10"/>
        <v>G8</v>
      </c>
      <c r="M367" s="756" t="str">
        <f t="shared" si="11"/>
        <v/>
      </c>
      <c r="N367" s="757" t="str">
        <f t="shared" si="12"/>
        <v/>
      </c>
      <c r="O367" s="8">
        <f t="shared" si="14"/>
        <v>46087</v>
      </c>
      <c r="P367" s="9" t="str">
        <f t="shared" ca="1" si="15"/>
        <v>ATRASADO</v>
      </c>
      <c r="Q367" s="1143" t="s">
        <v>1556</v>
      </c>
      <c r="R367" s="1140"/>
      <c r="S367" s="9" t="str">
        <f t="shared" si="13"/>
        <v/>
      </c>
    </row>
    <row r="368" spans="1:19" x14ac:dyDescent="0.3">
      <c r="A368" s="9">
        <v>365</v>
      </c>
      <c r="B368" s="1146" t="s">
        <v>579</v>
      </c>
      <c r="C368" s="1141" t="s">
        <v>4034</v>
      </c>
      <c r="D368" s="1143" t="s">
        <v>4035</v>
      </c>
      <c r="E368" s="1144">
        <v>27006</v>
      </c>
      <c r="F368" s="9">
        <f t="shared" ca="1" si="8"/>
        <v>52</v>
      </c>
      <c r="G368" s="1145">
        <v>43890</v>
      </c>
      <c r="H368" s="1143" t="s">
        <v>320</v>
      </c>
      <c r="I368" s="1144">
        <v>45011</v>
      </c>
      <c r="J368" s="583" t="s">
        <v>271</v>
      </c>
      <c r="K368" s="755" t="str">
        <f t="shared" si="9"/>
        <v>I</v>
      </c>
      <c r="L368" s="756" t="str">
        <f t="shared" si="10"/>
        <v>G8</v>
      </c>
      <c r="M368" s="756" t="str">
        <f t="shared" si="11"/>
        <v>J1</v>
      </c>
      <c r="N368" s="757" t="str">
        <f t="shared" si="12"/>
        <v/>
      </c>
      <c r="O368" s="8">
        <f t="shared" si="14"/>
        <v>46107</v>
      </c>
      <c r="P368" s="9" t="str">
        <f t="shared" ca="1" si="15"/>
        <v>ATRASADO</v>
      </c>
      <c r="Q368" s="1143" t="s">
        <v>1556</v>
      </c>
      <c r="R368" s="1140"/>
      <c r="S368" s="9" t="str">
        <f t="shared" si="13"/>
        <v/>
      </c>
    </row>
    <row r="369" spans="1:19" x14ac:dyDescent="0.3">
      <c r="A369" s="9">
        <v>366</v>
      </c>
      <c r="B369" s="1146" t="s">
        <v>579</v>
      </c>
      <c r="C369" s="1141" t="s">
        <v>4036</v>
      </c>
      <c r="D369" s="1143" t="s">
        <v>4037</v>
      </c>
      <c r="E369" s="1144">
        <v>30848</v>
      </c>
      <c r="F369" s="9">
        <f t="shared" ca="1" si="8"/>
        <v>42</v>
      </c>
      <c r="G369" s="1145">
        <v>44196</v>
      </c>
      <c r="H369" s="1143" t="s">
        <v>275</v>
      </c>
      <c r="I369" s="1144">
        <v>44997</v>
      </c>
      <c r="J369" s="583" t="s">
        <v>340</v>
      </c>
      <c r="K369" s="755" t="str">
        <f t="shared" si="9"/>
        <v>I</v>
      </c>
      <c r="L369" s="756" t="str">
        <f t="shared" si="10"/>
        <v>G8</v>
      </c>
      <c r="M369" s="756" t="str">
        <f t="shared" si="11"/>
        <v>S</v>
      </c>
      <c r="N369" s="757" t="str">
        <f t="shared" si="12"/>
        <v/>
      </c>
      <c r="O369" s="8">
        <f t="shared" si="14"/>
        <v>45363</v>
      </c>
      <c r="P369" s="9" t="str">
        <f t="shared" ca="1" si="15"/>
        <v>ATRASADO</v>
      </c>
      <c r="Q369" s="1143" t="s">
        <v>1556</v>
      </c>
      <c r="R369" s="1140"/>
      <c r="S369" s="9" t="str">
        <f t="shared" si="13"/>
        <v/>
      </c>
    </row>
    <row r="370" spans="1:19" x14ac:dyDescent="0.3">
      <c r="A370" s="9">
        <v>367</v>
      </c>
      <c r="B370" s="1146" t="s">
        <v>579</v>
      </c>
      <c r="C370" s="1141" t="s">
        <v>4038</v>
      </c>
      <c r="D370" s="1143" t="s">
        <v>4039</v>
      </c>
      <c r="E370" s="1144">
        <v>33735</v>
      </c>
      <c r="F370" s="9">
        <f t="shared" ca="1" si="8"/>
        <v>34</v>
      </c>
      <c r="G370" s="1143" t="s">
        <v>8</v>
      </c>
      <c r="H370" s="1143" t="s">
        <v>271</v>
      </c>
      <c r="I370" s="1144">
        <v>45012</v>
      </c>
      <c r="J370" s="583" t="s">
        <v>271</v>
      </c>
      <c r="K370" s="755" t="str">
        <f t="shared" si="9"/>
        <v>I</v>
      </c>
      <c r="L370" s="756" t="str">
        <f t="shared" si="10"/>
        <v>G8</v>
      </c>
      <c r="M370" s="756" t="str">
        <f t="shared" si="11"/>
        <v>J1</v>
      </c>
      <c r="N370" s="757" t="str">
        <f t="shared" si="12"/>
        <v/>
      </c>
      <c r="O370" s="8">
        <f t="shared" si="14"/>
        <v>46108</v>
      </c>
      <c r="P370" s="9" t="str">
        <f t="shared" ca="1" si="15"/>
        <v>ATRASADO</v>
      </c>
      <c r="Q370" s="1143" t="s">
        <v>1556</v>
      </c>
      <c r="R370" s="1140"/>
      <c r="S370" s="9" t="str">
        <f t="shared" si="13"/>
        <v/>
      </c>
    </row>
    <row r="371" spans="1:19" x14ac:dyDescent="0.3">
      <c r="A371" s="9">
        <v>368</v>
      </c>
      <c r="B371" s="1146" t="s">
        <v>579</v>
      </c>
      <c r="C371" s="1141" t="s">
        <v>4040</v>
      </c>
      <c r="D371" s="1143" t="s">
        <v>4041</v>
      </c>
      <c r="E371" s="1144">
        <v>32779</v>
      </c>
      <c r="F371" s="9">
        <f t="shared" ca="1" si="8"/>
        <v>37</v>
      </c>
      <c r="G371" s="1145">
        <v>44164</v>
      </c>
      <c r="H371" s="1143" t="s">
        <v>275</v>
      </c>
      <c r="I371" s="1144">
        <v>44986</v>
      </c>
      <c r="J371" s="583" t="s">
        <v>271</v>
      </c>
      <c r="K371" s="755" t="str">
        <f t="shared" si="9"/>
        <v>I</v>
      </c>
      <c r="L371" s="756" t="str">
        <f t="shared" si="10"/>
        <v>G8</v>
      </c>
      <c r="M371" s="756" t="str">
        <f t="shared" si="11"/>
        <v>J1</v>
      </c>
      <c r="N371" s="757" t="str">
        <f t="shared" si="12"/>
        <v/>
      </c>
      <c r="O371" s="8">
        <f t="shared" si="14"/>
        <v>46082</v>
      </c>
      <c r="P371" s="9" t="str">
        <f t="shared" ca="1" si="15"/>
        <v>ATRASADO</v>
      </c>
      <c r="Q371" s="1143" t="s">
        <v>1556</v>
      </c>
      <c r="R371" s="1140"/>
      <c r="S371" s="9" t="str">
        <f t="shared" si="13"/>
        <v/>
      </c>
    </row>
    <row r="372" spans="1:19" x14ac:dyDescent="0.3">
      <c r="A372" s="9">
        <v>369</v>
      </c>
      <c r="B372" s="1146" t="s">
        <v>579</v>
      </c>
      <c r="C372" s="1141" t="s">
        <v>4042</v>
      </c>
      <c r="D372" s="1143" t="s">
        <v>4043</v>
      </c>
      <c r="E372" s="1144">
        <v>27853</v>
      </c>
      <c r="F372" s="9">
        <f t="shared" ca="1" si="8"/>
        <v>50</v>
      </c>
      <c r="G372" s="1145">
        <v>44019</v>
      </c>
      <c r="H372" s="1143" t="s">
        <v>275</v>
      </c>
      <c r="I372" s="1144">
        <v>45013</v>
      </c>
      <c r="J372" s="583" t="s">
        <v>275</v>
      </c>
      <c r="K372" s="755" t="str">
        <f t="shared" si="9"/>
        <v>I</v>
      </c>
      <c r="L372" s="756" t="str">
        <f t="shared" si="10"/>
        <v>G8</v>
      </c>
      <c r="M372" s="756" t="str">
        <f t="shared" si="11"/>
        <v/>
      </c>
      <c r="N372" s="757" t="str">
        <f t="shared" si="12"/>
        <v/>
      </c>
      <c r="O372" s="8">
        <f t="shared" si="14"/>
        <v>46109</v>
      </c>
      <c r="P372" s="9" t="str">
        <f t="shared" ca="1" si="15"/>
        <v>ATRASADO</v>
      </c>
      <c r="Q372" s="1143" t="s">
        <v>1556</v>
      </c>
      <c r="R372" s="1140"/>
      <c r="S372" s="9" t="str">
        <f t="shared" si="13"/>
        <v/>
      </c>
    </row>
    <row r="373" spans="1:19" x14ac:dyDescent="0.3">
      <c r="A373" s="9">
        <v>370</v>
      </c>
      <c r="B373" s="1146" t="s">
        <v>579</v>
      </c>
      <c r="C373" s="1141" t="s">
        <v>4044</v>
      </c>
      <c r="D373" s="1143" t="s">
        <v>4045</v>
      </c>
      <c r="E373" s="1144">
        <v>23799</v>
      </c>
      <c r="F373" s="9">
        <f t="shared" ca="1" si="8"/>
        <v>61</v>
      </c>
      <c r="G373" s="1145">
        <v>44063</v>
      </c>
      <c r="H373" s="1143" t="s">
        <v>275</v>
      </c>
      <c r="I373" s="1144">
        <v>45006</v>
      </c>
      <c r="J373" s="583" t="s">
        <v>275</v>
      </c>
      <c r="K373" s="755" t="str">
        <f t="shared" si="9"/>
        <v>I</v>
      </c>
      <c r="L373" s="756" t="str">
        <f t="shared" si="10"/>
        <v>G8</v>
      </c>
      <c r="M373" s="756" t="str">
        <f t="shared" si="11"/>
        <v/>
      </c>
      <c r="N373" s="757" t="str">
        <f t="shared" si="12"/>
        <v/>
      </c>
      <c r="O373" s="8">
        <f t="shared" si="14"/>
        <v>46102</v>
      </c>
      <c r="P373" s="9" t="str">
        <f t="shared" ca="1" si="15"/>
        <v>ATRASADO</v>
      </c>
      <c r="Q373" s="1143" t="s">
        <v>1556</v>
      </c>
      <c r="R373" s="1140"/>
      <c r="S373" s="9" t="str">
        <f t="shared" si="13"/>
        <v/>
      </c>
    </row>
    <row r="374" spans="1:19" x14ac:dyDescent="0.3">
      <c r="A374" s="9">
        <v>371</v>
      </c>
      <c r="B374" s="1153" t="s">
        <v>75</v>
      </c>
      <c r="C374" s="1148" t="s">
        <v>4046</v>
      </c>
      <c r="D374" s="1150" t="s">
        <v>4047</v>
      </c>
      <c r="E374" s="1151">
        <v>36476</v>
      </c>
      <c r="F374" s="9">
        <f t="shared" ca="1" si="8"/>
        <v>26</v>
      </c>
      <c r="G374" s="1152">
        <v>44496</v>
      </c>
      <c r="H374" s="1150" t="s">
        <v>271</v>
      </c>
      <c r="I374" s="1151">
        <v>45012</v>
      </c>
      <c r="J374" s="583" t="s">
        <v>8</v>
      </c>
      <c r="K374" s="755" t="str">
        <f t="shared" si="9"/>
        <v>SI</v>
      </c>
      <c r="L374" s="756" t="str">
        <f t="shared" si="10"/>
        <v xml:space="preserve">N </v>
      </c>
      <c r="M374" s="756" t="str">
        <f t="shared" si="11"/>
        <v>RE</v>
      </c>
      <c r="N374" s="757" t="str">
        <f t="shared" si="12"/>
        <v>GI</v>
      </c>
      <c r="O374" s="8">
        <f t="shared" si="14"/>
        <v>46108</v>
      </c>
      <c r="P374" s="9" t="str">
        <f t="shared" ca="1" si="15"/>
        <v>ATRASADO</v>
      </c>
      <c r="Q374" s="1150" t="s">
        <v>1556</v>
      </c>
      <c r="R374" s="1147"/>
      <c r="S374" s="9" t="str">
        <f t="shared" si="13"/>
        <v/>
      </c>
    </row>
    <row r="375" spans="1:19" x14ac:dyDescent="0.3">
      <c r="A375" s="9">
        <v>372</v>
      </c>
      <c r="B375" s="1153" t="s">
        <v>56</v>
      </c>
      <c r="C375" s="1148" t="s">
        <v>4048</v>
      </c>
      <c r="D375" s="1150" t="s">
        <v>4049</v>
      </c>
      <c r="E375" s="1151">
        <v>27454</v>
      </c>
      <c r="F375" s="9">
        <f t="shared" ca="1" si="8"/>
        <v>51</v>
      </c>
      <c r="G375" s="1150" t="s">
        <v>8</v>
      </c>
      <c r="H375" s="1150" t="s">
        <v>275</v>
      </c>
      <c r="I375" s="1151">
        <v>45005</v>
      </c>
      <c r="J375" s="583" t="s">
        <v>271</v>
      </c>
      <c r="K375" s="755" t="str">
        <f t="shared" si="9"/>
        <v>I</v>
      </c>
      <c r="L375" s="756" t="str">
        <f t="shared" si="10"/>
        <v>G8</v>
      </c>
      <c r="M375" s="756" t="str">
        <f t="shared" si="11"/>
        <v>J1</v>
      </c>
      <c r="N375" s="757" t="str">
        <f t="shared" si="12"/>
        <v/>
      </c>
      <c r="O375" s="8">
        <f t="shared" si="14"/>
        <v>46101</v>
      </c>
      <c r="P375" s="9" t="str">
        <f t="shared" ca="1" si="15"/>
        <v>ATRASADO</v>
      </c>
      <c r="Q375" s="1150" t="s">
        <v>1556</v>
      </c>
      <c r="R375" s="1147"/>
      <c r="S375" s="9" t="str">
        <f t="shared" si="13"/>
        <v/>
      </c>
    </row>
    <row r="376" spans="1:19" x14ac:dyDescent="0.3">
      <c r="A376" s="9">
        <v>373</v>
      </c>
      <c r="B376" s="1153" t="s">
        <v>56</v>
      </c>
      <c r="C376" s="1148" t="s">
        <v>4050</v>
      </c>
      <c r="D376" s="1150" t="s">
        <v>4051</v>
      </c>
      <c r="E376" s="1151">
        <v>27734</v>
      </c>
      <c r="F376" s="9">
        <f t="shared" ca="1" si="8"/>
        <v>50</v>
      </c>
      <c r="G376" s="1152">
        <v>44024</v>
      </c>
      <c r="H376" s="1150" t="s">
        <v>275</v>
      </c>
      <c r="I376" s="1151">
        <v>45001</v>
      </c>
      <c r="J376" s="583" t="s">
        <v>8</v>
      </c>
      <c r="K376" s="755" t="str">
        <f t="shared" si="9"/>
        <v>SI</v>
      </c>
      <c r="L376" s="756" t="str">
        <f t="shared" si="10"/>
        <v xml:space="preserve">N </v>
      </c>
      <c r="M376" s="756" t="str">
        <f t="shared" si="11"/>
        <v>RE</v>
      </c>
      <c r="N376" s="757" t="str">
        <f t="shared" si="12"/>
        <v>GI</v>
      </c>
      <c r="O376" s="8">
        <f t="shared" si="14"/>
        <v>46097</v>
      </c>
      <c r="P376" s="9" t="str">
        <f t="shared" ca="1" si="15"/>
        <v>ATRASADO</v>
      </c>
      <c r="Q376" s="1150" t="s">
        <v>1556</v>
      </c>
      <c r="R376" s="1149"/>
      <c r="S376" s="9" t="str">
        <f t="shared" si="13"/>
        <v/>
      </c>
    </row>
    <row r="377" spans="1:19" x14ac:dyDescent="0.3">
      <c r="A377" s="9">
        <v>374</v>
      </c>
      <c r="B377" s="1153" t="s">
        <v>56</v>
      </c>
      <c r="C377" s="1148" t="s">
        <v>4052</v>
      </c>
      <c r="D377" s="1150" t="s">
        <v>4053</v>
      </c>
      <c r="E377" s="1151">
        <v>28506</v>
      </c>
      <c r="F377" s="9">
        <f t="shared" ca="1" si="8"/>
        <v>48</v>
      </c>
      <c r="G377" s="1150" t="s">
        <v>8</v>
      </c>
      <c r="H377" s="1150" t="s">
        <v>275</v>
      </c>
      <c r="I377" s="1151">
        <v>44999</v>
      </c>
      <c r="J377" s="583" t="s">
        <v>8</v>
      </c>
      <c r="K377" s="755" t="str">
        <f t="shared" si="9"/>
        <v>SI</v>
      </c>
      <c r="L377" s="756" t="str">
        <f t="shared" si="10"/>
        <v xml:space="preserve">N </v>
      </c>
      <c r="M377" s="756" t="str">
        <f t="shared" si="11"/>
        <v>RE</v>
      </c>
      <c r="N377" s="757" t="str">
        <f t="shared" si="12"/>
        <v>GI</v>
      </c>
      <c r="O377" s="8">
        <f t="shared" si="14"/>
        <v>46095</v>
      </c>
      <c r="P377" s="9" t="str">
        <f t="shared" ca="1" si="15"/>
        <v>ATRASADO</v>
      </c>
      <c r="Q377" s="1150" t="s">
        <v>1556</v>
      </c>
      <c r="R377" s="1147"/>
      <c r="S377" s="9" t="str">
        <f t="shared" si="13"/>
        <v/>
      </c>
    </row>
    <row r="378" spans="1:19" x14ac:dyDescent="0.3">
      <c r="A378" s="9">
        <v>375</v>
      </c>
      <c r="B378" s="1160" t="s">
        <v>78</v>
      </c>
      <c r="C378" s="1156" t="s">
        <v>4054</v>
      </c>
      <c r="D378" s="1157" t="s">
        <v>4055</v>
      </c>
      <c r="E378" s="1158">
        <v>24891</v>
      </c>
      <c r="F378" s="9">
        <f t="shared" ca="1" si="8"/>
        <v>58</v>
      </c>
      <c r="G378" s="1159">
        <v>43854</v>
      </c>
      <c r="H378" s="1157" t="s">
        <v>275</v>
      </c>
      <c r="I378" s="1158">
        <v>44990</v>
      </c>
      <c r="J378" s="583" t="s">
        <v>275</v>
      </c>
      <c r="K378" s="755" t="str">
        <f t="shared" si="9"/>
        <v>I</v>
      </c>
      <c r="L378" s="756" t="str">
        <f t="shared" si="10"/>
        <v>G8</v>
      </c>
      <c r="M378" s="756" t="str">
        <f t="shared" si="11"/>
        <v/>
      </c>
      <c r="N378" s="757" t="str">
        <f t="shared" si="12"/>
        <v/>
      </c>
      <c r="O378" s="8">
        <f t="shared" si="14"/>
        <v>46086</v>
      </c>
      <c r="P378" s="9" t="str">
        <f t="shared" ca="1" si="15"/>
        <v>ATRASADO</v>
      </c>
      <c r="Q378" s="1157" t="s">
        <v>1556</v>
      </c>
      <c r="R378" s="1155"/>
      <c r="S378" s="9" t="str">
        <f t="shared" si="13"/>
        <v/>
      </c>
    </row>
    <row r="379" spans="1:19" x14ac:dyDescent="0.3">
      <c r="A379" s="9">
        <v>376</v>
      </c>
      <c r="B379" s="1160" t="s">
        <v>78</v>
      </c>
      <c r="C379" s="1156" t="s">
        <v>4056</v>
      </c>
      <c r="D379" s="1157" t="s">
        <v>4057</v>
      </c>
      <c r="E379" s="1158">
        <v>26317</v>
      </c>
      <c r="F379" s="9">
        <f t="shared" ca="1" si="8"/>
        <v>54</v>
      </c>
      <c r="G379" s="1159">
        <v>43983</v>
      </c>
      <c r="H379" s="1157" t="s">
        <v>291</v>
      </c>
      <c r="I379" s="1158">
        <v>45010</v>
      </c>
      <c r="J379" s="583" t="s">
        <v>271</v>
      </c>
      <c r="K379" s="755" t="str">
        <f t="shared" si="9"/>
        <v>I</v>
      </c>
      <c r="L379" s="756" t="str">
        <f t="shared" si="10"/>
        <v>G8</v>
      </c>
      <c r="M379" s="756" t="str">
        <f t="shared" si="11"/>
        <v>J1</v>
      </c>
      <c r="N379" s="757" t="str">
        <f t="shared" si="12"/>
        <v/>
      </c>
      <c r="O379" s="8">
        <f t="shared" si="14"/>
        <v>46106</v>
      </c>
      <c r="P379" s="9" t="str">
        <f t="shared" ca="1" si="15"/>
        <v>ATRASADO</v>
      </c>
      <c r="Q379" s="1157" t="s">
        <v>1556</v>
      </c>
      <c r="R379" s="1155"/>
      <c r="S379" s="9" t="str">
        <f t="shared" si="13"/>
        <v/>
      </c>
    </row>
    <row r="380" spans="1:19" x14ac:dyDescent="0.3">
      <c r="A380" s="9">
        <v>377</v>
      </c>
      <c r="B380" s="1160" t="s">
        <v>78</v>
      </c>
      <c r="C380" s="1156" t="s">
        <v>4058</v>
      </c>
      <c r="D380" s="1157" t="s">
        <v>4059</v>
      </c>
      <c r="E380" s="1158">
        <v>33434</v>
      </c>
      <c r="F380" s="9">
        <f t="shared" ca="1" si="8"/>
        <v>35</v>
      </c>
      <c r="G380" s="1159">
        <v>43307</v>
      </c>
      <c r="H380" s="1157" t="s">
        <v>271</v>
      </c>
      <c r="I380" s="1158">
        <v>45004</v>
      </c>
      <c r="J380" s="583" t="s">
        <v>271</v>
      </c>
      <c r="K380" s="755" t="str">
        <f t="shared" si="9"/>
        <v>I</v>
      </c>
      <c r="L380" s="756" t="str">
        <f t="shared" si="10"/>
        <v>G8</v>
      </c>
      <c r="M380" s="756" t="str">
        <f t="shared" si="11"/>
        <v>J1</v>
      </c>
      <c r="N380" s="757" t="str">
        <f t="shared" si="12"/>
        <v/>
      </c>
      <c r="O380" s="8">
        <f t="shared" si="14"/>
        <v>46100</v>
      </c>
      <c r="P380" s="9" t="str">
        <f t="shared" ca="1" si="15"/>
        <v>ATRASADO</v>
      </c>
      <c r="Q380" s="1157" t="s">
        <v>1556</v>
      </c>
      <c r="R380" s="1155"/>
      <c r="S380" s="9" t="str">
        <f t="shared" si="13"/>
        <v/>
      </c>
    </row>
    <row r="381" spans="1:19" x14ac:dyDescent="0.3">
      <c r="A381" s="9">
        <v>378</v>
      </c>
      <c r="B381" s="1160" t="s">
        <v>78</v>
      </c>
      <c r="C381" s="1156" t="s">
        <v>4060</v>
      </c>
      <c r="D381" s="1157" t="s">
        <v>4061</v>
      </c>
      <c r="E381" s="1158">
        <v>26190</v>
      </c>
      <c r="F381" s="9">
        <f t="shared" ca="1" si="8"/>
        <v>55</v>
      </c>
      <c r="G381" s="1159">
        <v>43992</v>
      </c>
      <c r="H381" s="1157" t="s">
        <v>594</v>
      </c>
      <c r="I381" s="1158">
        <v>45003</v>
      </c>
      <c r="J381" s="583" t="s">
        <v>8</v>
      </c>
      <c r="K381" s="755" t="str">
        <f t="shared" si="9"/>
        <v>SI</v>
      </c>
      <c r="L381" s="756" t="str">
        <f t="shared" si="10"/>
        <v xml:space="preserve">N </v>
      </c>
      <c r="M381" s="756" t="str">
        <f t="shared" si="11"/>
        <v>RE</v>
      </c>
      <c r="N381" s="757" t="str">
        <f t="shared" si="12"/>
        <v>GI</v>
      </c>
      <c r="O381" s="8">
        <f t="shared" si="14"/>
        <v>46099</v>
      </c>
      <c r="P381" s="9" t="str">
        <f t="shared" ca="1" si="15"/>
        <v>ATRASADO</v>
      </c>
      <c r="Q381" s="1157" t="s">
        <v>1556</v>
      </c>
      <c r="R381" s="1155"/>
      <c r="S381" s="9" t="str">
        <f t="shared" si="13"/>
        <v/>
      </c>
    </row>
    <row r="382" spans="1:19" x14ac:dyDescent="0.3">
      <c r="A382" s="9">
        <v>379</v>
      </c>
      <c r="B382" s="1160" t="s">
        <v>78</v>
      </c>
      <c r="C382" s="1156" t="s">
        <v>4062</v>
      </c>
      <c r="D382" s="1157" t="s">
        <v>4063</v>
      </c>
      <c r="E382" s="1158">
        <v>23543</v>
      </c>
      <c r="F382" s="9">
        <f t="shared" ca="1" si="8"/>
        <v>62</v>
      </c>
      <c r="G382" s="1159">
        <v>43792</v>
      </c>
      <c r="H382" s="1157" t="s">
        <v>271</v>
      </c>
      <c r="I382" s="1158">
        <v>45001</v>
      </c>
      <c r="J382" s="583" t="s">
        <v>271</v>
      </c>
      <c r="K382" s="755" t="str">
        <f t="shared" si="9"/>
        <v>I</v>
      </c>
      <c r="L382" s="756" t="str">
        <f t="shared" si="10"/>
        <v>G8</v>
      </c>
      <c r="M382" s="756" t="str">
        <f t="shared" si="11"/>
        <v>J1</v>
      </c>
      <c r="N382" s="757" t="str">
        <f t="shared" si="12"/>
        <v/>
      </c>
      <c r="O382" s="8">
        <f t="shared" si="14"/>
        <v>46097</v>
      </c>
      <c r="P382" s="9" t="str">
        <f t="shared" ca="1" si="15"/>
        <v>ATRASADO</v>
      </c>
      <c r="Q382" s="1157" t="s">
        <v>1556</v>
      </c>
      <c r="R382" s="1155"/>
      <c r="S382" s="9" t="str">
        <f t="shared" si="13"/>
        <v/>
      </c>
    </row>
    <row r="383" spans="1:19" x14ac:dyDescent="0.3">
      <c r="A383" s="9">
        <v>380</v>
      </c>
      <c r="B383" s="1160" t="s">
        <v>78</v>
      </c>
      <c r="C383" s="1156" t="s">
        <v>4064</v>
      </c>
      <c r="D383" s="1157" t="s">
        <v>4065</v>
      </c>
      <c r="E383" s="1158">
        <v>26335</v>
      </c>
      <c r="F383" s="9">
        <f t="shared" ca="1" si="8"/>
        <v>54</v>
      </c>
      <c r="G383" s="1159">
        <v>44346</v>
      </c>
      <c r="H383" s="1157" t="s">
        <v>271</v>
      </c>
      <c r="I383" s="1158">
        <v>45001</v>
      </c>
      <c r="J383" s="583" t="s">
        <v>275</v>
      </c>
      <c r="K383" s="755" t="str">
        <f t="shared" si="9"/>
        <v>I</v>
      </c>
      <c r="L383" s="756" t="str">
        <f t="shared" si="10"/>
        <v>G8</v>
      </c>
      <c r="M383" s="756" t="str">
        <f t="shared" si="11"/>
        <v/>
      </c>
      <c r="N383" s="757" t="str">
        <f t="shared" si="12"/>
        <v/>
      </c>
      <c r="O383" s="8">
        <f t="shared" si="14"/>
        <v>46097</v>
      </c>
      <c r="P383" s="9" t="str">
        <f t="shared" ca="1" si="15"/>
        <v>ATRASADO</v>
      </c>
      <c r="Q383" s="1157" t="s">
        <v>1556</v>
      </c>
      <c r="R383" s="1155"/>
      <c r="S383" s="9" t="str">
        <f t="shared" si="13"/>
        <v/>
      </c>
    </row>
    <row r="384" spans="1:19" x14ac:dyDescent="0.3">
      <c r="A384" s="9">
        <v>381</v>
      </c>
      <c r="B384" s="1160" t="s">
        <v>78</v>
      </c>
      <c r="C384" s="1156" t="s">
        <v>4066</v>
      </c>
      <c r="D384" s="1157" t="s">
        <v>4067</v>
      </c>
      <c r="E384" s="1158">
        <v>24020</v>
      </c>
      <c r="F384" s="9">
        <f t="shared" ca="1" si="8"/>
        <v>60</v>
      </c>
      <c r="G384" s="1159">
        <v>44258</v>
      </c>
      <c r="H384" s="1157" t="s">
        <v>275</v>
      </c>
      <c r="I384" s="1158">
        <v>44999</v>
      </c>
      <c r="J384" s="583" t="s">
        <v>594</v>
      </c>
      <c r="K384" s="755" t="str">
        <f t="shared" si="9"/>
        <v>I</v>
      </c>
      <c r="L384" s="756" t="str">
        <f t="shared" si="10"/>
        <v>G8</v>
      </c>
      <c r="M384" s="756" t="str">
        <f t="shared" si="11"/>
        <v>J6</v>
      </c>
      <c r="N384" s="757" t="str">
        <f t="shared" si="12"/>
        <v/>
      </c>
      <c r="O384" s="8">
        <f t="shared" si="14"/>
        <v>46095</v>
      </c>
      <c r="P384" s="9" t="str">
        <f t="shared" ca="1" si="15"/>
        <v>ATRASADO</v>
      </c>
      <c r="Q384" s="1157" t="s">
        <v>1556</v>
      </c>
      <c r="R384" s="1155"/>
      <c r="S384" s="9" t="str">
        <f t="shared" si="13"/>
        <v>ACTINOMYCES</v>
      </c>
    </row>
    <row r="385" spans="1:19" x14ac:dyDescent="0.3">
      <c r="A385" s="9">
        <v>382</v>
      </c>
      <c r="B385" s="1160" t="s">
        <v>78</v>
      </c>
      <c r="C385" s="1156" t="s">
        <v>4068</v>
      </c>
      <c r="D385" s="1157" t="s">
        <v>4069</v>
      </c>
      <c r="E385" s="1158">
        <v>32997</v>
      </c>
      <c r="F385" s="9">
        <f t="shared" ca="1" si="8"/>
        <v>36</v>
      </c>
      <c r="G385" s="1159">
        <v>44409</v>
      </c>
      <c r="H385" s="1157" t="s">
        <v>275</v>
      </c>
      <c r="I385" s="1158">
        <v>44988</v>
      </c>
      <c r="J385" s="583" t="s">
        <v>271</v>
      </c>
      <c r="K385" s="755" t="str">
        <f t="shared" si="9"/>
        <v>I</v>
      </c>
      <c r="L385" s="756" t="str">
        <f t="shared" si="10"/>
        <v>G8</v>
      </c>
      <c r="M385" s="756" t="str">
        <f t="shared" si="11"/>
        <v>J1</v>
      </c>
      <c r="N385" s="757" t="str">
        <f t="shared" si="12"/>
        <v/>
      </c>
      <c r="O385" s="8">
        <f t="shared" si="14"/>
        <v>46084</v>
      </c>
      <c r="P385" s="9" t="str">
        <f t="shared" ca="1" si="15"/>
        <v>ATRASADO</v>
      </c>
      <c r="Q385" s="1157" t="s">
        <v>1556</v>
      </c>
      <c r="R385" s="1155"/>
      <c r="S385" s="9" t="str">
        <f t="shared" si="13"/>
        <v/>
      </c>
    </row>
    <row r="386" spans="1:19" x14ac:dyDescent="0.3">
      <c r="A386" s="9">
        <v>383</v>
      </c>
      <c r="B386" s="1167" t="s">
        <v>56</v>
      </c>
      <c r="C386" s="1162" t="s">
        <v>4070</v>
      </c>
      <c r="D386" s="1164" t="s">
        <v>4071</v>
      </c>
      <c r="E386" s="1165">
        <v>22534</v>
      </c>
      <c r="F386" s="9">
        <f t="shared" ca="1" si="8"/>
        <v>65</v>
      </c>
      <c r="G386" s="1166">
        <v>43366</v>
      </c>
      <c r="H386" s="1164" t="s">
        <v>271</v>
      </c>
      <c r="I386" s="1165">
        <v>44986</v>
      </c>
      <c r="J386" s="583" t="s">
        <v>275</v>
      </c>
      <c r="K386" s="755" t="str">
        <f t="shared" si="9"/>
        <v>I</v>
      </c>
      <c r="L386" s="756" t="str">
        <f t="shared" si="10"/>
        <v>G8</v>
      </c>
      <c r="M386" s="756" t="str">
        <f t="shared" si="11"/>
        <v/>
      </c>
      <c r="N386" s="757" t="str">
        <f t="shared" si="12"/>
        <v/>
      </c>
      <c r="O386" s="8">
        <f t="shared" si="14"/>
        <v>46082</v>
      </c>
      <c r="P386" s="9" t="str">
        <f t="shared" ca="1" si="15"/>
        <v>ATRASADO</v>
      </c>
      <c r="Q386" s="1164" t="s">
        <v>1556</v>
      </c>
      <c r="R386" s="1161"/>
      <c r="S386" s="9" t="str">
        <f t="shared" si="13"/>
        <v/>
      </c>
    </row>
    <row r="387" spans="1:19" x14ac:dyDescent="0.3">
      <c r="A387" s="9">
        <v>384</v>
      </c>
      <c r="B387" s="1167" t="s">
        <v>75</v>
      </c>
      <c r="C387" s="1162" t="s">
        <v>4072</v>
      </c>
      <c r="D387" s="1164" t="s">
        <v>4073</v>
      </c>
      <c r="E387" s="1165">
        <v>30623</v>
      </c>
      <c r="F387" s="9">
        <f t="shared" ca="1" si="8"/>
        <v>42</v>
      </c>
      <c r="G387" s="1166">
        <v>44609</v>
      </c>
      <c r="H387" s="1164" t="s">
        <v>275</v>
      </c>
      <c r="I387" s="1165">
        <v>44993</v>
      </c>
      <c r="J387" s="583" t="s">
        <v>271</v>
      </c>
      <c r="K387" s="755" t="str">
        <f t="shared" si="9"/>
        <v>I</v>
      </c>
      <c r="L387" s="756" t="str">
        <f t="shared" si="10"/>
        <v>G8</v>
      </c>
      <c r="M387" s="756" t="str">
        <f t="shared" si="11"/>
        <v>J1</v>
      </c>
      <c r="N387" s="757" t="str">
        <f t="shared" si="12"/>
        <v/>
      </c>
      <c r="O387" s="8">
        <f t="shared" si="14"/>
        <v>46089</v>
      </c>
      <c r="P387" s="9" t="str">
        <f t="shared" ca="1" si="15"/>
        <v>ATRASADO</v>
      </c>
      <c r="Q387" s="1164" t="s">
        <v>1556</v>
      </c>
      <c r="R387" s="1163"/>
      <c r="S387" s="9" t="str">
        <f t="shared" si="13"/>
        <v/>
      </c>
    </row>
    <row r="388" spans="1:19" x14ac:dyDescent="0.3">
      <c r="A388" s="9">
        <v>385</v>
      </c>
      <c r="B388" s="1173" t="s">
        <v>56</v>
      </c>
      <c r="C388" s="1169" t="s">
        <v>4074</v>
      </c>
      <c r="D388" s="1170" t="s">
        <v>4075</v>
      </c>
      <c r="E388" s="1171">
        <v>32460</v>
      </c>
      <c r="F388" s="9">
        <f t="shared" ca="1" si="8"/>
        <v>37</v>
      </c>
      <c r="G388" s="1172">
        <v>44010</v>
      </c>
      <c r="H388" s="1170" t="s">
        <v>8</v>
      </c>
      <c r="I388" s="1171">
        <v>44995</v>
      </c>
      <c r="J388" s="583" t="s">
        <v>275</v>
      </c>
      <c r="K388" s="755" t="str">
        <f t="shared" si="9"/>
        <v>I</v>
      </c>
      <c r="L388" s="756" t="str">
        <f t="shared" si="10"/>
        <v>G8</v>
      </c>
      <c r="M388" s="756" t="str">
        <f t="shared" si="11"/>
        <v/>
      </c>
      <c r="N388" s="757" t="str">
        <f t="shared" si="12"/>
        <v/>
      </c>
      <c r="O388" s="8">
        <f t="shared" si="14"/>
        <v>46091</v>
      </c>
      <c r="P388" s="9" t="str">
        <f t="shared" ca="1" si="15"/>
        <v>ATRASADO</v>
      </c>
      <c r="Q388" s="1170" t="s">
        <v>1556</v>
      </c>
      <c r="R388" s="1168"/>
      <c r="S388" s="9" t="str">
        <f t="shared" si="13"/>
        <v/>
      </c>
    </row>
    <row r="389" spans="1:19" x14ac:dyDescent="0.3">
      <c r="A389" s="9">
        <v>386</v>
      </c>
      <c r="B389" s="1173" t="s">
        <v>56</v>
      </c>
      <c r="C389" s="1169" t="s">
        <v>4076</v>
      </c>
      <c r="D389" s="1170" t="s">
        <v>4077</v>
      </c>
      <c r="E389" s="1171">
        <v>27492</v>
      </c>
      <c r="F389" s="9">
        <f t="shared" ca="1" si="8"/>
        <v>51</v>
      </c>
      <c r="G389" s="1172">
        <v>43845</v>
      </c>
      <c r="H389" s="1170" t="s">
        <v>8</v>
      </c>
      <c r="I389" s="1171">
        <v>44998</v>
      </c>
      <c r="J389" s="583" t="s">
        <v>271</v>
      </c>
      <c r="K389" s="755" t="str">
        <f t="shared" si="9"/>
        <v>I</v>
      </c>
      <c r="L389" s="756" t="str">
        <f t="shared" si="10"/>
        <v>G8</v>
      </c>
      <c r="M389" s="756" t="str">
        <f t="shared" si="11"/>
        <v>J1</v>
      </c>
      <c r="N389" s="757" t="str">
        <f t="shared" si="12"/>
        <v/>
      </c>
      <c r="O389" s="8">
        <f t="shared" si="14"/>
        <v>46094</v>
      </c>
      <c r="P389" s="9" t="str">
        <f t="shared" ca="1" si="15"/>
        <v>ATRASADO</v>
      </c>
      <c r="Q389" s="1170" t="s">
        <v>1556</v>
      </c>
      <c r="R389" s="1168"/>
      <c r="S389" s="9" t="str">
        <f t="shared" si="13"/>
        <v/>
      </c>
    </row>
    <row r="390" spans="1:19" x14ac:dyDescent="0.3">
      <c r="A390" s="9">
        <v>391</v>
      </c>
      <c r="B390" s="1182" t="s">
        <v>312</v>
      </c>
      <c r="C390" s="1177" t="s">
        <v>4078</v>
      </c>
      <c r="D390" s="1179" t="s">
        <v>4079</v>
      </c>
      <c r="E390" s="1180">
        <v>25709</v>
      </c>
      <c r="F390" s="9">
        <f t="shared" ca="1" si="8"/>
        <v>56</v>
      </c>
      <c r="G390" s="1181">
        <v>44057</v>
      </c>
      <c r="H390" s="1179" t="s">
        <v>271</v>
      </c>
      <c r="I390" s="1180">
        <v>45005</v>
      </c>
      <c r="J390" s="583" t="s">
        <v>275</v>
      </c>
      <c r="K390" s="755" t="str">
        <f t="shared" si="9"/>
        <v>I</v>
      </c>
      <c r="L390" s="756" t="str">
        <f t="shared" si="10"/>
        <v>G8</v>
      </c>
      <c r="M390" s="756" t="str">
        <f t="shared" si="11"/>
        <v/>
      </c>
      <c r="N390" s="757" t="str">
        <f t="shared" si="12"/>
        <v/>
      </c>
      <c r="O390" s="8">
        <f t="shared" si="14"/>
        <v>46101</v>
      </c>
      <c r="P390" s="9" t="str">
        <f t="shared" ca="1" si="15"/>
        <v>ATRASADO</v>
      </c>
      <c r="Q390" s="1179" t="s">
        <v>1556</v>
      </c>
      <c r="R390" s="1176"/>
      <c r="S390" s="9" t="str">
        <f t="shared" si="13"/>
        <v/>
      </c>
    </row>
    <row r="391" spans="1:19" x14ac:dyDescent="0.3">
      <c r="A391" s="9">
        <v>392</v>
      </c>
      <c r="B391" s="1182" t="s">
        <v>312</v>
      </c>
      <c r="C391" s="1177" t="s">
        <v>4080</v>
      </c>
      <c r="D391" s="1179" t="s">
        <v>4081</v>
      </c>
      <c r="E391" s="1180">
        <v>31194</v>
      </c>
      <c r="F391" s="9">
        <f t="shared" ca="1" si="8"/>
        <v>41</v>
      </c>
      <c r="G391" s="1181">
        <v>43235</v>
      </c>
      <c r="H391" s="1179" t="s">
        <v>275</v>
      </c>
      <c r="I391" s="1180">
        <v>45010</v>
      </c>
      <c r="J391" s="583" t="s">
        <v>275</v>
      </c>
      <c r="K391" s="755" t="str">
        <f t="shared" si="9"/>
        <v>I</v>
      </c>
      <c r="L391" s="756" t="str">
        <f t="shared" si="10"/>
        <v>G8</v>
      </c>
      <c r="M391" s="756" t="str">
        <f t="shared" si="11"/>
        <v/>
      </c>
      <c r="N391" s="757" t="str">
        <f t="shared" si="12"/>
        <v/>
      </c>
      <c r="O391" s="8">
        <f t="shared" si="14"/>
        <v>46106</v>
      </c>
      <c r="P391" s="9" t="str">
        <f t="shared" ca="1" si="15"/>
        <v>ATRASADO</v>
      </c>
      <c r="Q391" s="1179" t="s">
        <v>1556</v>
      </c>
      <c r="R391" s="1178"/>
      <c r="S391" s="9" t="str">
        <f t="shared" si="13"/>
        <v/>
      </c>
    </row>
    <row r="392" spans="1:19" x14ac:dyDescent="0.3">
      <c r="A392" s="9">
        <v>393</v>
      </c>
      <c r="B392" s="1182" t="s">
        <v>312</v>
      </c>
      <c r="C392" s="1177" t="s">
        <v>4082</v>
      </c>
      <c r="D392" s="1179" t="s">
        <v>4083</v>
      </c>
      <c r="E392" s="1180">
        <v>22845</v>
      </c>
      <c r="F392" s="9">
        <f t="shared" ca="1" si="8"/>
        <v>64</v>
      </c>
      <c r="G392" s="1179" t="s">
        <v>8</v>
      </c>
      <c r="H392" s="1179" t="s">
        <v>275</v>
      </c>
      <c r="I392" s="1180">
        <v>45011</v>
      </c>
      <c r="J392" s="583" t="s">
        <v>275</v>
      </c>
      <c r="K392" s="755" t="str">
        <f t="shared" si="9"/>
        <v>I</v>
      </c>
      <c r="L392" s="756" t="str">
        <f t="shared" si="10"/>
        <v>G8</v>
      </c>
      <c r="M392" s="756" t="str">
        <f t="shared" si="11"/>
        <v/>
      </c>
      <c r="N392" s="757" t="str">
        <f t="shared" si="12"/>
        <v/>
      </c>
      <c r="O392" s="8">
        <f t="shared" si="14"/>
        <v>46107</v>
      </c>
      <c r="P392" s="9" t="str">
        <f t="shared" ca="1" si="15"/>
        <v>ATRASADO</v>
      </c>
      <c r="Q392" s="1179" t="s">
        <v>1556</v>
      </c>
      <c r="R392" s="1176"/>
      <c r="S392" s="9" t="str">
        <f t="shared" si="13"/>
        <v/>
      </c>
    </row>
    <row r="393" spans="1:19" x14ac:dyDescent="0.3">
      <c r="A393" s="9">
        <v>394</v>
      </c>
      <c r="B393" s="1182" t="s">
        <v>312</v>
      </c>
      <c r="C393" s="1177" t="s">
        <v>4084</v>
      </c>
      <c r="D393" s="1179" t="s">
        <v>4085</v>
      </c>
      <c r="E393" s="1180">
        <v>27408</v>
      </c>
      <c r="F393" s="9">
        <f t="shared" ca="1" si="8"/>
        <v>51</v>
      </c>
      <c r="G393" s="1179" t="s">
        <v>8</v>
      </c>
      <c r="H393" s="1179" t="s">
        <v>275</v>
      </c>
      <c r="I393" s="1180">
        <v>45008</v>
      </c>
      <c r="J393" s="583" t="s">
        <v>8</v>
      </c>
      <c r="K393" s="755" t="str">
        <f t="shared" si="9"/>
        <v>SI</v>
      </c>
      <c r="L393" s="756" t="str">
        <f t="shared" si="10"/>
        <v xml:space="preserve">N </v>
      </c>
      <c r="M393" s="756" t="str">
        <f t="shared" si="11"/>
        <v>RE</v>
      </c>
      <c r="N393" s="757" t="str">
        <f t="shared" si="12"/>
        <v>GI</v>
      </c>
      <c r="O393" s="8">
        <f t="shared" si="14"/>
        <v>46104</v>
      </c>
      <c r="P393" s="9" t="str">
        <f t="shared" ca="1" si="15"/>
        <v>ATRASADO</v>
      </c>
      <c r="Q393" s="1179" t="s">
        <v>1556</v>
      </c>
      <c r="R393" s="1178"/>
      <c r="S393" s="9" t="str">
        <f t="shared" si="13"/>
        <v/>
      </c>
    </row>
    <row r="394" spans="1:19" x14ac:dyDescent="0.3">
      <c r="A394" s="9">
        <v>395</v>
      </c>
      <c r="B394" s="1182" t="s">
        <v>312</v>
      </c>
      <c r="C394" s="1177" t="s">
        <v>4086</v>
      </c>
      <c r="D394" s="1179" t="s">
        <v>4087</v>
      </c>
      <c r="E394" s="1180">
        <v>22669</v>
      </c>
      <c r="F394" s="9">
        <f t="shared" ca="1" si="8"/>
        <v>64</v>
      </c>
      <c r="G394" s="1181">
        <v>43712</v>
      </c>
      <c r="H394" s="1179" t="s">
        <v>735</v>
      </c>
      <c r="I394" s="1180">
        <v>44998</v>
      </c>
      <c r="J394" s="583" t="s">
        <v>291</v>
      </c>
      <c r="K394" s="755" t="str">
        <f t="shared" si="9"/>
        <v>I</v>
      </c>
      <c r="L394" s="756" t="str">
        <f t="shared" si="10"/>
        <v>G8</v>
      </c>
      <c r="M394" s="756" t="str">
        <f t="shared" si="11"/>
        <v>J5</v>
      </c>
      <c r="N394" s="757" t="str">
        <f t="shared" si="12"/>
        <v/>
      </c>
      <c r="O394" s="8">
        <f t="shared" si="14"/>
        <v>46094</v>
      </c>
      <c r="P394" s="9" t="str">
        <f t="shared" ca="1" si="15"/>
        <v>ATRASADO</v>
      </c>
      <c r="Q394" s="1179" t="s">
        <v>1556</v>
      </c>
      <c r="R394" s="1176"/>
      <c r="S394" s="9" t="str">
        <f t="shared" si="13"/>
        <v>CANDIDA</v>
      </c>
    </row>
    <row r="395" spans="1:19" x14ac:dyDescent="0.3">
      <c r="A395" s="9">
        <v>396</v>
      </c>
      <c r="B395" s="1182" t="s">
        <v>312</v>
      </c>
      <c r="C395" s="1177" t="s">
        <v>4088</v>
      </c>
      <c r="D395" s="1179" t="s">
        <v>4089</v>
      </c>
      <c r="E395" s="1180">
        <v>22010</v>
      </c>
      <c r="F395" s="9">
        <f t="shared" ca="1" si="8"/>
        <v>66</v>
      </c>
      <c r="G395" s="1179" t="s">
        <v>8</v>
      </c>
      <c r="H395" s="1179" t="s">
        <v>8</v>
      </c>
      <c r="I395" s="1180">
        <v>44987</v>
      </c>
      <c r="J395" s="583" t="s">
        <v>271</v>
      </c>
      <c r="K395" s="755" t="str">
        <f t="shared" si="9"/>
        <v>I</v>
      </c>
      <c r="L395" s="756" t="str">
        <f t="shared" si="10"/>
        <v>G8</v>
      </c>
      <c r="M395" s="756" t="str">
        <f t="shared" si="11"/>
        <v>J1</v>
      </c>
      <c r="N395" s="757" t="str">
        <f t="shared" si="12"/>
        <v/>
      </c>
      <c r="O395" s="8">
        <f t="shared" si="14"/>
        <v>46083</v>
      </c>
      <c r="P395" s="9" t="str">
        <f t="shared" ca="1" si="15"/>
        <v>ATRASADO</v>
      </c>
      <c r="Q395" s="1179" t="s">
        <v>1556</v>
      </c>
      <c r="R395" s="1176"/>
      <c r="S395" s="9" t="str">
        <f t="shared" si="13"/>
        <v/>
      </c>
    </row>
    <row r="396" spans="1:19" x14ac:dyDescent="0.3">
      <c r="A396" s="9">
        <v>397</v>
      </c>
      <c r="B396" s="1182" t="s">
        <v>111</v>
      </c>
      <c r="C396" s="1177" t="s">
        <v>4090</v>
      </c>
      <c r="D396" s="1179" t="s">
        <v>4091</v>
      </c>
      <c r="E396" s="1180">
        <v>30106</v>
      </c>
      <c r="F396" s="9">
        <f t="shared" ca="1" si="8"/>
        <v>44</v>
      </c>
      <c r="G396" s="1181">
        <v>43943</v>
      </c>
      <c r="H396" s="1179" t="s">
        <v>275</v>
      </c>
      <c r="I396" s="1180">
        <v>45013</v>
      </c>
      <c r="J396" s="583" t="s">
        <v>8</v>
      </c>
      <c r="K396" s="755" t="str">
        <f t="shared" si="9"/>
        <v>SI</v>
      </c>
      <c r="L396" s="756" t="str">
        <f t="shared" si="10"/>
        <v xml:space="preserve">N </v>
      </c>
      <c r="M396" s="756" t="str">
        <f t="shared" si="11"/>
        <v>RE</v>
      </c>
      <c r="N396" s="757" t="str">
        <f t="shared" si="12"/>
        <v>GI</v>
      </c>
      <c r="O396" s="8">
        <f t="shared" si="14"/>
        <v>46109</v>
      </c>
      <c r="P396" s="9" t="str">
        <f t="shared" ca="1" si="15"/>
        <v>ATRASADO</v>
      </c>
      <c r="Q396" s="1179" t="s">
        <v>1556</v>
      </c>
      <c r="R396" s="1176"/>
      <c r="S396" s="9" t="str">
        <f t="shared" si="13"/>
        <v/>
      </c>
    </row>
    <row r="397" spans="1:19" x14ac:dyDescent="0.3">
      <c r="A397" s="9">
        <v>398</v>
      </c>
      <c r="B397" s="1182" t="s">
        <v>111</v>
      </c>
      <c r="C397" s="1177" t="s">
        <v>4092</v>
      </c>
      <c r="D397" s="1179" t="s">
        <v>4093</v>
      </c>
      <c r="E397" s="1180">
        <v>32406</v>
      </c>
      <c r="F397" s="9">
        <f t="shared" ca="1" si="8"/>
        <v>38</v>
      </c>
      <c r="G397" s="1181">
        <v>44161</v>
      </c>
      <c r="H397" s="1179" t="s">
        <v>8</v>
      </c>
      <c r="I397" s="1180">
        <v>45015</v>
      </c>
      <c r="J397" s="583" t="s">
        <v>275</v>
      </c>
      <c r="K397" s="755" t="str">
        <f t="shared" si="9"/>
        <v>I</v>
      </c>
      <c r="L397" s="756" t="str">
        <f t="shared" si="10"/>
        <v>G8</v>
      </c>
      <c r="M397" s="756" t="str">
        <f t="shared" si="11"/>
        <v/>
      </c>
      <c r="N397" s="757" t="str">
        <f t="shared" si="12"/>
        <v/>
      </c>
      <c r="O397" s="8">
        <f t="shared" si="14"/>
        <v>46111</v>
      </c>
      <c r="P397" s="9" t="str">
        <f t="shared" ca="1" si="15"/>
        <v>ATRASADO</v>
      </c>
      <c r="Q397" s="1179" t="s">
        <v>1556</v>
      </c>
      <c r="R397" s="1176"/>
      <c r="S397" s="9" t="str">
        <f t="shared" si="13"/>
        <v/>
      </c>
    </row>
    <row r="398" spans="1:19" x14ac:dyDescent="0.3">
      <c r="A398" s="9">
        <v>399</v>
      </c>
      <c r="B398" s="1182" t="s">
        <v>111</v>
      </c>
      <c r="C398" s="1177" t="s">
        <v>4094</v>
      </c>
      <c r="D398" s="1179" t="s">
        <v>4095</v>
      </c>
      <c r="E398" s="1180">
        <v>26609</v>
      </c>
      <c r="F398" s="9">
        <f t="shared" ca="1" si="8"/>
        <v>53</v>
      </c>
      <c r="G398" s="1181">
        <v>44312</v>
      </c>
      <c r="H398" s="1179" t="s">
        <v>327</v>
      </c>
      <c r="I398" s="1180">
        <v>45004</v>
      </c>
      <c r="J398" s="583" t="s">
        <v>275</v>
      </c>
      <c r="K398" s="755" t="str">
        <f t="shared" si="9"/>
        <v>I</v>
      </c>
      <c r="L398" s="756" t="str">
        <f t="shared" si="10"/>
        <v>G8</v>
      </c>
      <c r="M398" s="756" t="str">
        <f t="shared" si="11"/>
        <v/>
      </c>
      <c r="N398" s="757" t="str">
        <f t="shared" si="12"/>
        <v/>
      </c>
      <c r="O398" s="8">
        <f t="shared" si="14"/>
        <v>46100</v>
      </c>
      <c r="P398" s="9" t="str">
        <f t="shared" ca="1" si="15"/>
        <v>ATRASADO</v>
      </c>
      <c r="Q398" s="1179" t="s">
        <v>1556</v>
      </c>
      <c r="R398" s="1178"/>
      <c r="S398" s="9" t="str">
        <f t="shared" si="13"/>
        <v/>
      </c>
    </row>
    <row r="399" spans="1:19" x14ac:dyDescent="0.3">
      <c r="A399" s="9">
        <v>400</v>
      </c>
      <c r="B399" s="1182" t="s">
        <v>111</v>
      </c>
      <c r="C399" s="1177" t="s">
        <v>4096</v>
      </c>
      <c r="D399" s="1179" t="s">
        <v>4097</v>
      </c>
      <c r="E399" s="1180">
        <v>22745</v>
      </c>
      <c r="F399" s="9">
        <f t="shared" ca="1" si="8"/>
        <v>64</v>
      </c>
      <c r="G399" s="1181">
        <v>44369</v>
      </c>
      <c r="H399" s="1179" t="s">
        <v>275</v>
      </c>
      <c r="I399" s="1180">
        <v>44994</v>
      </c>
      <c r="J399" s="583" t="s">
        <v>271</v>
      </c>
      <c r="K399" s="755" t="str">
        <f t="shared" si="9"/>
        <v>I</v>
      </c>
      <c r="L399" s="756" t="str">
        <f t="shared" si="10"/>
        <v>G8</v>
      </c>
      <c r="M399" s="756" t="str">
        <f t="shared" si="11"/>
        <v>J1</v>
      </c>
      <c r="N399" s="757" t="str">
        <f t="shared" si="12"/>
        <v/>
      </c>
      <c r="O399" s="8">
        <f t="shared" si="14"/>
        <v>46090</v>
      </c>
      <c r="P399" s="9" t="str">
        <f t="shared" ca="1" si="15"/>
        <v>ATRASADO</v>
      </c>
      <c r="Q399" s="1179" t="s">
        <v>1556</v>
      </c>
      <c r="R399" s="1176"/>
      <c r="S399" s="9" t="str">
        <f t="shared" si="13"/>
        <v/>
      </c>
    </row>
    <row r="400" spans="1:19" x14ac:dyDescent="0.3">
      <c r="A400" s="9">
        <v>401</v>
      </c>
      <c r="B400" s="1182" t="s">
        <v>346</v>
      </c>
      <c r="C400" s="1177" t="s">
        <v>4098</v>
      </c>
      <c r="D400" s="1179" t="s">
        <v>4099</v>
      </c>
      <c r="E400" s="1180">
        <v>25212</v>
      </c>
      <c r="F400" s="9">
        <f t="shared" ca="1" si="8"/>
        <v>57</v>
      </c>
      <c r="G400" s="1181">
        <v>43692</v>
      </c>
      <c r="H400" s="1179" t="s">
        <v>8</v>
      </c>
      <c r="I400" s="1180">
        <v>44996</v>
      </c>
      <c r="J400" s="583" t="s">
        <v>275</v>
      </c>
      <c r="K400" s="755" t="str">
        <f t="shared" si="9"/>
        <v>I</v>
      </c>
      <c r="L400" s="756" t="str">
        <f t="shared" si="10"/>
        <v>G8</v>
      </c>
      <c r="M400" s="756" t="str">
        <f t="shared" si="11"/>
        <v/>
      </c>
      <c r="N400" s="757" t="str">
        <f t="shared" si="12"/>
        <v/>
      </c>
      <c r="O400" s="8">
        <f t="shared" si="14"/>
        <v>46092</v>
      </c>
      <c r="P400" s="9" t="str">
        <f t="shared" ca="1" si="15"/>
        <v>ATRASADO</v>
      </c>
      <c r="Q400" s="1179" t="s">
        <v>1556</v>
      </c>
      <c r="R400" s="1178"/>
      <c r="S400" s="9" t="str">
        <f t="shared" si="13"/>
        <v/>
      </c>
    </row>
    <row r="401" spans="1:19" x14ac:dyDescent="0.3">
      <c r="A401" s="9">
        <v>402</v>
      </c>
      <c r="B401" s="1182" t="s">
        <v>111</v>
      </c>
      <c r="C401" s="1177" t="s">
        <v>4100</v>
      </c>
      <c r="D401" s="1179" t="s">
        <v>4101</v>
      </c>
      <c r="E401" s="1180">
        <v>29353</v>
      </c>
      <c r="F401" s="9">
        <f t="shared" ca="1" si="8"/>
        <v>46</v>
      </c>
      <c r="G401" s="1181">
        <v>43264</v>
      </c>
      <c r="H401" s="1179" t="s">
        <v>271</v>
      </c>
      <c r="I401" s="1180">
        <v>45002</v>
      </c>
      <c r="J401" s="583" t="s">
        <v>275</v>
      </c>
      <c r="K401" s="755" t="str">
        <f t="shared" si="9"/>
        <v>I</v>
      </c>
      <c r="L401" s="756" t="str">
        <f t="shared" si="10"/>
        <v>G8</v>
      </c>
      <c r="M401" s="756" t="str">
        <f t="shared" si="11"/>
        <v/>
      </c>
      <c r="N401" s="757" t="str">
        <f t="shared" si="12"/>
        <v/>
      </c>
      <c r="O401" s="8">
        <f t="shared" si="14"/>
        <v>46098</v>
      </c>
      <c r="P401" s="9" t="str">
        <f t="shared" ca="1" si="15"/>
        <v>ATRASADO</v>
      </c>
      <c r="Q401" s="1179" t="s">
        <v>1556</v>
      </c>
      <c r="R401" s="1176"/>
      <c r="S401" s="9" t="str">
        <f t="shared" si="13"/>
        <v/>
      </c>
    </row>
    <row r="402" spans="1:19" x14ac:dyDescent="0.3">
      <c r="A402" s="9">
        <v>403</v>
      </c>
      <c r="B402" s="1182" t="s">
        <v>111</v>
      </c>
      <c r="C402" s="1177" t="s">
        <v>4102</v>
      </c>
      <c r="D402" s="1179" t="s">
        <v>4103</v>
      </c>
      <c r="E402" s="1180">
        <v>26050</v>
      </c>
      <c r="F402" s="9">
        <f t="shared" ca="1" si="8"/>
        <v>55</v>
      </c>
      <c r="G402" s="1181">
        <v>44331</v>
      </c>
      <c r="H402" s="1179" t="s">
        <v>8</v>
      </c>
      <c r="I402" s="1180">
        <v>44988</v>
      </c>
      <c r="J402" s="583" t="s">
        <v>275</v>
      </c>
      <c r="K402" s="755" t="str">
        <f t="shared" si="9"/>
        <v>I</v>
      </c>
      <c r="L402" s="756" t="str">
        <f t="shared" si="10"/>
        <v>G8</v>
      </c>
      <c r="M402" s="756" t="str">
        <f t="shared" si="11"/>
        <v/>
      </c>
      <c r="N402" s="757" t="str">
        <f t="shared" si="12"/>
        <v/>
      </c>
      <c r="O402" s="8">
        <f t="shared" si="14"/>
        <v>46084</v>
      </c>
      <c r="P402" s="9" t="str">
        <f t="shared" ca="1" si="15"/>
        <v>ATRASADO</v>
      </c>
      <c r="Q402" s="1179" t="s">
        <v>1556</v>
      </c>
      <c r="R402" s="1176"/>
      <c r="S402" s="9" t="str">
        <f t="shared" si="13"/>
        <v/>
      </c>
    </row>
    <row r="403" spans="1:19" x14ac:dyDescent="0.3">
      <c r="A403" s="9">
        <v>404</v>
      </c>
      <c r="B403" s="1182" t="s">
        <v>111</v>
      </c>
      <c r="C403" s="1177" t="s">
        <v>4104</v>
      </c>
      <c r="D403" s="1179" t="s">
        <v>4105</v>
      </c>
      <c r="E403" s="1180">
        <v>29598</v>
      </c>
      <c r="F403" s="9">
        <f t="shared" ca="1" si="8"/>
        <v>45</v>
      </c>
      <c r="G403" s="1179" t="s">
        <v>8</v>
      </c>
      <c r="H403" s="1179" t="s">
        <v>271</v>
      </c>
      <c r="I403" s="1180">
        <v>45006</v>
      </c>
      <c r="J403" s="583" t="s">
        <v>275</v>
      </c>
      <c r="K403" s="755" t="str">
        <f t="shared" si="9"/>
        <v>I</v>
      </c>
      <c r="L403" s="756" t="str">
        <f t="shared" si="10"/>
        <v>G8</v>
      </c>
      <c r="M403" s="756" t="str">
        <f t="shared" si="11"/>
        <v/>
      </c>
      <c r="N403" s="757" t="str">
        <f t="shared" si="12"/>
        <v/>
      </c>
      <c r="O403" s="8">
        <f t="shared" si="14"/>
        <v>46102</v>
      </c>
      <c r="P403" s="9" t="str">
        <f t="shared" ca="1" si="15"/>
        <v>ATRASADO</v>
      </c>
      <c r="Q403" s="1179" t="s">
        <v>1556</v>
      </c>
      <c r="R403" s="1176"/>
      <c r="S403" s="9" t="str">
        <f t="shared" si="13"/>
        <v/>
      </c>
    </row>
    <row r="404" spans="1:19" x14ac:dyDescent="0.3">
      <c r="A404" s="9">
        <v>405</v>
      </c>
      <c r="B404" s="1182" t="s">
        <v>111</v>
      </c>
      <c r="C404" s="1177" t="s">
        <v>4106</v>
      </c>
      <c r="D404" s="1179" t="s">
        <v>4107</v>
      </c>
      <c r="E404" s="1180">
        <v>28496</v>
      </c>
      <c r="F404" s="9">
        <f t="shared" ca="1" si="8"/>
        <v>48</v>
      </c>
      <c r="G404" s="1181">
        <v>44376</v>
      </c>
      <c r="H404" s="1179" t="s">
        <v>275</v>
      </c>
      <c r="I404" s="1180">
        <v>45004</v>
      </c>
      <c r="J404" s="583" t="s">
        <v>275</v>
      </c>
      <c r="K404" s="755" t="str">
        <f t="shared" si="9"/>
        <v>I</v>
      </c>
      <c r="L404" s="756" t="str">
        <f t="shared" si="10"/>
        <v>G8</v>
      </c>
      <c r="M404" s="756" t="str">
        <f t="shared" si="11"/>
        <v/>
      </c>
      <c r="N404" s="757" t="str">
        <f t="shared" si="12"/>
        <v/>
      </c>
      <c r="O404" s="8">
        <f t="shared" si="14"/>
        <v>46100</v>
      </c>
      <c r="P404" s="9" t="str">
        <f t="shared" ca="1" si="15"/>
        <v>ATRASADO</v>
      </c>
      <c r="Q404" s="1179" t="s">
        <v>1556</v>
      </c>
      <c r="R404" s="1176"/>
      <c r="S404" s="9" t="str">
        <f t="shared" si="13"/>
        <v/>
      </c>
    </row>
    <row r="405" spans="1:19" x14ac:dyDescent="0.3">
      <c r="A405" s="9">
        <v>406</v>
      </c>
      <c r="B405" s="1182" t="s">
        <v>270</v>
      </c>
      <c r="C405" s="1177" t="s">
        <v>4108</v>
      </c>
      <c r="D405" s="1179" t="s">
        <v>4109</v>
      </c>
      <c r="E405" s="1180">
        <v>32579</v>
      </c>
      <c r="F405" s="9">
        <f t="shared" ca="1" si="8"/>
        <v>37</v>
      </c>
      <c r="G405" s="1181">
        <v>43309</v>
      </c>
      <c r="H405" s="1179" t="s">
        <v>271</v>
      </c>
      <c r="I405" s="1180">
        <v>44999</v>
      </c>
      <c r="J405" s="583" t="s">
        <v>271</v>
      </c>
      <c r="K405" s="755" t="str">
        <f t="shared" si="9"/>
        <v>I</v>
      </c>
      <c r="L405" s="756" t="str">
        <f t="shared" si="10"/>
        <v>G8</v>
      </c>
      <c r="M405" s="756" t="str">
        <f t="shared" si="11"/>
        <v>J1</v>
      </c>
      <c r="N405" s="757" t="str">
        <f t="shared" si="12"/>
        <v/>
      </c>
      <c r="O405" s="8">
        <f t="shared" si="14"/>
        <v>46095</v>
      </c>
      <c r="P405" s="9" t="str">
        <f t="shared" ca="1" si="15"/>
        <v>ATRASADO</v>
      </c>
      <c r="Q405" s="1179" t="s">
        <v>1556</v>
      </c>
      <c r="R405" s="1176"/>
      <c r="S405" s="9" t="str">
        <f t="shared" si="13"/>
        <v/>
      </c>
    </row>
    <row r="406" spans="1:19" x14ac:dyDescent="0.3">
      <c r="A406" s="9">
        <v>407</v>
      </c>
      <c r="B406" s="1182" t="s">
        <v>270</v>
      </c>
      <c r="C406" s="1177" t="s">
        <v>4110</v>
      </c>
      <c r="D406" s="1179" t="s">
        <v>4111</v>
      </c>
      <c r="E406" s="1180">
        <v>28803</v>
      </c>
      <c r="F406" s="9">
        <f t="shared" ca="1" si="8"/>
        <v>47</v>
      </c>
      <c r="G406" s="1181">
        <v>43550</v>
      </c>
      <c r="H406" s="1179" t="s">
        <v>275</v>
      </c>
      <c r="I406" s="1180">
        <v>45011</v>
      </c>
      <c r="J406" s="583" t="s">
        <v>275</v>
      </c>
      <c r="K406" s="755" t="str">
        <f t="shared" si="9"/>
        <v>I</v>
      </c>
      <c r="L406" s="756" t="str">
        <f t="shared" si="10"/>
        <v>G8</v>
      </c>
      <c r="M406" s="756" t="str">
        <f t="shared" si="11"/>
        <v/>
      </c>
      <c r="N406" s="757" t="str">
        <f t="shared" si="12"/>
        <v/>
      </c>
      <c r="O406" s="8">
        <f t="shared" si="14"/>
        <v>46107</v>
      </c>
      <c r="P406" s="9" t="str">
        <f t="shared" ca="1" si="15"/>
        <v>ATRASADO</v>
      </c>
      <c r="Q406" s="1179" t="s">
        <v>1556</v>
      </c>
      <c r="R406" s="1178"/>
      <c r="S406" s="9" t="str">
        <f t="shared" si="13"/>
        <v/>
      </c>
    </row>
    <row r="407" spans="1:19" x14ac:dyDescent="0.3">
      <c r="A407" s="9">
        <v>408</v>
      </c>
      <c r="B407" s="1182" t="s">
        <v>270</v>
      </c>
      <c r="C407" s="1177" t="s">
        <v>4112</v>
      </c>
      <c r="D407" s="1179" t="s">
        <v>4113</v>
      </c>
      <c r="E407" s="1180">
        <v>34737</v>
      </c>
      <c r="F407" s="9">
        <f t="shared" ca="1" si="8"/>
        <v>31</v>
      </c>
      <c r="G407" s="1181">
        <v>44505</v>
      </c>
      <c r="H407" s="1179" t="s">
        <v>8</v>
      </c>
      <c r="I407" s="1180">
        <v>45011</v>
      </c>
      <c r="J407" s="583" t="s">
        <v>275</v>
      </c>
      <c r="K407" s="755" t="str">
        <f t="shared" si="9"/>
        <v>I</v>
      </c>
      <c r="L407" s="756" t="str">
        <f t="shared" si="10"/>
        <v>G8</v>
      </c>
      <c r="M407" s="756" t="str">
        <f t="shared" si="11"/>
        <v/>
      </c>
      <c r="N407" s="757" t="str">
        <f t="shared" si="12"/>
        <v/>
      </c>
      <c r="O407" s="8">
        <f t="shared" si="14"/>
        <v>46107</v>
      </c>
      <c r="P407" s="9" t="str">
        <f t="shared" ca="1" si="15"/>
        <v>ATRASADO</v>
      </c>
      <c r="Q407" s="1179" t="s">
        <v>1556</v>
      </c>
      <c r="R407" s="1176"/>
      <c r="S407" s="9" t="str">
        <f t="shared" si="13"/>
        <v/>
      </c>
    </row>
    <row r="408" spans="1:19" x14ac:dyDescent="0.3">
      <c r="A408" s="9">
        <v>409</v>
      </c>
      <c r="B408" s="1182" t="s">
        <v>270</v>
      </c>
      <c r="C408" s="1177" t="s">
        <v>4114</v>
      </c>
      <c r="D408" s="1179" t="s">
        <v>4115</v>
      </c>
      <c r="E408" s="1180">
        <v>29115</v>
      </c>
      <c r="F408" s="9">
        <f t="shared" ca="1" si="8"/>
        <v>47</v>
      </c>
      <c r="G408" s="1181">
        <v>43426</v>
      </c>
      <c r="H408" s="1179" t="s">
        <v>271</v>
      </c>
      <c r="I408" s="1180">
        <v>44986</v>
      </c>
      <c r="J408" s="583" t="s">
        <v>271</v>
      </c>
      <c r="K408" s="755" t="str">
        <f t="shared" si="9"/>
        <v>I</v>
      </c>
      <c r="L408" s="756" t="str">
        <f t="shared" si="10"/>
        <v>G8</v>
      </c>
      <c r="M408" s="756" t="str">
        <f t="shared" si="11"/>
        <v>J1</v>
      </c>
      <c r="N408" s="757" t="str">
        <f t="shared" si="12"/>
        <v/>
      </c>
      <c r="O408" s="8">
        <f t="shared" si="14"/>
        <v>46082</v>
      </c>
      <c r="P408" s="9" t="str">
        <f t="shared" ca="1" si="15"/>
        <v>ATRASADO</v>
      </c>
      <c r="Q408" s="1179" t="s">
        <v>1556</v>
      </c>
      <c r="R408" s="1176"/>
      <c r="S408" s="9" t="str">
        <f t="shared" si="13"/>
        <v/>
      </c>
    </row>
    <row r="409" spans="1:19" x14ac:dyDescent="0.3">
      <c r="A409" s="9">
        <v>410</v>
      </c>
      <c r="B409" s="1182" t="s">
        <v>270</v>
      </c>
      <c r="C409" s="1177" t="s">
        <v>4116</v>
      </c>
      <c r="D409" s="1179" t="s">
        <v>4117</v>
      </c>
      <c r="E409" s="1180">
        <v>27522</v>
      </c>
      <c r="F409" s="9">
        <f t="shared" ca="1" si="8"/>
        <v>51</v>
      </c>
      <c r="G409" s="1181">
        <v>44201</v>
      </c>
      <c r="H409" s="1179" t="s">
        <v>275</v>
      </c>
      <c r="I409" s="1180">
        <v>45010</v>
      </c>
      <c r="J409" s="583" t="s">
        <v>528</v>
      </c>
      <c r="K409" s="755" t="str">
        <f t="shared" si="9"/>
        <v>I</v>
      </c>
      <c r="L409" s="756" t="str">
        <f t="shared" si="10"/>
        <v>G7</v>
      </c>
      <c r="M409" s="756" t="str">
        <f t="shared" si="11"/>
        <v>J1</v>
      </c>
      <c r="N409" s="757" t="str">
        <f t="shared" si="12"/>
        <v>S</v>
      </c>
      <c r="O409" s="8">
        <f t="shared" si="14"/>
        <v>45376</v>
      </c>
      <c r="P409" s="9" t="str">
        <f t="shared" ca="1" si="15"/>
        <v>ATRASADO</v>
      </c>
      <c r="Q409" s="1179" t="s">
        <v>1556</v>
      </c>
      <c r="R409" s="1176"/>
      <c r="S409" s="9" t="str">
        <f t="shared" si="13"/>
        <v/>
      </c>
    </row>
    <row r="410" spans="1:19" x14ac:dyDescent="0.3">
      <c r="A410" s="9">
        <v>411</v>
      </c>
      <c r="B410" s="1182" t="s">
        <v>270</v>
      </c>
      <c r="C410" s="1177" t="s">
        <v>4118</v>
      </c>
      <c r="D410" s="1179" t="s">
        <v>4119</v>
      </c>
      <c r="E410" s="1180">
        <v>23246</v>
      </c>
      <c r="F410" s="9">
        <f t="shared" ca="1" si="8"/>
        <v>63</v>
      </c>
      <c r="G410" s="1181">
        <v>43183</v>
      </c>
      <c r="H410" s="1179" t="s">
        <v>275</v>
      </c>
      <c r="I410" s="1180">
        <v>44998</v>
      </c>
      <c r="J410" s="583" t="s">
        <v>275</v>
      </c>
      <c r="K410" s="755" t="str">
        <f t="shared" si="9"/>
        <v>I</v>
      </c>
      <c r="L410" s="756" t="str">
        <f t="shared" si="10"/>
        <v>G8</v>
      </c>
      <c r="M410" s="756" t="str">
        <f t="shared" si="11"/>
        <v/>
      </c>
      <c r="N410" s="757" t="str">
        <f t="shared" si="12"/>
        <v/>
      </c>
      <c r="O410" s="8">
        <f t="shared" si="14"/>
        <v>46094</v>
      </c>
      <c r="P410" s="9" t="str">
        <f t="shared" ca="1" si="15"/>
        <v>ATRASADO</v>
      </c>
      <c r="Q410" s="1179" t="s">
        <v>1556</v>
      </c>
      <c r="R410" s="1176"/>
      <c r="S410" s="9" t="str">
        <f t="shared" si="13"/>
        <v/>
      </c>
    </row>
    <row r="411" spans="1:19" x14ac:dyDescent="0.3">
      <c r="A411" s="9">
        <v>412</v>
      </c>
      <c r="B411" s="1182" t="s">
        <v>270</v>
      </c>
      <c r="C411" s="1177" t="s">
        <v>4120</v>
      </c>
      <c r="D411" s="1179" t="s">
        <v>4121</v>
      </c>
      <c r="E411" s="1180">
        <v>30976</v>
      </c>
      <c r="F411" s="9">
        <f t="shared" ca="1" si="8"/>
        <v>41</v>
      </c>
      <c r="G411" s="1181">
        <v>44039</v>
      </c>
      <c r="H411" s="1179" t="s">
        <v>275</v>
      </c>
      <c r="I411" s="1180">
        <v>45010</v>
      </c>
      <c r="J411" s="583" t="s">
        <v>275</v>
      </c>
      <c r="K411" s="755" t="str">
        <f t="shared" si="9"/>
        <v>I</v>
      </c>
      <c r="L411" s="756" t="str">
        <f t="shared" si="10"/>
        <v>G8</v>
      </c>
      <c r="M411" s="756" t="str">
        <f t="shared" si="11"/>
        <v/>
      </c>
      <c r="N411" s="757" t="str">
        <f t="shared" si="12"/>
        <v/>
      </c>
      <c r="O411" s="8">
        <f t="shared" si="14"/>
        <v>46106</v>
      </c>
      <c r="P411" s="9" t="str">
        <f t="shared" ca="1" si="15"/>
        <v>ATRASADO</v>
      </c>
      <c r="Q411" s="1179" t="s">
        <v>1556</v>
      </c>
      <c r="R411" s="1176"/>
      <c r="S411" s="9" t="str">
        <f t="shared" si="13"/>
        <v/>
      </c>
    </row>
    <row r="412" spans="1:19" x14ac:dyDescent="0.3">
      <c r="A412" s="9">
        <v>413</v>
      </c>
      <c r="B412" s="1182" t="s">
        <v>270</v>
      </c>
      <c r="C412" s="1177" t="s">
        <v>4122</v>
      </c>
      <c r="D412" s="1179" t="s">
        <v>4123</v>
      </c>
      <c r="E412" s="1180">
        <v>30269</v>
      </c>
      <c r="F412" s="9">
        <f t="shared" ca="1" si="8"/>
        <v>43</v>
      </c>
      <c r="G412" s="1179" t="s">
        <v>8</v>
      </c>
      <c r="H412" s="1179" t="s">
        <v>275</v>
      </c>
      <c r="I412" s="1180">
        <v>44995</v>
      </c>
      <c r="J412" s="583" t="s">
        <v>327</v>
      </c>
      <c r="K412" s="755" t="str">
        <f t="shared" si="9"/>
        <v>I</v>
      </c>
      <c r="L412" s="756" t="str">
        <f t="shared" si="10"/>
        <v>G7</v>
      </c>
      <c r="M412" s="756" t="str">
        <f t="shared" si="11"/>
        <v>S</v>
      </c>
      <c r="N412" s="757" t="str">
        <f t="shared" si="12"/>
        <v/>
      </c>
      <c r="O412" s="8">
        <f t="shared" si="14"/>
        <v>45361</v>
      </c>
      <c r="P412" s="9" t="str">
        <f t="shared" ca="1" si="15"/>
        <v>ATRASADO</v>
      </c>
      <c r="Q412" s="1179" t="s">
        <v>1556</v>
      </c>
      <c r="R412" s="1176"/>
      <c r="S412" s="9" t="str">
        <f t="shared" si="13"/>
        <v/>
      </c>
    </row>
    <row r="413" spans="1:19" x14ac:dyDescent="0.3">
      <c r="A413" s="9">
        <v>414</v>
      </c>
      <c r="B413" s="1182" t="s">
        <v>270</v>
      </c>
      <c r="C413" s="1177" t="s">
        <v>4124</v>
      </c>
      <c r="D413" s="1179" t="s">
        <v>4125</v>
      </c>
      <c r="E413" s="1180">
        <v>26293</v>
      </c>
      <c r="F413" s="9">
        <f t="shared" ca="1" si="8"/>
        <v>54</v>
      </c>
      <c r="G413" s="1181">
        <v>44105</v>
      </c>
      <c r="H413" s="1179" t="s">
        <v>275</v>
      </c>
      <c r="I413" s="1180">
        <v>45001</v>
      </c>
      <c r="J413" s="583" t="s">
        <v>8</v>
      </c>
      <c r="K413" s="755" t="str">
        <f t="shared" si="9"/>
        <v>SI</v>
      </c>
      <c r="L413" s="756" t="str">
        <f t="shared" si="10"/>
        <v xml:space="preserve">N </v>
      </c>
      <c r="M413" s="756" t="str">
        <f t="shared" si="11"/>
        <v>RE</v>
      </c>
      <c r="N413" s="757" t="str">
        <f t="shared" si="12"/>
        <v>GI</v>
      </c>
      <c r="O413" s="8">
        <f t="shared" si="14"/>
        <v>46097</v>
      </c>
      <c r="P413" s="9" t="str">
        <f t="shared" ca="1" si="15"/>
        <v>ATRASADO</v>
      </c>
      <c r="Q413" s="1179" t="s">
        <v>1556</v>
      </c>
      <c r="R413" s="1176"/>
      <c r="S413" s="9" t="str">
        <f t="shared" si="13"/>
        <v/>
      </c>
    </row>
    <row r="414" spans="1:19" x14ac:dyDescent="0.3">
      <c r="A414" s="9">
        <v>415</v>
      </c>
      <c r="B414" s="1182" t="s">
        <v>270</v>
      </c>
      <c r="C414" s="1177" t="s">
        <v>4126</v>
      </c>
      <c r="D414" s="1179" t="s">
        <v>4127</v>
      </c>
      <c r="E414" s="1180">
        <v>31455</v>
      </c>
      <c r="F414" s="9">
        <f t="shared" ca="1" si="8"/>
        <v>40</v>
      </c>
      <c r="G414" s="1181">
        <v>44429</v>
      </c>
      <c r="H414" s="1179" t="s">
        <v>8</v>
      </c>
      <c r="I414" s="1180">
        <v>44999</v>
      </c>
      <c r="J414" s="583" t="s">
        <v>271</v>
      </c>
      <c r="K414" s="755" t="str">
        <f t="shared" si="9"/>
        <v>I</v>
      </c>
      <c r="L414" s="756" t="str">
        <f t="shared" si="10"/>
        <v>G8</v>
      </c>
      <c r="M414" s="756" t="str">
        <f t="shared" si="11"/>
        <v>J1</v>
      </c>
      <c r="N414" s="757" t="str">
        <f t="shared" si="12"/>
        <v/>
      </c>
      <c r="O414" s="8">
        <f t="shared" si="14"/>
        <v>46095</v>
      </c>
      <c r="P414" s="9" t="str">
        <f t="shared" ca="1" si="15"/>
        <v>ATRASADO</v>
      </c>
      <c r="Q414" s="1179" t="s">
        <v>1556</v>
      </c>
      <c r="R414" s="1176"/>
      <c r="S414" s="9" t="str">
        <f t="shared" si="13"/>
        <v/>
      </c>
    </row>
    <row r="415" spans="1:19" x14ac:dyDescent="0.3">
      <c r="A415" s="9">
        <v>416</v>
      </c>
      <c r="B415" s="1182" t="s">
        <v>270</v>
      </c>
      <c r="C415" s="1177" t="s">
        <v>4128</v>
      </c>
      <c r="D415" s="1179" t="s">
        <v>4129</v>
      </c>
      <c r="E415" s="1180">
        <v>35765</v>
      </c>
      <c r="F415" s="9">
        <f t="shared" ca="1" si="8"/>
        <v>28</v>
      </c>
      <c r="G415" s="1181">
        <v>44328</v>
      </c>
      <c r="H415" s="1179" t="s">
        <v>271</v>
      </c>
      <c r="I415" s="1180">
        <v>45014</v>
      </c>
      <c r="J415" s="583" t="s">
        <v>8</v>
      </c>
      <c r="K415" s="755" t="str">
        <f t="shared" si="9"/>
        <v>SI</v>
      </c>
      <c r="L415" s="756" t="str">
        <f t="shared" si="10"/>
        <v xml:space="preserve">N </v>
      </c>
      <c r="M415" s="756" t="str">
        <f t="shared" si="11"/>
        <v>RE</v>
      </c>
      <c r="N415" s="757" t="str">
        <f t="shared" si="12"/>
        <v>GI</v>
      </c>
      <c r="O415" s="8">
        <f t="shared" si="14"/>
        <v>46110</v>
      </c>
      <c r="P415" s="9" t="str">
        <f t="shared" ca="1" si="15"/>
        <v>ATRASADO</v>
      </c>
      <c r="Q415" s="1179" t="s">
        <v>1556</v>
      </c>
      <c r="R415" s="1176"/>
      <c r="S415" s="9" t="str">
        <f t="shared" si="13"/>
        <v/>
      </c>
    </row>
    <row r="416" spans="1:19" x14ac:dyDescent="0.3">
      <c r="A416" s="9">
        <v>417</v>
      </c>
      <c r="B416" s="1182" t="s">
        <v>270</v>
      </c>
      <c r="C416" s="1177" t="s">
        <v>4130</v>
      </c>
      <c r="D416" s="1179" t="s">
        <v>4131</v>
      </c>
      <c r="E416" s="1180">
        <v>21229</v>
      </c>
      <c r="F416" s="9">
        <f t="shared" ca="1" si="8"/>
        <v>68</v>
      </c>
      <c r="G416" s="1181">
        <v>43712</v>
      </c>
      <c r="H416" s="1179" t="s">
        <v>275</v>
      </c>
      <c r="I416" s="1180">
        <v>44989</v>
      </c>
      <c r="J416" s="583" t="s">
        <v>275</v>
      </c>
      <c r="K416" s="755" t="str">
        <f t="shared" si="9"/>
        <v>I</v>
      </c>
      <c r="L416" s="756" t="str">
        <f t="shared" si="10"/>
        <v>G8</v>
      </c>
      <c r="M416" s="756" t="str">
        <f t="shared" si="11"/>
        <v/>
      </c>
      <c r="N416" s="757" t="str">
        <f t="shared" si="12"/>
        <v/>
      </c>
      <c r="O416" s="8">
        <f t="shared" si="14"/>
        <v>46085</v>
      </c>
      <c r="P416" s="9" t="str">
        <f t="shared" ca="1" si="15"/>
        <v>ATRASADO</v>
      </c>
      <c r="Q416" s="1179" t="s">
        <v>1556</v>
      </c>
      <c r="R416" s="1176"/>
      <c r="S416" s="9" t="str">
        <f t="shared" si="13"/>
        <v/>
      </c>
    </row>
    <row r="417" spans="1:19" x14ac:dyDescent="0.3">
      <c r="A417" s="9">
        <v>418</v>
      </c>
      <c r="B417" s="1187" t="s">
        <v>56</v>
      </c>
      <c r="C417" s="1184" t="s">
        <v>4132</v>
      </c>
      <c r="D417" s="1185" t="s">
        <v>4133</v>
      </c>
      <c r="E417" s="1186">
        <v>28499</v>
      </c>
      <c r="F417" s="9">
        <f t="shared" ca="1" si="8"/>
        <v>48</v>
      </c>
      <c r="G417" s="1185" t="s">
        <v>8</v>
      </c>
      <c r="H417" s="1185" t="s">
        <v>271</v>
      </c>
      <c r="I417" s="1186">
        <v>45034</v>
      </c>
      <c r="J417" s="583" t="s">
        <v>8</v>
      </c>
      <c r="K417" s="755" t="str">
        <f t="shared" si="9"/>
        <v>SI</v>
      </c>
      <c r="L417" s="756" t="str">
        <f t="shared" si="10"/>
        <v xml:space="preserve">N </v>
      </c>
      <c r="M417" s="756" t="str">
        <f t="shared" si="11"/>
        <v>RE</v>
      </c>
      <c r="N417" s="757" t="str">
        <f t="shared" si="12"/>
        <v>GI</v>
      </c>
      <c r="O417" s="8">
        <f t="shared" si="14"/>
        <v>46130</v>
      </c>
      <c r="P417" s="9" t="str">
        <f t="shared" ca="1" si="15"/>
        <v>ATRASADO</v>
      </c>
      <c r="Q417" s="1185" t="s">
        <v>1556</v>
      </c>
      <c r="R417" s="1183"/>
      <c r="S417" s="9" t="str">
        <f t="shared" si="13"/>
        <v/>
      </c>
    </row>
    <row r="418" spans="1:19" x14ac:dyDescent="0.3">
      <c r="A418" s="9">
        <v>419</v>
      </c>
      <c r="B418" s="1194" t="s">
        <v>312</v>
      </c>
      <c r="C418" s="1189" t="s">
        <v>4134</v>
      </c>
      <c r="D418" s="1191" t="s">
        <v>4135</v>
      </c>
      <c r="E418" s="1192">
        <v>27745</v>
      </c>
      <c r="F418" s="9">
        <f t="shared" ca="1" si="8"/>
        <v>50</v>
      </c>
      <c r="G418" s="1193">
        <v>44196</v>
      </c>
      <c r="H418" s="1191" t="s">
        <v>340</v>
      </c>
      <c r="I418" s="1192">
        <v>45046</v>
      </c>
      <c r="J418" s="583" t="s">
        <v>594</v>
      </c>
      <c r="K418" s="755" t="str">
        <f t="shared" si="9"/>
        <v>I</v>
      </c>
      <c r="L418" s="756" t="str">
        <f t="shared" si="10"/>
        <v>G8</v>
      </c>
      <c r="M418" s="756" t="str">
        <f t="shared" si="11"/>
        <v>J6</v>
      </c>
      <c r="N418" s="757" t="str">
        <f t="shared" si="12"/>
        <v/>
      </c>
      <c r="O418" s="8">
        <f t="shared" si="14"/>
        <v>46142</v>
      </c>
      <c r="P418" s="9" t="str">
        <f t="shared" ca="1" si="15"/>
        <v>ATRASADO</v>
      </c>
      <c r="Q418" s="1191" t="s">
        <v>1556</v>
      </c>
      <c r="R418" s="1188"/>
      <c r="S418" s="9" t="str">
        <f t="shared" si="13"/>
        <v>ACTINOMYCES</v>
      </c>
    </row>
    <row r="419" spans="1:19" x14ac:dyDescent="0.3">
      <c r="A419" s="9">
        <v>420</v>
      </c>
      <c r="B419" s="1194" t="s">
        <v>312</v>
      </c>
      <c r="C419" s="1189" t="s">
        <v>4136</v>
      </c>
      <c r="D419" s="1191" t="s">
        <v>4137</v>
      </c>
      <c r="E419" s="1192">
        <v>23753</v>
      </c>
      <c r="F419" s="9">
        <f t="shared" ca="1" si="8"/>
        <v>61</v>
      </c>
      <c r="G419" s="1193">
        <v>43492</v>
      </c>
      <c r="H419" s="1191" t="s">
        <v>8</v>
      </c>
      <c r="I419" s="1192">
        <v>45025</v>
      </c>
      <c r="J419" s="583" t="s">
        <v>8</v>
      </c>
      <c r="K419" s="755" t="str">
        <f t="shared" si="9"/>
        <v>SI</v>
      </c>
      <c r="L419" s="756" t="str">
        <f t="shared" si="10"/>
        <v xml:space="preserve">N </v>
      </c>
      <c r="M419" s="756" t="str">
        <f t="shared" si="11"/>
        <v>RE</v>
      </c>
      <c r="N419" s="757" t="str">
        <f t="shared" si="12"/>
        <v>GI</v>
      </c>
      <c r="O419" s="8">
        <f t="shared" si="14"/>
        <v>46121</v>
      </c>
      <c r="P419" s="9" t="str">
        <f t="shared" ca="1" si="15"/>
        <v>ATRASADO</v>
      </c>
      <c r="Q419" s="1191" t="s">
        <v>1556</v>
      </c>
      <c r="R419" s="1188"/>
      <c r="S419" s="9" t="str">
        <f t="shared" si="13"/>
        <v/>
      </c>
    </row>
    <row r="420" spans="1:19" x14ac:dyDescent="0.3">
      <c r="A420" s="9">
        <v>421</v>
      </c>
      <c r="B420" s="1194" t="s">
        <v>312</v>
      </c>
      <c r="C420" s="1189" t="s">
        <v>4138</v>
      </c>
      <c r="D420" s="1191" t="s">
        <v>4139</v>
      </c>
      <c r="E420" s="1192">
        <v>21046</v>
      </c>
      <c r="F420" s="9">
        <f t="shared" ca="1" si="8"/>
        <v>69</v>
      </c>
      <c r="G420" s="1193">
        <v>44330</v>
      </c>
      <c r="H420" s="1191" t="s">
        <v>271</v>
      </c>
      <c r="I420" s="1192">
        <v>45019</v>
      </c>
      <c r="J420" s="583" t="s">
        <v>271</v>
      </c>
      <c r="K420" s="755" t="str">
        <f t="shared" si="9"/>
        <v>I</v>
      </c>
      <c r="L420" s="756" t="str">
        <f t="shared" si="10"/>
        <v>G8</v>
      </c>
      <c r="M420" s="756" t="str">
        <f t="shared" si="11"/>
        <v>J1</v>
      </c>
      <c r="N420" s="757" t="str">
        <f t="shared" si="12"/>
        <v/>
      </c>
      <c r="O420" s="8">
        <f t="shared" si="14"/>
        <v>46115</v>
      </c>
      <c r="P420" s="9" t="str">
        <f t="shared" ca="1" si="15"/>
        <v>ATRASADO</v>
      </c>
      <c r="Q420" s="1191" t="s">
        <v>1556</v>
      </c>
      <c r="R420" s="1188"/>
      <c r="S420" s="9" t="str">
        <f t="shared" si="13"/>
        <v/>
      </c>
    </row>
    <row r="421" spans="1:19" x14ac:dyDescent="0.3">
      <c r="A421" s="9">
        <v>422</v>
      </c>
      <c r="B421" s="1194" t="s">
        <v>312</v>
      </c>
      <c r="C421" s="1189" t="s">
        <v>4140</v>
      </c>
      <c r="D421" s="1191" t="s">
        <v>4141</v>
      </c>
      <c r="E421" s="1192">
        <v>28362</v>
      </c>
      <c r="F421" s="9">
        <f t="shared" ca="1" si="8"/>
        <v>49</v>
      </c>
      <c r="G421" s="1193">
        <v>44719</v>
      </c>
      <c r="H421" s="1191" t="s">
        <v>327</v>
      </c>
      <c r="I421" s="1192">
        <v>45031</v>
      </c>
      <c r="J421" s="583" t="s">
        <v>275</v>
      </c>
      <c r="K421" s="755" t="str">
        <f t="shared" si="9"/>
        <v>I</v>
      </c>
      <c r="L421" s="756" t="str">
        <f t="shared" si="10"/>
        <v>G8</v>
      </c>
      <c r="M421" s="756" t="str">
        <f t="shared" si="11"/>
        <v/>
      </c>
      <c r="N421" s="757" t="str">
        <f t="shared" si="12"/>
        <v/>
      </c>
      <c r="O421" s="8">
        <f t="shared" si="14"/>
        <v>46127</v>
      </c>
      <c r="P421" s="9" t="str">
        <f t="shared" ca="1" si="15"/>
        <v>ATRASADO</v>
      </c>
      <c r="Q421" s="1191" t="s">
        <v>1556</v>
      </c>
      <c r="R421" s="1188"/>
      <c r="S421" s="9" t="str">
        <f t="shared" si="13"/>
        <v/>
      </c>
    </row>
    <row r="422" spans="1:19" x14ac:dyDescent="0.3">
      <c r="A422" s="9">
        <v>423</v>
      </c>
      <c r="B422" s="1194" t="s">
        <v>312</v>
      </c>
      <c r="C422" s="1189" t="s">
        <v>4142</v>
      </c>
      <c r="D422" s="1191" t="s">
        <v>4143</v>
      </c>
      <c r="E422" s="1192">
        <v>36042</v>
      </c>
      <c r="F422" s="9">
        <f t="shared" ca="1" si="8"/>
        <v>28</v>
      </c>
      <c r="G422" s="1193">
        <v>43887</v>
      </c>
      <c r="H422" s="1191" t="s">
        <v>300</v>
      </c>
      <c r="I422" s="1192">
        <v>45017</v>
      </c>
      <c r="J422" s="583" t="s">
        <v>340</v>
      </c>
      <c r="K422" s="755" t="str">
        <f t="shared" si="9"/>
        <v>I</v>
      </c>
      <c r="L422" s="756" t="str">
        <f t="shared" si="10"/>
        <v>G8</v>
      </c>
      <c r="M422" s="756" t="str">
        <f t="shared" si="11"/>
        <v>S</v>
      </c>
      <c r="N422" s="757" t="str">
        <f t="shared" si="12"/>
        <v/>
      </c>
      <c r="O422" s="8">
        <f t="shared" si="14"/>
        <v>45383</v>
      </c>
      <c r="P422" s="9" t="str">
        <f t="shared" ca="1" si="15"/>
        <v>ATRASADO</v>
      </c>
      <c r="Q422" s="1191" t="s">
        <v>1556</v>
      </c>
      <c r="R422" s="1188"/>
      <c r="S422" s="9" t="str">
        <f t="shared" si="13"/>
        <v/>
      </c>
    </row>
    <row r="423" spans="1:19" x14ac:dyDescent="0.3">
      <c r="A423" s="9">
        <v>424</v>
      </c>
      <c r="B423" s="1194" t="s">
        <v>312</v>
      </c>
      <c r="C423" s="1189" t="s">
        <v>4144</v>
      </c>
      <c r="D423" s="1191" t="s">
        <v>4145</v>
      </c>
      <c r="E423" s="1192">
        <v>31874</v>
      </c>
      <c r="F423" s="9">
        <f t="shared" ca="1" si="8"/>
        <v>39</v>
      </c>
      <c r="G423" s="1191" t="s">
        <v>8</v>
      </c>
      <c r="H423" s="1191" t="s">
        <v>275</v>
      </c>
      <c r="I423" s="1192">
        <v>45030</v>
      </c>
      <c r="J423" s="583" t="s">
        <v>275</v>
      </c>
      <c r="K423" s="755" t="str">
        <f t="shared" si="9"/>
        <v>I</v>
      </c>
      <c r="L423" s="756" t="str">
        <f t="shared" si="10"/>
        <v>G8</v>
      </c>
      <c r="M423" s="756" t="str">
        <f t="shared" si="11"/>
        <v/>
      </c>
      <c r="N423" s="757" t="str">
        <f t="shared" si="12"/>
        <v/>
      </c>
      <c r="O423" s="8">
        <f t="shared" si="14"/>
        <v>46126</v>
      </c>
      <c r="P423" s="9" t="str">
        <f t="shared" ca="1" si="15"/>
        <v>ATRASADO</v>
      </c>
      <c r="Q423" s="1191" t="s">
        <v>1556</v>
      </c>
      <c r="R423" s="1190"/>
      <c r="S423" s="9" t="str">
        <f t="shared" si="13"/>
        <v/>
      </c>
    </row>
    <row r="424" spans="1:19" x14ac:dyDescent="0.3">
      <c r="A424" s="9">
        <v>425</v>
      </c>
      <c r="B424" s="1194" t="s">
        <v>312</v>
      </c>
      <c r="C424" s="1189" t="s">
        <v>4146</v>
      </c>
      <c r="D424" s="1191" t="s">
        <v>4147</v>
      </c>
      <c r="E424" s="1192">
        <v>29177</v>
      </c>
      <c r="F424" s="9">
        <f t="shared" ca="1" si="8"/>
        <v>46</v>
      </c>
      <c r="G424" s="1193">
        <v>43433</v>
      </c>
      <c r="H424" s="1191" t="s">
        <v>275</v>
      </c>
      <c r="I424" s="1192">
        <v>45022</v>
      </c>
      <c r="J424" s="583" t="s">
        <v>275</v>
      </c>
      <c r="K424" s="755" t="str">
        <f t="shared" si="9"/>
        <v>I</v>
      </c>
      <c r="L424" s="756" t="str">
        <f t="shared" si="10"/>
        <v>G8</v>
      </c>
      <c r="M424" s="756" t="str">
        <f t="shared" si="11"/>
        <v/>
      </c>
      <c r="N424" s="757" t="str">
        <f t="shared" si="12"/>
        <v/>
      </c>
      <c r="O424" s="8">
        <f t="shared" si="14"/>
        <v>46118</v>
      </c>
      <c r="P424" s="9" t="str">
        <f t="shared" ca="1" si="15"/>
        <v>ATRASADO</v>
      </c>
      <c r="Q424" s="1191" t="s">
        <v>1556</v>
      </c>
      <c r="R424" s="1188"/>
      <c r="S424" s="9" t="str">
        <f t="shared" si="13"/>
        <v/>
      </c>
    </row>
    <row r="425" spans="1:19" x14ac:dyDescent="0.3">
      <c r="A425" s="9">
        <v>426</v>
      </c>
      <c r="B425" s="1201" t="s">
        <v>270</v>
      </c>
      <c r="C425" s="1196" t="s">
        <v>4148</v>
      </c>
      <c r="D425" s="1198" t="s">
        <v>4149</v>
      </c>
      <c r="E425" s="1199">
        <v>20578</v>
      </c>
      <c r="F425" s="9">
        <f t="shared" ca="1" si="8"/>
        <v>70</v>
      </c>
      <c r="G425" s="1200">
        <v>43752</v>
      </c>
      <c r="H425" s="1198" t="s">
        <v>8</v>
      </c>
      <c r="I425" s="1199">
        <v>45030</v>
      </c>
      <c r="J425" s="583" t="s">
        <v>275</v>
      </c>
      <c r="K425" s="755" t="str">
        <f t="shared" si="9"/>
        <v>I</v>
      </c>
      <c r="L425" s="756" t="str">
        <f t="shared" si="10"/>
        <v>G8</v>
      </c>
      <c r="M425" s="756" t="str">
        <f t="shared" si="11"/>
        <v/>
      </c>
      <c r="N425" s="757" t="str">
        <f t="shared" si="12"/>
        <v/>
      </c>
      <c r="O425" s="8">
        <f t="shared" si="14"/>
        <v>46126</v>
      </c>
      <c r="P425" s="9" t="str">
        <f t="shared" ca="1" si="15"/>
        <v>ATRASADO</v>
      </c>
      <c r="Q425" s="1198" t="s">
        <v>1556</v>
      </c>
      <c r="R425" s="1197"/>
      <c r="S425" s="9" t="str">
        <f t="shared" si="13"/>
        <v/>
      </c>
    </row>
    <row r="426" spans="1:19" x14ac:dyDescent="0.3">
      <c r="A426" s="9">
        <v>427</v>
      </c>
      <c r="B426" s="1201" t="s">
        <v>270</v>
      </c>
      <c r="C426" s="1196" t="s">
        <v>4150</v>
      </c>
      <c r="D426" s="1198" t="s">
        <v>4151</v>
      </c>
      <c r="E426" s="1199">
        <v>26249</v>
      </c>
      <c r="F426" s="9">
        <f t="shared" ca="1" si="8"/>
        <v>54</v>
      </c>
      <c r="G426" s="1200">
        <v>43444</v>
      </c>
      <c r="H426" s="1198" t="s">
        <v>271</v>
      </c>
      <c r="I426" s="1199">
        <v>45030</v>
      </c>
      <c r="J426" s="583" t="s">
        <v>275</v>
      </c>
      <c r="K426" s="755" t="str">
        <f t="shared" si="9"/>
        <v>I</v>
      </c>
      <c r="L426" s="756" t="str">
        <f t="shared" si="10"/>
        <v>G8</v>
      </c>
      <c r="M426" s="756" t="str">
        <f t="shared" si="11"/>
        <v/>
      </c>
      <c r="N426" s="757" t="str">
        <f t="shared" si="12"/>
        <v/>
      </c>
      <c r="O426" s="8">
        <f t="shared" si="14"/>
        <v>46126</v>
      </c>
      <c r="P426" s="9" t="str">
        <f t="shared" ca="1" si="15"/>
        <v>ATRASADO</v>
      </c>
      <c r="Q426" s="1198" t="s">
        <v>1556</v>
      </c>
      <c r="R426" s="1195"/>
      <c r="S426" s="9" t="str">
        <f t="shared" si="13"/>
        <v/>
      </c>
    </row>
    <row r="427" spans="1:19" x14ac:dyDescent="0.3">
      <c r="A427" s="9">
        <v>428</v>
      </c>
      <c r="B427" s="1201" t="s">
        <v>270</v>
      </c>
      <c r="C427" s="1196" t="s">
        <v>4152</v>
      </c>
      <c r="D427" s="1198" t="s">
        <v>4153</v>
      </c>
      <c r="E427" s="1199">
        <v>20294</v>
      </c>
      <c r="F427" s="9">
        <f t="shared" ca="1" si="8"/>
        <v>71</v>
      </c>
      <c r="G427" s="1200">
        <v>43602</v>
      </c>
      <c r="H427" s="1198" t="s">
        <v>275</v>
      </c>
      <c r="I427" s="1199">
        <v>45025</v>
      </c>
      <c r="J427" s="583" t="s">
        <v>320</v>
      </c>
      <c r="K427" s="755" t="str">
        <f t="shared" si="9"/>
        <v>I</v>
      </c>
      <c r="L427" s="756" t="str">
        <f t="shared" si="10"/>
        <v>G8</v>
      </c>
      <c r="M427" s="756" t="str">
        <f t="shared" si="11"/>
        <v>J1</v>
      </c>
      <c r="N427" s="757" t="str">
        <f t="shared" si="12"/>
        <v>S</v>
      </c>
      <c r="O427" s="8">
        <f t="shared" si="14"/>
        <v>45391</v>
      </c>
      <c r="P427" s="9" t="str">
        <f t="shared" ca="1" si="15"/>
        <v>ATRASADO</v>
      </c>
      <c r="Q427" s="1198" t="s">
        <v>1556</v>
      </c>
      <c r="R427" s="1197" t="s">
        <v>2024</v>
      </c>
      <c r="S427" s="9" t="str">
        <f t="shared" si="13"/>
        <v/>
      </c>
    </row>
    <row r="428" spans="1:19" x14ac:dyDescent="0.3">
      <c r="A428" s="9">
        <v>429</v>
      </c>
      <c r="B428" s="1201" t="s">
        <v>270</v>
      </c>
      <c r="C428" s="1196" t="s">
        <v>4154</v>
      </c>
      <c r="D428" s="1198" t="s">
        <v>4155</v>
      </c>
      <c r="E428" s="1199">
        <v>36732</v>
      </c>
      <c r="F428" s="9">
        <f t="shared" ca="1" si="8"/>
        <v>26</v>
      </c>
      <c r="G428" s="1200">
        <v>43313</v>
      </c>
      <c r="H428" s="1198" t="s">
        <v>275</v>
      </c>
      <c r="I428" s="1199">
        <v>45020</v>
      </c>
      <c r="J428" s="583" t="s">
        <v>275</v>
      </c>
      <c r="K428" s="755" t="str">
        <f t="shared" si="9"/>
        <v>I</v>
      </c>
      <c r="L428" s="756" t="str">
        <f t="shared" si="10"/>
        <v>G8</v>
      </c>
      <c r="M428" s="756" t="str">
        <f t="shared" si="11"/>
        <v/>
      </c>
      <c r="N428" s="757" t="str">
        <f t="shared" si="12"/>
        <v/>
      </c>
      <c r="O428" s="8">
        <f t="shared" si="14"/>
        <v>46116</v>
      </c>
      <c r="P428" s="9" t="str">
        <f t="shared" ca="1" si="15"/>
        <v>ATRASADO</v>
      </c>
      <c r="Q428" s="1198" t="s">
        <v>1556</v>
      </c>
      <c r="R428" s="1195"/>
      <c r="S428" s="9" t="str">
        <f t="shared" si="13"/>
        <v/>
      </c>
    </row>
    <row r="429" spans="1:19" x14ac:dyDescent="0.3">
      <c r="A429" s="9">
        <v>430</v>
      </c>
      <c r="B429" s="1208" t="s">
        <v>270</v>
      </c>
      <c r="C429" s="1203" t="s">
        <v>4156</v>
      </c>
      <c r="D429" s="1205" t="s">
        <v>4157</v>
      </c>
      <c r="E429" s="1206">
        <v>34341</v>
      </c>
      <c r="F429" s="9">
        <f t="shared" ca="1" si="8"/>
        <v>32</v>
      </c>
      <c r="G429" s="1207">
        <v>44052</v>
      </c>
      <c r="H429" s="1205" t="s">
        <v>271</v>
      </c>
      <c r="I429" s="1206">
        <v>45041</v>
      </c>
      <c r="K429" s="755" t="str">
        <f t="shared" si="9"/>
        <v/>
      </c>
      <c r="L429" s="756" t="str">
        <f t="shared" si="10"/>
        <v/>
      </c>
      <c r="M429" s="756" t="str">
        <f t="shared" si="11"/>
        <v/>
      </c>
      <c r="N429" s="757" t="str">
        <f t="shared" si="12"/>
        <v/>
      </c>
      <c r="O429" s="8">
        <f t="shared" si="14"/>
        <v>46137</v>
      </c>
      <c r="P429" s="9" t="str">
        <f t="shared" ca="1" si="15"/>
        <v>ATRASADO</v>
      </c>
      <c r="Q429" s="1205" t="s">
        <v>1556</v>
      </c>
      <c r="R429" s="1204"/>
      <c r="S429" s="9" t="str">
        <f t="shared" si="13"/>
        <v/>
      </c>
    </row>
    <row r="430" spans="1:19" x14ac:dyDescent="0.3">
      <c r="A430" s="9">
        <v>431</v>
      </c>
      <c r="B430" s="1208" t="s">
        <v>111</v>
      </c>
      <c r="C430" s="1203" t="s">
        <v>4158</v>
      </c>
      <c r="D430" s="1205" t="s">
        <v>4159</v>
      </c>
      <c r="E430" s="1206">
        <v>28497</v>
      </c>
      <c r="F430" s="9">
        <f t="shared" ca="1" si="8"/>
        <v>48</v>
      </c>
      <c r="G430" s="1207">
        <v>44733</v>
      </c>
      <c r="H430" s="1205" t="s">
        <v>275</v>
      </c>
      <c r="I430" s="1206">
        <v>45031</v>
      </c>
      <c r="J430" s="583" t="s">
        <v>275</v>
      </c>
      <c r="K430" s="755" t="str">
        <f t="shared" si="9"/>
        <v>I</v>
      </c>
      <c r="L430" s="756" t="str">
        <f t="shared" si="10"/>
        <v>G8</v>
      </c>
      <c r="M430" s="756" t="str">
        <f t="shared" si="11"/>
        <v/>
      </c>
      <c r="N430" s="757" t="str">
        <f t="shared" si="12"/>
        <v/>
      </c>
      <c r="O430" s="8">
        <f t="shared" si="14"/>
        <v>46127</v>
      </c>
      <c r="P430" s="9" t="str">
        <f t="shared" ca="1" si="15"/>
        <v>ATRASADO</v>
      </c>
      <c r="Q430" s="1205" t="s">
        <v>1556</v>
      </c>
      <c r="R430" s="1202"/>
      <c r="S430" s="9" t="str">
        <f t="shared" si="13"/>
        <v/>
      </c>
    </row>
    <row r="431" spans="1:19" x14ac:dyDescent="0.3">
      <c r="A431" s="9">
        <v>432</v>
      </c>
      <c r="B431" s="1208" t="s">
        <v>579</v>
      </c>
      <c r="C431" s="1203" t="s">
        <v>4160</v>
      </c>
      <c r="D431" s="1205" t="s">
        <v>4161</v>
      </c>
      <c r="E431" s="1206">
        <v>34980</v>
      </c>
      <c r="F431" s="9">
        <f t="shared" ca="1" si="8"/>
        <v>30</v>
      </c>
      <c r="G431" s="1205" t="s">
        <v>8</v>
      </c>
      <c r="H431" s="1205" t="s">
        <v>271</v>
      </c>
      <c r="I431" s="1206">
        <v>45032</v>
      </c>
      <c r="J431" s="583" t="s">
        <v>340</v>
      </c>
      <c r="K431" s="755" t="str">
        <f t="shared" si="9"/>
        <v>I</v>
      </c>
      <c r="L431" s="756" t="str">
        <f t="shared" si="10"/>
        <v>G8</v>
      </c>
      <c r="M431" s="756" t="str">
        <f t="shared" si="11"/>
        <v>S</v>
      </c>
      <c r="N431" s="757" t="str">
        <f t="shared" si="12"/>
        <v/>
      </c>
      <c r="O431" s="8">
        <f t="shared" si="14"/>
        <v>45398</v>
      </c>
      <c r="P431" s="9" t="str">
        <f t="shared" ca="1" si="15"/>
        <v>ATRASADO</v>
      </c>
      <c r="Q431" s="1205" t="s">
        <v>1556</v>
      </c>
      <c r="R431" s="1202"/>
      <c r="S431" s="9" t="str">
        <f t="shared" si="13"/>
        <v/>
      </c>
    </row>
    <row r="432" spans="1:19" x14ac:dyDescent="0.3">
      <c r="A432" s="9">
        <v>433</v>
      </c>
      <c r="B432" s="1208" t="s">
        <v>111</v>
      </c>
      <c r="C432" s="1203" t="s">
        <v>4162</v>
      </c>
      <c r="D432" s="1205" t="s">
        <v>4163</v>
      </c>
      <c r="E432" s="1206">
        <v>22634</v>
      </c>
      <c r="F432" s="9">
        <f t="shared" ca="1" si="8"/>
        <v>64</v>
      </c>
      <c r="G432" s="1207">
        <v>43316</v>
      </c>
      <c r="H432" s="1205" t="s">
        <v>271</v>
      </c>
      <c r="I432" s="1206">
        <v>45020</v>
      </c>
      <c r="K432" s="755" t="str">
        <f t="shared" si="9"/>
        <v/>
      </c>
      <c r="L432" s="756" t="str">
        <f t="shared" si="10"/>
        <v/>
      </c>
      <c r="M432" s="756" t="str">
        <f t="shared" si="11"/>
        <v/>
      </c>
      <c r="N432" s="757" t="str">
        <f t="shared" si="12"/>
        <v/>
      </c>
      <c r="O432" s="8">
        <f t="shared" si="14"/>
        <v>46116</v>
      </c>
      <c r="P432" s="9" t="str">
        <f t="shared" ca="1" si="15"/>
        <v>ATRASADO</v>
      </c>
      <c r="Q432" s="1205" t="s">
        <v>1556</v>
      </c>
      <c r="R432" s="1204"/>
      <c r="S432" s="9" t="str">
        <f t="shared" si="13"/>
        <v/>
      </c>
    </row>
    <row r="433" spans="1:19" x14ac:dyDescent="0.3">
      <c r="A433" s="9">
        <v>434</v>
      </c>
      <c r="B433" s="1215" t="s">
        <v>579</v>
      </c>
      <c r="C433" s="1210" t="s">
        <v>4164</v>
      </c>
      <c r="D433" s="1212" t="s">
        <v>4165</v>
      </c>
      <c r="E433" s="1213">
        <v>35562</v>
      </c>
      <c r="F433" s="9">
        <f t="shared" ca="1" si="8"/>
        <v>29</v>
      </c>
      <c r="G433" s="1214">
        <v>44054</v>
      </c>
      <c r="H433" s="1212" t="s">
        <v>854</v>
      </c>
      <c r="I433" s="1213">
        <v>45045</v>
      </c>
      <c r="J433" s="583" t="s">
        <v>275</v>
      </c>
      <c r="K433" s="755" t="str">
        <f t="shared" si="9"/>
        <v>I</v>
      </c>
      <c r="L433" s="756" t="str">
        <f t="shared" si="10"/>
        <v>G8</v>
      </c>
      <c r="M433" s="756" t="str">
        <f t="shared" si="11"/>
        <v/>
      </c>
      <c r="N433" s="757" t="str">
        <f t="shared" si="12"/>
        <v/>
      </c>
      <c r="O433" s="8">
        <f t="shared" si="14"/>
        <v>46141</v>
      </c>
      <c r="P433" s="9" t="str">
        <f t="shared" ca="1" si="15"/>
        <v>ATRASADO</v>
      </c>
      <c r="Q433" s="1212" t="s">
        <v>1556</v>
      </c>
      <c r="R433" s="1209"/>
      <c r="S433" s="9" t="str">
        <f t="shared" si="13"/>
        <v/>
      </c>
    </row>
    <row r="434" spans="1:19" x14ac:dyDescent="0.3">
      <c r="A434" s="9">
        <v>435</v>
      </c>
      <c r="B434" s="1215" t="s">
        <v>579</v>
      </c>
      <c r="C434" s="1210" t="s">
        <v>4166</v>
      </c>
      <c r="D434" s="1212" t="s">
        <v>4167</v>
      </c>
      <c r="E434" s="1213">
        <v>28548</v>
      </c>
      <c r="F434" s="9">
        <f t="shared" ca="1" si="8"/>
        <v>48</v>
      </c>
      <c r="G434" s="1214">
        <v>43781</v>
      </c>
      <c r="H434" s="1212" t="s">
        <v>275</v>
      </c>
      <c r="I434" s="1213">
        <v>45034</v>
      </c>
      <c r="K434" s="755" t="str">
        <f t="shared" si="9"/>
        <v/>
      </c>
      <c r="L434" s="756" t="str">
        <f t="shared" si="10"/>
        <v/>
      </c>
      <c r="M434" s="756" t="str">
        <f t="shared" si="11"/>
        <v/>
      </c>
      <c r="N434" s="757" t="str">
        <f t="shared" si="12"/>
        <v/>
      </c>
      <c r="O434" s="8">
        <f t="shared" si="14"/>
        <v>46130</v>
      </c>
      <c r="P434" s="9" t="str">
        <f t="shared" ca="1" si="15"/>
        <v>ATRASADO</v>
      </c>
      <c r="Q434" s="1212" t="s">
        <v>1556</v>
      </c>
      <c r="R434" s="1209"/>
      <c r="S434" s="9" t="str">
        <f t="shared" si="13"/>
        <v/>
      </c>
    </row>
    <row r="435" spans="1:19" x14ac:dyDescent="0.3">
      <c r="A435" s="9">
        <v>436</v>
      </c>
      <c r="B435" s="1215" t="s">
        <v>579</v>
      </c>
      <c r="C435" s="1210" t="s">
        <v>4168</v>
      </c>
      <c r="D435" s="1212" t="s">
        <v>4169</v>
      </c>
      <c r="E435" s="1213">
        <v>31610</v>
      </c>
      <c r="F435" s="9">
        <f t="shared" ca="1" si="8"/>
        <v>40</v>
      </c>
      <c r="G435" s="1214">
        <v>43943</v>
      </c>
      <c r="H435" s="1212" t="s">
        <v>271</v>
      </c>
      <c r="I435" s="1213">
        <v>45028</v>
      </c>
      <c r="J435" s="583" t="s">
        <v>275</v>
      </c>
      <c r="K435" s="755" t="str">
        <f t="shared" si="9"/>
        <v>I</v>
      </c>
      <c r="L435" s="756" t="str">
        <f t="shared" si="10"/>
        <v>G8</v>
      </c>
      <c r="M435" s="756" t="str">
        <f t="shared" si="11"/>
        <v/>
      </c>
      <c r="N435" s="757" t="str">
        <f t="shared" si="12"/>
        <v/>
      </c>
      <c r="O435" s="8">
        <f t="shared" si="14"/>
        <v>46124</v>
      </c>
      <c r="P435" s="9" t="str">
        <f t="shared" ca="1" si="15"/>
        <v>ATRASADO</v>
      </c>
      <c r="Q435" s="1212" t="s">
        <v>1556</v>
      </c>
      <c r="R435" s="1211"/>
      <c r="S435" s="9" t="str">
        <f t="shared" si="13"/>
        <v/>
      </c>
    </row>
    <row r="436" spans="1:19" x14ac:dyDescent="0.3">
      <c r="A436" s="9">
        <v>437</v>
      </c>
      <c r="B436" s="1215" t="s">
        <v>111</v>
      </c>
      <c r="C436" s="1210" t="s">
        <v>4170</v>
      </c>
      <c r="D436" s="1212" t="s">
        <v>4171</v>
      </c>
      <c r="E436" s="1213">
        <v>34790</v>
      </c>
      <c r="F436" s="9">
        <f t="shared" ca="1" si="8"/>
        <v>31</v>
      </c>
      <c r="G436" s="1214">
        <v>43488</v>
      </c>
      <c r="H436" s="1212" t="s">
        <v>271</v>
      </c>
      <c r="I436" s="1213">
        <v>45026</v>
      </c>
      <c r="J436" s="583" t="s">
        <v>8</v>
      </c>
      <c r="K436" s="755" t="str">
        <f t="shared" si="9"/>
        <v>SI</v>
      </c>
      <c r="L436" s="756" t="str">
        <f t="shared" si="10"/>
        <v xml:space="preserve">N </v>
      </c>
      <c r="M436" s="756" t="str">
        <f t="shared" si="11"/>
        <v>RE</v>
      </c>
      <c r="N436" s="757" t="str">
        <f t="shared" si="12"/>
        <v>GI</v>
      </c>
      <c r="O436" s="8">
        <f t="shared" si="14"/>
        <v>46122</v>
      </c>
      <c r="P436" s="9" t="str">
        <f t="shared" ca="1" si="15"/>
        <v>ATRASADO</v>
      </c>
      <c r="Q436" s="1212" t="s">
        <v>1556</v>
      </c>
      <c r="R436" s="1209"/>
      <c r="S436" s="9" t="str">
        <f t="shared" si="13"/>
        <v/>
      </c>
    </row>
    <row r="437" spans="1:19" x14ac:dyDescent="0.3">
      <c r="A437" s="9">
        <v>438</v>
      </c>
      <c r="B437" s="1215" t="s">
        <v>111</v>
      </c>
      <c r="C437" s="1210" t="s">
        <v>4172</v>
      </c>
      <c r="D437" s="1212" t="s">
        <v>4173</v>
      </c>
      <c r="E437" s="1213">
        <v>35179</v>
      </c>
      <c r="F437" s="9">
        <f t="shared" ca="1" si="8"/>
        <v>30</v>
      </c>
      <c r="G437" s="1214">
        <v>43375</v>
      </c>
      <c r="H437" s="1212" t="s">
        <v>275</v>
      </c>
      <c r="I437" s="1213">
        <v>45030</v>
      </c>
      <c r="K437" s="755" t="str">
        <f t="shared" si="9"/>
        <v/>
      </c>
      <c r="L437" s="756" t="str">
        <f t="shared" si="10"/>
        <v/>
      </c>
      <c r="M437" s="756" t="str">
        <f t="shared" si="11"/>
        <v/>
      </c>
      <c r="N437" s="757" t="str">
        <f t="shared" si="12"/>
        <v/>
      </c>
      <c r="O437" s="8">
        <f t="shared" si="14"/>
        <v>46126</v>
      </c>
      <c r="P437" s="9" t="str">
        <f t="shared" ca="1" si="15"/>
        <v>ATRASADO</v>
      </c>
      <c r="Q437" s="1212" t="s">
        <v>1556</v>
      </c>
      <c r="R437" s="1211"/>
      <c r="S437" s="9" t="str">
        <f t="shared" si="13"/>
        <v/>
      </c>
    </row>
    <row r="438" spans="1:19" x14ac:dyDescent="0.3">
      <c r="A438" s="9">
        <v>439</v>
      </c>
      <c r="B438" s="1222" t="s">
        <v>579</v>
      </c>
      <c r="C438" s="1218" t="s">
        <v>4174</v>
      </c>
      <c r="D438" s="1220" t="s">
        <v>4175</v>
      </c>
      <c r="E438" s="1221">
        <v>32556</v>
      </c>
      <c r="F438" s="9">
        <f t="shared" ca="1" si="8"/>
        <v>37</v>
      </c>
      <c r="G438" s="1220" t="s">
        <v>8</v>
      </c>
      <c r="H438" s="1220" t="s">
        <v>271</v>
      </c>
      <c r="I438" s="1221">
        <v>45024</v>
      </c>
      <c r="J438" s="1216" t="s">
        <v>275</v>
      </c>
      <c r="K438" s="755" t="str">
        <f t="shared" si="9"/>
        <v>I</v>
      </c>
      <c r="L438" s="756" t="str">
        <f t="shared" si="10"/>
        <v>G8</v>
      </c>
      <c r="M438" s="756" t="str">
        <f t="shared" si="11"/>
        <v/>
      </c>
      <c r="N438" s="757" t="str">
        <f t="shared" si="12"/>
        <v/>
      </c>
      <c r="O438" s="8">
        <f t="shared" si="14"/>
        <v>46120</v>
      </c>
      <c r="P438" s="9" t="str">
        <f t="shared" ca="1" si="15"/>
        <v>ATRASADO</v>
      </c>
      <c r="Q438" s="1220" t="s">
        <v>1556</v>
      </c>
      <c r="R438" s="1217"/>
      <c r="S438" s="9" t="str">
        <f t="shared" si="13"/>
        <v/>
      </c>
    </row>
    <row r="439" spans="1:19" x14ac:dyDescent="0.3">
      <c r="A439" s="9">
        <v>440</v>
      </c>
      <c r="B439" s="1222" t="s">
        <v>312</v>
      </c>
      <c r="C439" s="1218" t="s">
        <v>4176</v>
      </c>
      <c r="D439" s="1220" t="s">
        <v>4177</v>
      </c>
      <c r="E439" s="1221">
        <v>25694</v>
      </c>
      <c r="F439" s="9">
        <f t="shared" ca="1" si="8"/>
        <v>56</v>
      </c>
      <c r="G439" s="1223">
        <v>43690</v>
      </c>
      <c r="H439" s="1220" t="s">
        <v>271</v>
      </c>
      <c r="I439" s="1221">
        <v>45023</v>
      </c>
      <c r="J439" s="583" t="s">
        <v>271</v>
      </c>
      <c r="K439" s="755" t="str">
        <f t="shared" si="9"/>
        <v>I</v>
      </c>
      <c r="L439" s="756" t="str">
        <f t="shared" si="10"/>
        <v>G8</v>
      </c>
      <c r="M439" s="756" t="str">
        <f t="shared" si="11"/>
        <v>J1</v>
      </c>
      <c r="N439" s="757" t="str">
        <f t="shared" si="12"/>
        <v/>
      </c>
      <c r="O439" s="8">
        <f t="shared" si="14"/>
        <v>46119</v>
      </c>
      <c r="P439" s="9" t="str">
        <f t="shared" ca="1" si="15"/>
        <v>ATRASADO</v>
      </c>
      <c r="Q439" s="1220" t="s">
        <v>1556</v>
      </c>
      <c r="R439" s="1217"/>
      <c r="S439" s="9" t="str">
        <f t="shared" si="13"/>
        <v/>
      </c>
    </row>
    <row r="440" spans="1:19" x14ac:dyDescent="0.3">
      <c r="A440" s="9">
        <v>441</v>
      </c>
      <c r="B440" s="1222" t="s">
        <v>111</v>
      </c>
      <c r="C440" s="1218" t="s">
        <v>4178</v>
      </c>
      <c r="D440" s="1220" t="s">
        <v>4179</v>
      </c>
      <c r="E440" s="1221">
        <v>22011</v>
      </c>
      <c r="F440" s="9">
        <f t="shared" ca="1" si="8"/>
        <v>66</v>
      </c>
      <c r="G440" s="1223">
        <v>44409</v>
      </c>
      <c r="H440" s="1220" t="s">
        <v>8</v>
      </c>
      <c r="I440" s="1221">
        <v>45027</v>
      </c>
      <c r="J440" s="583" t="s">
        <v>320</v>
      </c>
      <c r="K440" s="755" t="str">
        <f t="shared" si="9"/>
        <v>I</v>
      </c>
      <c r="L440" s="756" t="str">
        <f t="shared" si="10"/>
        <v>G8</v>
      </c>
      <c r="M440" s="756" t="str">
        <f t="shared" si="11"/>
        <v>J1</v>
      </c>
      <c r="N440" s="757" t="str">
        <f t="shared" si="12"/>
        <v>S</v>
      </c>
      <c r="O440" s="8">
        <f t="shared" si="14"/>
        <v>45393</v>
      </c>
      <c r="P440" s="9" t="str">
        <f t="shared" ca="1" si="15"/>
        <v>ATRASADO</v>
      </c>
      <c r="Q440" s="1220" t="s">
        <v>1556</v>
      </c>
      <c r="R440" s="1217"/>
      <c r="S440" s="9" t="str">
        <f t="shared" si="13"/>
        <v/>
      </c>
    </row>
    <row r="441" spans="1:19" x14ac:dyDescent="0.3">
      <c r="A441" s="9">
        <v>442</v>
      </c>
      <c r="B441" s="1222" t="s">
        <v>312</v>
      </c>
      <c r="C441" s="1218" t="s">
        <v>4180</v>
      </c>
      <c r="D441" s="1220" t="s">
        <v>4181</v>
      </c>
      <c r="E441" s="1221">
        <v>24344</v>
      </c>
      <c r="F441" s="9">
        <f t="shared" ca="1" si="8"/>
        <v>60</v>
      </c>
      <c r="G441" s="1223">
        <v>44700</v>
      </c>
      <c r="H441" s="1220" t="s">
        <v>340</v>
      </c>
      <c r="I441" s="1221">
        <v>45022</v>
      </c>
      <c r="J441" s="583" t="s">
        <v>271</v>
      </c>
      <c r="K441" s="755" t="str">
        <f t="shared" si="9"/>
        <v>I</v>
      </c>
      <c r="L441" s="756" t="str">
        <f t="shared" si="10"/>
        <v>G8</v>
      </c>
      <c r="M441" s="756" t="str">
        <f t="shared" si="11"/>
        <v>J1</v>
      </c>
      <c r="N441" s="757" t="str">
        <f t="shared" si="12"/>
        <v/>
      </c>
      <c r="O441" s="8">
        <f t="shared" si="14"/>
        <v>46118</v>
      </c>
      <c r="P441" s="9" t="str">
        <f t="shared" ca="1" si="15"/>
        <v>ATRASADO</v>
      </c>
      <c r="Q441" s="1220" t="s">
        <v>1556</v>
      </c>
      <c r="R441" s="1217"/>
      <c r="S441" s="9" t="str">
        <f t="shared" si="13"/>
        <v/>
      </c>
    </row>
    <row r="442" spans="1:19" x14ac:dyDescent="0.3">
      <c r="A442" s="9">
        <v>443</v>
      </c>
      <c r="B442" s="1222" t="s">
        <v>75</v>
      </c>
      <c r="C442" s="1218" t="s">
        <v>4182</v>
      </c>
      <c r="D442" s="1220" t="s">
        <v>4183</v>
      </c>
      <c r="E442" s="1221">
        <v>32779</v>
      </c>
      <c r="F442" s="9">
        <f t="shared" ca="1" si="8"/>
        <v>37</v>
      </c>
      <c r="G442" s="1223">
        <v>43200</v>
      </c>
      <c r="H442" s="1220" t="s">
        <v>8</v>
      </c>
      <c r="I442" s="1221">
        <v>45039</v>
      </c>
      <c r="K442" s="755" t="str">
        <f t="shared" si="9"/>
        <v/>
      </c>
      <c r="L442" s="756" t="str">
        <f t="shared" si="10"/>
        <v/>
      </c>
      <c r="M442" s="756" t="str">
        <f t="shared" si="11"/>
        <v/>
      </c>
      <c r="N442" s="757" t="str">
        <f t="shared" si="12"/>
        <v/>
      </c>
      <c r="O442" s="8">
        <f t="shared" si="14"/>
        <v>46135</v>
      </c>
      <c r="P442" s="9" t="str">
        <f t="shared" ca="1" si="15"/>
        <v>ATRASADO</v>
      </c>
      <c r="Q442" s="1220" t="s">
        <v>1556</v>
      </c>
      <c r="R442" s="1219"/>
      <c r="S442" s="9" t="str">
        <f t="shared" si="13"/>
        <v/>
      </c>
    </row>
    <row r="443" spans="1:19" x14ac:dyDescent="0.3">
      <c r="A443" s="9">
        <v>444</v>
      </c>
      <c r="B443" s="1222" t="s">
        <v>75</v>
      </c>
      <c r="C443" s="1218" t="s">
        <v>4184</v>
      </c>
      <c r="D443" s="1220" t="s">
        <v>4185</v>
      </c>
      <c r="E443" s="1221">
        <v>36213</v>
      </c>
      <c r="F443" s="9">
        <f t="shared" ca="1" si="8"/>
        <v>27</v>
      </c>
      <c r="G443" s="1223">
        <v>43628</v>
      </c>
      <c r="H443" s="1220" t="s">
        <v>275</v>
      </c>
      <c r="I443" s="1221">
        <v>45042</v>
      </c>
      <c r="K443" s="755" t="str">
        <f t="shared" si="9"/>
        <v/>
      </c>
      <c r="L443" s="756" t="str">
        <f t="shared" si="10"/>
        <v/>
      </c>
      <c r="M443" s="756" t="str">
        <f t="shared" si="11"/>
        <v/>
      </c>
      <c r="N443" s="757" t="str">
        <f t="shared" si="12"/>
        <v/>
      </c>
      <c r="O443" s="8">
        <f t="shared" si="14"/>
        <v>46138</v>
      </c>
      <c r="P443" s="9" t="str">
        <f t="shared" ca="1" si="15"/>
        <v>ATRASADO</v>
      </c>
      <c r="Q443" s="1220" t="s">
        <v>1556</v>
      </c>
      <c r="R443" s="1217"/>
      <c r="S443" s="9" t="str">
        <f t="shared" si="13"/>
        <v/>
      </c>
    </row>
    <row r="444" spans="1:19" x14ac:dyDescent="0.3">
      <c r="A444" s="9">
        <v>445</v>
      </c>
      <c r="B444" s="1222" t="s">
        <v>75</v>
      </c>
      <c r="C444" s="1218" t="s">
        <v>4186</v>
      </c>
      <c r="D444" s="1220" t="s">
        <v>4187</v>
      </c>
      <c r="E444" s="1221">
        <v>32863</v>
      </c>
      <c r="F444" s="9">
        <f t="shared" ca="1" si="8"/>
        <v>36</v>
      </c>
      <c r="G444" s="1223">
        <v>44584</v>
      </c>
      <c r="H444" s="1220" t="s">
        <v>275</v>
      </c>
      <c r="I444" s="1221">
        <v>45039</v>
      </c>
      <c r="K444" s="755" t="str">
        <f t="shared" si="9"/>
        <v/>
      </c>
      <c r="L444" s="756" t="str">
        <f t="shared" si="10"/>
        <v/>
      </c>
      <c r="M444" s="756" t="str">
        <f t="shared" si="11"/>
        <v/>
      </c>
      <c r="N444" s="757" t="str">
        <f t="shared" si="12"/>
        <v/>
      </c>
      <c r="O444" s="8">
        <f t="shared" si="14"/>
        <v>46135</v>
      </c>
      <c r="P444" s="9" t="str">
        <f t="shared" ca="1" si="15"/>
        <v>ATRASADO</v>
      </c>
      <c r="Q444" s="1220" t="s">
        <v>1556</v>
      </c>
      <c r="R444" s="1217"/>
      <c r="S444" s="9" t="str">
        <f t="shared" si="13"/>
        <v/>
      </c>
    </row>
    <row r="445" spans="1:19" x14ac:dyDescent="0.3">
      <c r="A445" s="9">
        <v>446</v>
      </c>
      <c r="B445" s="1222" t="s">
        <v>75</v>
      </c>
      <c r="C445" s="1218" t="s">
        <v>4188</v>
      </c>
      <c r="D445" s="1220" t="s">
        <v>4189</v>
      </c>
      <c r="E445" s="1221">
        <v>28099</v>
      </c>
      <c r="F445" s="9">
        <f t="shared" ca="1" si="8"/>
        <v>49</v>
      </c>
      <c r="G445" s="1223">
        <v>43429</v>
      </c>
      <c r="H445" s="1220" t="s">
        <v>275</v>
      </c>
      <c r="I445" s="1221">
        <v>45018</v>
      </c>
      <c r="K445" s="755" t="str">
        <f t="shared" si="9"/>
        <v/>
      </c>
      <c r="L445" s="756" t="str">
        <f t="shared" si="10"/>
        <v/>
      </c>
      <c r="M445" s="756" t="str">
        <f t="shared" si="11"/>
        <v/>
      </c>
      <c r="N445" s="757" t="str">
        <f t="shared" si="12"/>
        <v/>
      </c>
      <c r="O445" s="8">
        <f t="shared" si="14"/>
        <v>46114</v>
      </c>
      <c r="P445" s="9" t="str">
        <f t="shared" ca="1" si="15"/>
        <v>ATRASADO</v>
      </c>
      <c r="Q445" s="1220" t="s">
        <v>1556</v>
      </c>
      <c r="R445" s="1217"/>
      <c r="S445" s="9" t="str">
        <f t="shared" si="13"/>
        <v/>
      </c>
    </row>
    <row r="446" spans="1:19" x14ac:dyDescent="0.3">
      <c r="A446" s="9">
        <v>447</v>
      </c>
      <c r="B446" s="1222" t="s">
        <v>312</v>
      </c>
      <c r="C446" s="1218" t="s">
        <v>4190</v>
      </c>
      <c r="D446" s="1220" t="s">
        <v>4191</v>
      </c>
      <c r="E446" s="1221">
        <v>23265</v>
      </c>
      <c r="F446" s="9">
        <f t="shared" ca="1" si="8"/>
        <v>63</v>
      </c>
      <c r="G446" s="1220" t="s">
        <v>8</v>
      </c>
      <c r="H446" s="1220" t="s">
        <v>291</v>
      </c>
      <c r="I446" s="1221">
        <v>45041</v>
      </c>
      <c r="K446" s="755" t="str">
        <f t="shared" si="9"/>
        <v/>
      </c>
      <c r="L446" s="756" t="str">
        <f t="shared" si="10"/>
        <v/>
      </c>
      <c r="M446" s="756" t="str">
        <f t="shared" si="11"/>
        <v/>
      </c>
      <c r="N446" s="757" t="str">
        <f t="shared" si="12"/>
        <v/>
      </c>
      <c r="O446" s="8">
        <f t="shared" si="14"/>
        <v>46137</v>
      </c>
      <c r="P446" s="9" t="str">
        <f t="shared" ca="1" si="15"/>
        <v>ATRASADO</v>
      </c>
      <c r="Q446" s="1220" t="s">
        <v>1556</v>
      </c>
      <c r="R446" s="1217"/>
      <c r="S446" s="9" t="str">
        <f t="shared" si="13"/>
        <v/>
      </c>
    </row>
    <row r="447" spans="1:19" x14ac:dyDescent="0.3">
      <c r="A447" s="9">
        <v>448</v>
      </c>
      <c r="B447" s="1222" t="s">
        <v>312</v>
      </c>
      <c r="C447" s="1218" t="s">
        <v>4192</v>
      </c>
      <c r="D447" s="1220" t="s">
        <v>4193</v>
      </c>
      <c r="E447" s="1221">
        <v>22986</v>
      </c>
      <c r="F447" s="9">
        <f t="shared" ca="1" si="8"/>
        <v>63</v>
      </c>
      <c r="G447" s="1223">
        <v>44400</v>
      </c>
      <c r="H447" s="1220" t="s">
        <v>275</v>
      </c>
      <c r="I447" s="1221">
        <v>45017</v>
      </c>
      <c r="K447" s="755" t="str">
        <f t="shared" si="9"/>
        <v/>
      </c>
      <c r="L447" s="756" t="str">
        <f t="shared" si="10"/>
        <v/>
      </c>
      <c r="M447" s="756" t="str">
        <f t="shared" si="11"/>
        <v/>
      </c>
      <c r="N447" s="757" t="str">
        <f t="shared" si="12"/>
        <v/>
      </c>
      <c r="O447" s="8">
        <f t="shared" si="14"/>
        <v>46113</v>
      </c>
      <c r="P447" s="9" t="str">
        <f t="shared" ca="1" si="15"/>
        <v>ATRASADO</v>
      </c>
      <c r="Q447" s="1220" t="s">
        <v>1556</v>
      </c>
      <c r="R447" s="1217"/>
      <c r="S447" s="9" t="str">
        <f t="shared" si="13"/>
        <v/>
      </c>
    </row>
    <row r="448" spans="1:19" x14ac:dyDescent="0.3">
      <c r="A448" s="9">
        <v>449</v>
      </c>
      <c r="B448" s="1222" t="s">
        <v>579</v>
      </c>
      <c r="C448" s="1218" t="s">
        <v>4194</v>
      </c>
      <c r="D448" s="1220" t="s">
        <v>4195</v>
      </c>
      <c r="E448" s="1221">
        <v>26028</v>
      </c>
      <c r="F448" s="9">
        <f t="shared" ca="1" si="8"/>
        <v>55</v>
      </c>
      <c r="G448" s="1223">
        <v>44385</v>
      </c>
      <c r="H448" s="1220" t="s">
        <v>8</v>
      </c>
      <c r="I448" s="1221">
        <v>45036</v>
      </c>
      <c r="K448" s="755" t="str">
        <f t="shared" si="9"/>
        <v/>
      </c>
      <c r="L448" s="756" t="str">
        <f t="shared" si="10"/>
        <v/>
      </c>
      <c r="M448" s="756" t="str">
        <f t="shared" si="11"/>
        <v/>
      </c>
      <c r="N448" s="757" t="str">
        <f t="shared" si="12"/>
        <v/>
      </c>
      <c r="O448" s="8">
        <f t="shared" si="14"/>
        <v>46132</v>
      </c>
      <c r="P448" s="9" t="str">
        <f t="shared" ca="1" si="15"/>
        <v>ATRASADO</v>
      </c>
      <c r="Q448" s="1220" t="s">
        <v>1556</v>
      </c>
      <c r="R448" s="1217"/>
      <c r="S448" s="9" t="str">
        <f t="shared" si="13"/>
        <v/>
      </c>
    </row>
    <row r="449" spans="1:19" x14ac:dyDescent="0.3">
      <c r="A449" s="9">
        <v>450</v>
      </c>
      <c r="B449" s="1222" t="s">
        <v>45</v>
      </c>
      <c r="C449" s="1218" t="s">
        <v>4196</v>
      </c>
      <c r="D449" s="1220" t="s">
        <v>4197</v>
      </c>
      <c r="E449" s="1221">
        <v>21261</v>
      </c>
      <c r="F449" s="9">
        <f t="shared" ca="1" si="8"/>
        <v>68</v>
      </c>
      <c r="G449" s="1223">
        <v>44665</v>
      </c>
      <c r="H449" s="1220" t="s">
        <v>275</v>
      </c>
      <c r="I449" s="1221">
        <v>45779</v>
      </c>
      <c r="K449" s="755" t="str">
        <f t="shared" si="9"/>
        <v/>
      </c>
      <c r="L449" s="756" t="str">
        <f t="shared" si="10"/>
        <v/>
      </c>
      <c r="M449" s="756" t="str">
        <f t="shared" si="11"/>
        <v/>
      </c>
      <c r="N449" s="757" t="str">
        <f t="shared" si="12"/>
        <v/>
      </c>
      <c r="O449" s="8">
        <f t="shared" si="14"/>
        <v>46875</v>
      </c>
      <c r="P449" s="9" t="str">
        <f t="shared" ca="1" si="15"/>
        <v>VIGENTE</v>
      </c>
      <c r="Q449" s="1220" t="s">
        <v>1556</v>
      </c>
      <c r="R449" s="1217"/>
      <c r="S449" s="9" t="str">
        <f t="shared" si="13"/>
        <v/>
      </c>
    </row>
    <row r="450" spans="1:19" x14ac:dyDescent="0.3">
      <c r="A450" s="9">
        <v>451</v>
      </c>
      <c r="B450" s="1230" t="s">
        <v>312</v>
      </c>
      <c r="C450" s="1225" t="s">
        <v>4198</v>
      </c>
      <c r="D450" s="1227" t="s">
        <v>4199</v>
      </c>
      <c r="E450" s="1228">
        <v>25667</v>
      </c>
      <c r="F450" s="9">
        <f t="shared" ca="1" si="8"/>
        <v>56</v>
      </c>
      <c r="G450" s="1229">
        <v>44043</v>
      </c>
      <c r="H450" s="1227" t="s">
        <v>275</v>
      </c>
      <c r="I450" s="1228">
        <v>45069</v>
      </c>
      <c r="K450" s="755" t="str">
        <f t="shared" si="9"/>
        <v/>
      </c>
      <c r="L450" s="756" t="str">
        <f t="shared" si="10"/>
        <v/>
      </c>
      <c r="M450" s="756" t="str">
        <f t="shared" si="11"/>
        <v/>
      </c>
      <c r="N450" s="757" t="str">
        <f t="shared" si="12"/>
        <v/>
      </c>
      <c r="O450" s="8">
        <f t="shared" si="14"/>
        <v>46165</v>
      </c>
      <c r="P450" s="9" t="str">
        <f t="shared" ca="1" si="15"/>
        <v>ATRASADO</v>
      </c>
      <c r="Q450" s="1227" t="s">
        <v>1556</v>
      </c>
      <c r="R450" s="1224"/>
      <c r="S450" s="9" t="str">
        <f t="shared" si="13"/>
        <v/>
      </c>
    </row>
    <row r="451" spans="1:19" x14ac:dyDescent="0.3">
      <c r="A451" s="9">
        <v>452</v>
      </c>
      <c r="B451" s="1230" t="s">
        <v>45</v>
      </c>
      <c r="C451" s="1225" t="s">
        <v>4200</v>
      </c>
      <c r="D451" s="1227" t="s">
        <v>4201</v>
      </c>
      <c r="E451" s="1228">
        <v>23779</v>
      </c>
      <c r="F451" s="9">
        <f t="shared" ca="1" si="8"/>
        <v>61</v>
      </c>
      <c r="G451" s="1229">
        <v>44456</v>
      </c>
      <c r="H451" s="1227" t="s">
        <v>8</v>
      </c>
      <c r="I451" s="1228">
        <v>45057</v>
      </c>
      <c r="K451" s="755" t="str">
        <f t="shared" si="9"/>
        <v/>
      </c>
      <c r="L451" s="756" t="str">
        <f t="shared" si="10"/>
        <v/>
      </c>
      <c r="M451" s="756" t="str">
        <f t="shared" si="11"/>
        <v/>
      </c>
      <c r="N451" s="757" t="str">
        <f t="shared" si="12"/>
        <v/>
      </c>
      <c r="O451" s="8">
        <f t="shared" si="14"/>
        <v>46153</v>
      </c>
      <c r="P451" s="9" t="str">
        <f t="shared" ca="1" si="15"/>
        <v>ATRASADO</v>
      </c>
      <c r="Q451" s="1227" t="s">
        <v>1556</v>
      </c>
      <c r="R451" s="1224"/>
      <c r="S451" s="9" t="str">
        <f t="shared" si="13"/>
        <v/>
      </c>
    </row>
    <row r="452" spans="1:19" x14ac:dyDescent="0.3">
      <c r="A452" s="9">
        <v>453</v>
      </c>
      <c r="B452" s="1230" t="s">
        <v>270</v>
      </c>
      <c r="C452" s="1225" t="s">
        <v>4202</v>
      </c>
      <c r="D452" s="1227" t="s">
        <v>4203</v>
      </c>
      <c r="E452" s="1228">
        <v>24891</v>
      </c>
      <c r="F452" s="9">
        <f t="shared" ca="1" si="8"/>
        <v>58</v>
      </c>
      <c r="G452" s="1229">
        <v>44353</v>
      </c>
      <c r="H452" s="1227" t="s">
        <v>275</v>
      </c>
      <c r="I452" s="1228">
        <v>45077</v>
      </c>
      <c r="K452" s="755" t="str">
        <f t="shared" si="9"/>
        <v/>
      </c>
      <c r="L452" s="756" t="str">
        <f t="shared" si="10"/>
        <v/>
      </c>
      <c r="M452" s="756" t="str">
        <f t="shared" si="11"/>
        <v/>
      </c>
      <c r="N452" s="757" t="str">
        <f t="shared" si="12"/>
        <v/>
      </c>
      <c r="O452" s="8">
        <f t="shared" si="14"/>
        <v>46173</v>
      </c>
      <c r="P452" s="9" t="str">
        <f t="shared" ca="1" si="15"/>
        <v>ATRASADO</v>
      </c>
      <c r="Q452" s="1227" t="s">
        <v>1556</v>
      </c>
      <c r="R452" s="1224"/>
      <c r="S452" s="9" t="str">
        <f t="shared" si="13"/>
        <v/>
      </c>
    </row>
    <row r="453" spans="1:19" x14ac:dyDescent="0.3">
      <c r="A453" s="9">
        <v>454</v>
      </c>
      <c r="B453" s="1230" t="s">
        <v>312</v>
      </c>
      <c r="C453" s="1225" t="s">
        <v>4204</v>
      </c>
      <c r="D453" s="1227" t="s">
        <v>4205</v>
      </c>
      <c r="E453" s="1228">
        <v>31376</v>
      </c>
      <c r="F453" s="9">
        <f t="shared" ca="1" si="8"/>
        <v>40</v>
      </c>
      <c r="G453" s="1229">
        <v>44197</v>
      </c>
      <c r="H453" s="1227" t="s">
        <v>8</v>
      </c>
      <c r="I453" s="1228">
        <v>45062</v>
      </c>
      <c r="K453" s="755" t="str">
        <f t="shared" si="9"/>
        <v/>
      </c>
      <c r="L453" s="756" t="str">
        <f t="shared" si="10"/>
        <v/>
      </c>
      <c r="M453" s="756" t="str">
        <f t="shared" si="11"/>
        <v/>
      </c>
      <c r="N453" s="757" t="str">
        <f t="shared" si="12"/>
        <v/>
      </c>
      <c r="O453" s="8">
        <f t="shared" si="14"/>
        <v>46158</v>
      </c>
      <c r="P453" s="9" t="str">
        <f t="shared" ca="1" si="15"/>
        <v>ATRASADO</v>
      </c>
      <c r="Q453" s="1227" t="s">
        <v>1556</v>
      </c>
      <c r="R453" s="1224"/>
      <c r="S453" s="9" t="str">
        <f t="shared" si="13"/>
        <v/>
      </c>
    </row>
    <row r="454" spans="1:19" x14ac:dyDescent="0.3">
      <c r="A454" s="9">
        <v>455</v>
      </c>
      <c r="B454" s="1230" t="s">
        <v>579</v>
      </c>
      <c r="C454" s="1225" t="s">
        <v>4206</v>
      </c>
      <c r="D454" s="1227" t="s">
        <v>4207</v>
      </c>
      <c r="E454" s="1228">
        <v>28065</v>
      </c>
      <c r="F454" s="9">
        <f t="shared" ca="1" si="8"/>
        <v>49</v>
      </c>
      <c r="G454" s="1229">
        <v>44363</v>
      </c>
      <c r="H454" s="1227" t="s">
        <v>1393</v>
      </c>
      <c r="I454" s="1228">
        <v>45049</v>
      </c>
      <c r="K454" s="755" t="str">
        <f t="shared" si="9"/>
        <v/>
      </c>
      <c r="L454" s="756" t="str">
        <f t="shared" si="10"/>
        <v/>
      </c>
      <c r="M454" s="756" t="str">
        <f t="shared" si="11"/>
        <v/>
      </c>
      <c r="N454" s="757" t="str">
        <f t="shared" si="12"/>
        <v/>
      </c>
      <c r="O454" s="8">
        <f t="shared" si="14"/>
        <v>46145</v>
      </c>
      <c r="P454" s="9" t="str">
        <f t="shared" ca="1" si="15"/>
        <v>ATRASADO</v>
      </c>
      <c r="Q454" s="1227" t="s">
        <v>1556</v>
      </c>
      <c r="R454" s="1226"/>
      <c r="S454" s="9" t="str">
        <f t="shared" si="13"/>
        <v/>
      </c>
    </row>
    <row r="455" spans="1:19" x14ac:dyDescent="0.3">
      <c r="A455" s="9">
        <v>456</v>
      </c>
      <c r="B455" s="1230" t="s">
        <v>312</v>
      </c>
      <c r="C455" s="1225" t="s">
        <v>4208</v>
      </c>
      <c r="D455" s="1227" t="s">
        <v>4209</v>
      </c>
      <c r="E455" s="1228">
        <v>32907</v>
      </c>
      <c r="F455" s="9">
        <f t="shared" ca="1" si="8"/>
        <v>36</v>
      </c>
      <c r="G455" s="1227" t="s">
        <v>8</v>
      </c>
      <c r="H455" s="1227" t="s">
        <v>275</v>
      </c>
      <c r="I455" s="1228">
        <v>45073</v>
      </c>
      <c r="K455" s="755" t="str">
        <f t="shared" si="9"/>
        <v/>
      </c>
      <c r="L455" s="756" t="str">
        <f t="shared" si="10"/>
        <v/>
      </c>
      <c r="M455" s="756" t="str">
        <f t="shared" si="11"/>
        <v/>
      </c>
      <c r="N455" s="757" t="str">
        <f t="shared" si="12"/>
        <v/>
      </c>
      <c r="O455" s="8">
        <f t="shared" si="14"/>
        <v>46169</v>
      </c>
      <c r="P455" s="9" t="str">
        <f t="shared" ca="1" si="15"/>
        <v>ATRASADO</v>
      </c>
      <c r="Q455" s="1227" t="s">
        <v>1556</v>
      </c>
      <c r="R455" s="1224"/>
      <c r="S455" s="9" t="str">
        <f t="shared" si="13"/>
        <v/>
      </c>
    </row>
    <row r="456" spans="1:19" x14ac:dyDescent="0.3">
      <c r="A456" s="9">
        <v>457</v>
      </c>
      <c r="B456" s="1230" t="s">
        <v>312</v>
      </c>
      <c r="C456" s="1225" t="s">
        <v>4210</v>
      </c>
      <c r="D456" s="1227" t="s">
        <v>4211</v>
      </c>
      <c r="E456" s="1228">
        <v>26870</v>
      </c>
      <c r="F456" s="9">
        <f t="shared" ca="1" si="8"/>
        <v>53</v>
      </c>
      <c r="G456" s="1229">
        <v>44157</v>
      </c>
      <c r="H456" s="1227" t="s">
        <v>275</v>
      </c>
      <c r="I456" s="1228">
        <v>45064</v>
      </c>
      <c r="K456" s="755" t="str">
        <f t="shared" si="9"/>
        <v/>
      </c>
      <c r="L456" s="756" t="str">
        <f t="shared" si="10"/>
        <v/>
      </c>
      <c r="M456" s="756" t="str">
        <f t="shared" si="11"/>
        <v/>
      </c>
      <c r="N456" s="757" t="str">
        <f t="shared" si="12"/>
        <v/>
      </c>
      <c r="O456" s="8">
        <f t="shared" si="14"/>
        <v>46160</v>
      </c>
      <c r="P456" s="9" t="str">
        <f t="shared" ca="1" si="15"/>
        <v>ATRASADO</v>
      </c>
      <c r="Q456" s="1227" t="s">
        <v>1556</v>
      </c>
      <c r="R456" s="1224"/>
      <c r="S456" s="9" t="str">
        <f t="shared" si="13"/>
        <v/>
      </c>
    </row>
    <row r="457" spans="1:19" x14ac:dyDescent="0.3">
      <c r="A457" s="9">
        <v>458</v>
      </c>
      <c r="B457" s="1230" t="s">
        <v>56</v>
      </c>
      <c r="C457" s="1225" t="s">
        <v>4212</v>
      </c>
      <c r="D457" s="1227" t="s">
        <v>4213</v>
      </c>
      <c r="E457" s="1228">
        <v>29528</v>
      </c>
      <c r="F457" s="9">
        <f t="shared" ca="1" si="8"/>
        <v>45</v>
      </c>
      <c r="G457" s="1229">
        <v>43986</v>
      </c>
      <c r="H457" s="1227" t="s">
        <v>271</v>
      </c>
      <c r="I457" s="1228">
        <v>45055</v>
      </c>
      <c r="K457" s="755" t="str">
        <f t="shared" si="9"/>
        <v/>
      </c>
      <c r="L457" s="756" t="str">
        <f t="shared" si="10"/>
        <v/>
      </c>
      <c r="M457" s="756" t="str">
        <f t="shared" si="11"/>
        <v/>
      </c>
      <c r="N457" s="757" t="str">
        <f t="shared" si="12"/>
        <v/>
      </c>
      <c r="O457" s="8">
        <f t="shared" si="14"/>
        <v>46151</v>
      </c>
      <c r="P457" s="9" t="str">
        <f t="shared" ca="1" si="15"/>
        <v>ATRASADO</v>
      </c>
      <c r="Q457" s="1227" t="s">
        <v>1556</v>
      </c>
      <c r="R457" s="1224"/>
      <c r="S457" s="9" t="str">
        <f t="shared" si="13"/>
        <v/>
      </c>
    </row>
    <row r="458" spans="1:19" x14ac:dyDescent="0.3">
      <c r="A458" s="9">
        <v>459</v>
      </c>
      <c r="B458" s="1230" t="s">
        <v>312</v>
      </c>
      <c r="C458" s="1225" t="s">
        <v>4214</v>
      </c>
      <c r="D458" s="1227" t="s">
        <v>4215</v>
      </c>
      <c r="E458" s="1228">
        <v>24581</v>
      </c>
      <c r="F458" s="9">
        <f t="shared" ca="1" si="8"/>
        <v>59</v>
      </c>
      <c r="G458" s="1227" t="s">
        <v>8</v>
      </c>
      <c r="H458" s="1227" t="s">
        <v>275</v>
      </c>
      <c r="I458" s="1228">
        <v>45052</v>
      </c>
      <c r="K458" s="755" t="str">
        <f t="shared" si="9"/>
        <v/>
      </c>
      <c r="L458" s="756" t="str">
        <f t="shared" si="10"/>
        <v/>
      </c>
      <c r="M458" s="756" t="str">
        <f t="shared" si="11"/>
        <v/>
      </c>
      <c r="N458" s="757" t="str">
        <f t="shared" si="12"/>
        <v/>
      </c>
      <c r="O458" s="8">
        <f t="shared" si="14"/>
        <v>46148</v>
      </c>
      <c r="P458" s="9" t="str">
        <f t="shared" ca="1" si="15"/>
        <v>ATRASADO</v>
      </c>
      <c r="Q458" s="1227" t="s">
        <v>1556</v>
      </c>
      <c r="R458" s="1224"/>
      <c r="S458" s="9" t="str">
        <f t="shared" si="13"/>
        <v/>
      </c>
    </row>
    <row r="459" spans="1:19" x14ac:dyDescent="0.3">
      <c r="A459" s="9">
        <v>460</v>
      </c>
      <c r="B459" s="1230" t="s">
        <v>579</v>
      </c>
      <c r="C459" s="1225" t="s">
        <v>4216</v>
      </c>
      <c r="D459" s="1227" t="s">
        <v>4217</v>
      </c>
      <c r="E459" s="1228">
        <v>28620</v>
      </c>
      <c r="F459" s="9">
        <f t="shared" ca="1" si="8"/>
        <v>48</v>
      </c>
      <c r="G459" s="1229">
        <v>43283</v>
      </c>
      <c r="H459" s="1227" t="s">
        <v>275</v>
      </c>
      <c r="I459" s="1228">
        <v>45075</v>
      </c>
      <c r="K459" s="755" t="str">
        <f t="shared" si="9"/>
        <v/>
      </c>
      <c r="L459" s="756" t="str">
        <f t="shared" si="10"/>
        <v/>
      </c>
      <c r="M459" s="756" t="str">
        <f t="shared" si="11"/>
        <v/>
      </c>
      <c r="N459" s="757" t="str">
        <f t="shared" si="12"/>
        <v/>
      </c>
      <c r="O459" s="8">
        <f t="shared" si="14"/>
        <v>46171</v>
      </c>
      <c r="P459" s="9" t="str">
        <f t="shared" ca="1" si="15"/>
        <v>ATRASADO</v>
      </c>
      <c r="Q459" s="1227" t="s">
        <v>1556</v>
      </c>
      <c r="R459" s="1224"/>
      <c r="S459" s="9" t="str">
        <f t="shared" si="13"/>
        <v/>
      </c>
    </row>
    <row r="460" spans="1:19" x14ac:dyDescent="0.3">
      <c r="A460" s="9">
        <v>461</v>
      </c>
      <c r="B460" s="1230" t="s">
        <v>312</v>
      </c>
      <c r="C460" s="1225" t="s">
        <v>4218</v>
      </c>
      <c r="D460" s="1227" t="s">
        <v>4219</v>
      </c>
      <c r="E460" s="1228">
        <v>31547</v>
      </c>
      <c r="F460" s="9">
        <f t="shared" ca="1" si="8"/>
        <v>40</v>
      </c>
      <c r="G460" s="1229">
        <v>43618</v>
      </c>
      <c r="H460" s="1227" t="s">
        <v>275</v>
      </c>
      <c r="I460" s="1228">
        <v>45068</v>
      </c>
      <c r="K460" s="755" t="str">
        <f t="shared" si="9"/>
        <v/>
      </c>
      <c r="L460" s="756" t="str">
        <f t="shared" si="10"/>
        <v/>
      </c>
      <c r="M460" s="756" t="str">
        <f t="shared" si="11"/>
        <v/>
      </c>
      <c r="N460" s="757" t="str">
        <f t="shared" si="12"/>
        <v/>
      </c>
      <c r="O460" s="8">
        <f t="shared" si="14"/>
        <v>46164</v>
      </c>
      <c r="P460" s="9" t="str">
        <f t="shared" ca="1" si="15"/>
        <v>ATRASADO</v>
      </c>
      <c r="Q460" s="1227" t="s">
        <v>1556</v>
      </c>
      <c r="R460" s="1224"/>
      <c r="S460" s="9" t="str">
        <f t="shared" si="13"/>
        <v/>
      </c>
    </row>
    <row r="461" spans="1:19" x14ac:dyDescent="0.3">
      <c r="A461" s="9">
        <v>462</v>
      </c>
      <c r="B461" s="1230" t="s">
        <v>312</v>
      </c>
      <c r="C461" s="1225" t="s">
        <v>4220</v>
      </c>
      <c r="D461" s="1227" t="s">
        <v>4221</v>
      </c>
      <c r="E461" s="1228">
        <v>28015</v>
      </c>
      <c r="F461" s="9">
        <f t="shared" ca="1" si="8"/>
        <v>50</v>
      </c>
      <c r="G461" s="1227" t="s">
        <v>8</v>
      </c>
      <c r="H461" s="1227" t="s">
        <v>327</v>
      </c>
      <c r="I461" s="1228">
        <v>45049</v>
      </c>
      <c r="K461" s="755" t="str">
        <f t="shared" si="9"/>
        <v/>
      </c>
      <c r="L461" s="756" t="str">
        <f t="shared" si="10"/>
        <v/>
      </c>
      <c r="M461" s="756" t="str">
        <f t="shared" si="11"/>
        <v/>
      </c>
      <c r="N461" s="757" t="str">
        <f t="shared" si="12"/>
        <v/>
      </c>
      <c r="O461" s="8">
        <f t="shared" si="14"/>
        <v>46145</v>
      </c>
      <c r="P461" s="9" t="str">
        <f t="shared" ca="1" si="15"/>
        <v>ATRASADO</v>
      </c>
      <c r="Q461" s="1227" t="s">
        <v>1556</v>
      </c>
      <c r="R461" s="1224"/>
      <c r="S461" s="9" t="str">
        <f t="shared" si="13"/>
        <v/>
      </c>
    </row>
    <row r="462" spans="1:19" x14ac:dyDescent="0.3">
      <c r="A462" s="9">
        <v>463</v>
      </c>
      <c r="B462" s="1230" t="s">
        <v>312</v>
      </c>
      <c r="C462" s="1225" t="s">
        <v>4222</v>
      </c>
      <c r="D462" s="1227" t="s">
        <v>4223</v>
      </c>
      <c r="E462" s="1228">
        <v>23015</v>
      </c>
      <c r="F462" s="9">
        <f t="shared" ca="1" si="8"/>
        <v>63</v>
      </c>
      <c r="G462" s="1229">
        <v>44401</v>
      </c>
      <c r="H462" s="1227" t="s">
        <v>271</v>
      </c>
      <c r="I462" s="1228">
        <v>45067</v>
      </c>
      <c r="K462" s="755" t="str">
        <f t="shared" si="9"/>
        <v/>
      </c>
      <c r="L462" s="756" t="str">
        <f t="shared" si="10"/>
        <v/>
      </c>
      <c r="M462" s="756" t="str">
        <f t="shared" si="11"/>
        <v/>
      </c>
      <c r="N462" s="757" t="str">
        <f t="shared" si="12"/>
        <v/>
      </c>
      <c r="O462" s="8">
        <f t="shared" si="14"/>
        <v>46163</v>
      </c>
      <c r="P462" s="9" t="str">
        <f t="shared" ca="1" si="15"/>
        <v>ATRASADO</v>
      </c>
      <c r="Q462" s="1227" t="s">
        <v>1556</v>
      </c>
      <c r="R462" s="1226"/>
      <c r="S462" s="9" t="str">
        <f t="shared" si="13"/>
        <v/>
      </c>
    </row>
    <row r="463" spans="1:19" x14ac:dyDescent="0.3">
      <c r="A463" s="9">
        <v>464</v>
      </c>
      <c r="B463" s="1230" t="s">
        <v>270</v>
      </c>
      <c r="C463" s="1225" t="s">
        <v>4224</v>
      </c>
      <c r="D463" s="1227" t="s">
        <v>4225</v>
      </c>
      <c r="E463" s="1228">
        <v>25486</v>
      </c>
      <c r="F463" s="9">
        <f t="shared" ca="1" si="8"/>
        <v>56</v>
      </c>
      <c r="G463" s="1227" t="s">
        <v>8</v>
      </c>
      <c r="H463" s="1227" t="s">
        <v>275</v>
      </c>
      <c r="I463" s="1228">
        <v>45053</v>
      </c>
      <c r="K463" s="755" t="str">
        <f t="shared" si="9"/>
        <v/>
      </c>
      <c r="L463" s="756" t="str">
        <f t="shared" si="10"/>
        <v/>
      </c>
      <c r="M463" s="756" t="str">
        <f t="shared" si="11"/>
        <v/>
      </c>
      <c r="N463" s="757" t="str">
        <f t="shared" si="12"/>
        <v/>
      </c>
      <c r="O463" s="8">
        <f t="shared" si="14"/>
        <v>46149</v>
      </c>
      <c r="P463" s="9" t="str">
        <f t="shared" ca="1" si="15"/>
        <v>ATRASADO</v>
      </c>
      <c r="Q463" s="1227" t="s">
        <v>1556</v>
      </c>
      <c r="R463" s="1224"/>
      <c r="S463" s="9" t="str">
        <f t="shared" si="13"/>
        <v/>
      </c>
    </row>
    <row r="464" spans="1:19" x14ac:dyDescent="0.3">
      <c r="A464" s="9">
        <v>465</v>
      </c>
      <c r="B464" s="1237" t="s">
        <v>111</v>
      </c>
      <c r="C464" s="1232" t="s">
        <v>4226</v>
      </c>
      <c r="D464" s="1234" t="s">
        <v>4227</v>
      </c>
      <c r="E464" s="1235">
        <v>25024</v>
      </c>
      <c r="F464" s="9">
        <f t="shared" ca="1" si="8"/>
        <v>58</v>
      </c>
      <c r="G464" s="1236">
        <v>44408</v>
      </c>
      <c r="H464" s="1234" t="s">
        <v>340</v>
      </c>
      <c r="I464" s="1235">
        <v>45050</v>
      </c>
      <c r="K464" s="755" t="str">
        <f t="shared" si="9"/>
        <v/>
      </c>
      <c r="L464" s="756" t="str">
        <f t="shared" si="10"/>
        <v/>
      </c>
      <c r="M464" s="756" t="str">
        <f t="shared" si="11"/>
        <v/>
      </c>
      <c r="N464" s="757" t="str">
        <f t="shared" si="12"/>
        <v/>
      </c>
      <c r="O464" s="8">
        <f t="shared" si="14"/>
        <v>46146</v>
      </c>
      <c r="P464" s="9" t="str">
        <f t="shared" ca="1" si="15"/>
        <v>ATRASADO</v>
      </c>
      <c r="Q464" s="1234" t="s">
        <v>1556</v>
      </c>
      <c r="R464" s="1231"/>
      <c r="S464" s="9" t="str">
        <f t="shared" si="13"/>
        <v/>
      </c>
    </row>
    <row r="465" spans="1:19" x14ac:dyDescent="0.3">
      <c r="A465" s="9">
        <v>466</v>
      </c>
      <c r="B465" s="1237" t="s">
        <v>111</v>
      </c>
      <c r="C465" s="1232" t="s">
        <v>4228</v>
      </c>
      <c r="D465" s="1234" t="s">
        <v>4229</v>
      </c>
      <c r="E465" s="1235">
        <v>24461</v>
      </c>
      <c r="F465" s="9">
        <f t="shared" ca="1" si="8"/>
        <v>59</v>
      </c>
      <c r="G465" s="1236">
        <v>43669</v>
      </c>
      <c r="H465" s="1234" t="s">
        <v>271</v>
      </c>
      <c r="I465" s="1235">
        <v>45050</v>
      </c>
      <c r="K465" s="755" t="str">
        <f t="shared" si="9"/>
        <v/>
      </c>
      <c r="L465" s="756" t="str">
        <f t="shared" si="10"/>
        <v/>
      </c>
      <c r="M465" s="756" t="str">
        <f t="shared" si="11"/>
        <v/>
      </c>
      <c r="N465" s="757" t="str">
        <f t="shared" si="12"/>
        <v/>
      </c>
      <c r="O465" s="8">
        <f t="shared" si="14"/>
        <v>46146</v>
      </c>
      <c r="P465" s="9" t="str">
        <f t="shared" ca="1" si="15"/>
        <v>ATRASADO</v>
      </c>
      <c r="Q465" s="1234" t="s">
        <v>1556</v>
      </c>
      <c r="R465" s="1231"/>
      <c r="S465" s="9" t="str">
        <f t="shared" si="13"/>
        <v/>
      </c>
    </row>
    <row r="466" spans="1:19" x14ac:dyDescent="0.3">
      <c r="A466" s="9">
        <v>467</v>
      </c>
      <c r="B466" s="1237" t="s">
        <v>111</v>
      </c>
      <c r="C466" s="1232" t="s">
        <v>4230</v>
      </c>
      <c r="D466" s="1234" t="s">
        <v>4231</v>
      </c>
      <c r="E466" s="1235">
        <v>33157</v>
      </c>
      <c r="F466" s="9">
        <f t="shared" ca="1" si="8"/>
        <v>35</v>
      </c>
      <c r="G466" s="1236">
        <v>43904</v>
      </c>
      <c r="H466" s="1234" t="s">
        <v>275</v>
      </c>
      <c r="I466" s="1235">
        <v>45068</v>
      </c>
      <c r="K466" s="755" t="str">
        <f t="shared" si="9"/>
        <v/>
      </c>
      <c r="L466" s="756" t="str">
        <f t="shared" si="10"/>
        <v/>
      </c>
      <c r="M466" s="756" t="str">
        <f t="shared" si="11"/>
        <v/>
      </c>
      <c r="N466" s="757" t="str">
        <f t="shared" si="12"/>
        <v/>
      </c>
      <c r="O466" s="8">
        <f t="shared" si="14"/>
        <v>46164</v>
      </c>
      <c r="P466" s="9" t="str">
        <f t="shared" ca="1" si="15"/>
        <v>ATRASADO</v>
      </c>
      <c r="Q466" s="1234" t="s">
        <v>1556</v>
      </c>
      <c r="R466" s="1231"/>
      <c r="S466" s="9" t="str">
        <f t="shared" si="13"/>
        <v/>
      </c>
    </row>
    <row r="467" spans="1:19" x14ac:dyDescent="0.3">
      <c r="A467" s="9">
        <v>468</v>
      </c>
      <c r="B467" s="1237" t="s">
        <v>111</v>
      </c>
      <c r="C467" s="1232" t="s">
        <v>4232</v>
      </c>
      <c r="D467" s="1234" t="s">
        <v>4233</v>
      </c>
      <c r="E467" s="1235">
        <v>22836</v>
      </c>
      <c r="F467" s="9">
        <f t="shared" ca="1" si="8"/>
        <v>64</v>
      </c>
      <c r="G467" s="1234" t="s">
        <v>8</v>
      </c>
      <c r="H467" s="1234" t="s">
        <v>8</v>
      </c>
      <c r="I467" s="1235">
        <v>45066</v>
      </c>
      <c r="K467" s="755" t="str">
        <f t="shared" si="9"/>
        <v/>
      </c>
      <c r="L467" s="756" t="str">
        <f t="shared" si="10"/>
        <v/>
      </c>
      <c r="M467" s="756" t="str">
        <f t="shared" si="11"/>
        <v/>
      </c>
      <c r="N467" s="757" t="str">
        <f t="shared" si="12"/>
        <v/>
      </c>
      <c r="O467" s="8">
        <f t="shared" si="14"/>
        <v>46162</v>
      </c>
      <c r="P467" s="9" t="str">
        <f t="shared" ca="1" si="15"/>
        <v>ATRASADO</v>
      </c>
      <c r="Q467" s="1234" t="s">
        <v>1556</v>
      </c>
      <c r="R467" s="1231"/>
      <c r="S467" s="9" t="str">
        <f t="shared" si="13"/>
        <v/>
      </c>
    </row>
    <row r="468" spans="1:19" x14ac:dyDescent="0.3">
      <c r="A468" s="9">
        <v>469</v>
      </c>
      <c r="B468" s="1237" t="s">
        <v>111</v>
      </c>
      <c r="C468" s="1232" t="s">
        <v>4234</v>
      </c>
      <c r="D468" s="1234" t="s">
        <v>4235</v>
      </c>
      <c r="E468" s="1235">
        <v>22317</v>
      </c>
      <c r="F468" s="9">
        <f t="shared" ca="1" si="8"/>
        <v>65</v>
      </c>
      <c r="G468" s="1236">
        <v>43601</v>
      </c>
      <c r="H468" s="1234" t="s">
        <v>275</v>
      </c>
      <c r="I468" s="1235">
        <v>45062</v>
      </c>
      <c r="K468" s="755" t="str">
        <f t="shared" si="9"/>
        <v/>
      </c>
      <c r="L468" s="756" t="str">
        <f t="shared" si="10"/>
        <v/>
      </c>
      <c r="M468" s="756" t="str">
        <f t="shared" si="11"/>
        <v/>
      </c>
      <c r="N468" s="757" t="str">
        <f t="shared" si="12"/>
        <v/>
      </c>
      <c r="O468" s="8">
        <f t="shared" si="14"/>
        <v>46158</v>
      </c>
      <c r="P468" s="9" t="str">
        <f t="shared" ca="1" si="15"/>
        <v>ATRASADO</v>
      </c>
      <c r="Q468" s="1234" t="s">
        <v>1556</v>
      </c>
      <c r="R468" s="1231"/>
      <c r="S468" s="9" t="str">
        <f t="shared" si="13"/>
        <v/>
      </c>
    </row>
    <row r="469" spans="1:19" x14ac:dyDescent="0.3">
      <c r="A469" s="9">
        <v>470</v>
      </c>
      <c r="B469" s="1237" t="s">
        <v>111</v>
      </c>
      <c r="C469" s="1232" t="s">
        <v>4236</v>
      </c>
      <c r="D469" s="1234" t="s">
        <v>4237</v>
      </c>
      <c r="E469" s="1235">
        <v>31742</v>
      </c>
      <c r="F469" s="9">
        <f t="shared" ca="1" si="8"/>
        <v>39</v>
      </c>
      <c r="G469" s="1236">
        <v>43294</v>
      </c>
      <c r="H469" s="1234" t="s">
        <v>271</v>
      </c>
      <c r="I469" s="1235">
        <v>45059</v>
      </c>
      <c r="K469" s="755" t="str">
        <f t="shared" si="9"/>
        <v/>
      </c>
      <c r="L469" s="756" t="str">
        <f t="shared" si="10"/>
        <v/>
      </c>
      <c r="M469" s="756" t="str">
        <f t="shared" si="11"/>
        <v/>
      </c>
      <c r="N469" s="757" t="str">
        <f t="shared" si="12"/>
        <v/>
      </c>
      <c r="O469" s="8">
        <f t="shared" si="14"/>
        <v>46155</v>
      </c>
      <c r="P469" s="9" t="str">
        <f t="shared" ca="1" si="15"/>
        <v>ATRASADO</v>
      </c>
      <c r="Q469" s="1234" t="s">
        <v>1556</v>
      </c>
      <c r="R469" s="1233"/>
      <c r="S469" s="9" t="str">
        <f t="shared" si="13"/>
        <v/>
      </c>
    </row>
    <row r="470" spans="1:19" x14ac:dyDescent="0.3">
      <c r="A470" s="9">
        <v>471</v>
      </c>
      <c r="B470" s="1237" t="s">
        <v>111</v>
      </c>
      <c r="C470" s="1232" t="s">
        <v>4238</v>
      </c>
      <c r="D470" s="1234" t="s">
        <v>4239</v>
      </c>
      <c r="E470" s="1235">
        <v>23847</v>
      </c>
      <c r="F470" s="9">
        <f t="shared" ca="1" si="8"/>
        <v>61</v>
      </c>
      <c r="G470" s="1236">
        <v>43987</v>
      </c>
      <c r="H470" s="1234" t="s">
        <v>275</v>
      </c>
      <c r="I470" s="1235">
        <v>45064</v>
      </c>
      <c r="K470" s="755" t="str">
        <f t="shared" si="9"/>
        <v/>
      </c>
      <c r="L470" s="756" t="str">
        <f t="shared" si="10"/>
        <v/>
      </c>
      <c r="M470" s="756" t="str">
        <f t="shared" si="11"/>
        <v/>
      </c>
      <c r="N470" s="757" t="str">
        <f t="shared" si="12"/>
        <v/>
      </c>
      <c r="O470" s="8">
        <f t="shared" si="14"/>
        <v>46160</v>
      </c>
      <c r="P470" s="9" t="str">
        <f t="shared" ca="1" si="15"/>
        <v>ATRASADO</v>
      </c>
      <c r="Q470" s="1234" t="s">
        <v>1556</v>
      </c>
      <c r="R470" s="1233"/>
      <c r="S470" s="9" t="str">
        <f t="shared" si="13"/>
        <v/>
      </c>
    </row>
    <row r="471" spans="1:19" x14ac:dyDescent="0.3">
      <c r="A471" s="9">
        <v>472</v>
      </c>
      <c r="B471" s="1237" t="s">
        <v>111</v>
      </c>
      <c r="C471" s="1232" t="s">
        <v>4240</v>
      </c>
      <c r="D471" s="1234" t="s">
        <v>4241</v>
      </c>
      <c r="E471" s="1235">
        <v>31018</v>
      </c>
      <c r="F471" s="9">
        <f t="shared" ca="1" si="8"/>
        <v>41</v>
      </c>
      <c r="G471" s="1234" t="s">
        <v>8</v>
      </c>
      <c r="H471" s="1234" t="s">
        <v>271</v>
      </c>
      <c r="I471" s="1235">
        <v>45072</v>
      </c>
      <c r="K471" s="755" t="str">
        <f t="shared" si="9"/>
        <v/>
      </c>
      <c r="L471" s="756" t="str">
        <f t="shared" si="10"/>
        <v/>
      </c>
      <c r="M471" s="756" t="str">
        <f t="shared" si="11"/>
        <v/>
      </c>
      <c r="N471" s="757" t="str">
        <f t="shared" si="12"/>
        <v/>
      </c>
      <c r="O471" s="8">
        <f t="shared" si="14"/>
        <v>46168</v>
      </c>
      <c r="P471" s="9" t="str">
        <f t="shared" ca="1" si="15"/>
        <v>ATRASADO</v>
      </c>
      <c r="Q471" s="1234" t="s">
        <v>1556</v>
      </c>
      <c r="R471" s="1231"/>
      <c r="S471" s="9" t="str">
        <f t="shared" si="13"/>
        <v/>
      </c>
    </row>
    <row r="472" spans="1:19" x14ac:dyDescent="0.3">
      <c r="A472" s="9">
        <v>473</v>
      </c>
      <c r="B472" s="1237" t="s">
        <v>111</v>
      </c>
      <c r="C472" s="1232" t="s">
        <v>4242</v>
      </c>
      <c r="D472" s="1234" t="s">
        <v>4243</v>
      </c>
      <c r="E472" s="1235">
        <v>30187</v>
      </c>
      <c r="F472" s="9">
        <f t="shared" ca="1" si="8"/>
        <v>44</v>
      </c>
      <c r="G472" s="1236">
        <v>43613</v>
      </c>
      <c r="H472" s="1234" t="s">
        <v>8</v>
      </c>
      <c r="I472" s="1235">
        <v>45057</v>
      </c>
      <c r="K472" s="755" t="str">
        <f t="shared" si="9"/>
        <v/>
      </c>
      <c r="L472" s="756" t="str">
        <f t="shared" si="10"/>
        <v/>
      </c>
      <c r="M472" s="756" t="str">
        <f t="shared" si="11"/>
        <v/>
      </c>
      <c r="N472" s="757" t="str">
        <f t="shared" si="12"/>
        <v/>
      </c>
      <c r="O472" s="8">
        <f t="shared" si="14"/>
        <v>46153</v>
      </c>
      <c r="P472" s="9" t="str">
        <f t="shared" ca="1" si="15"/>
        <v>ATRASADO</v>
      </c>
      <c r="Q472" s="1234" t="s">
        <v>1556</v>
      </c>
      <c r="R472" s="1231"/>
      <c r="S472" s="9" t="str">
        <f t="shared" si="13"/>
        <v/>
      </c>
    </row>
    <row r="473" spans="1:19" x14ac:dyDescent="0.3">
      <c r="A473" s="9">
        <v>474</v>
      </c>
      <c r="B473" s="1237" t="s">
        <v>111</v>
      </c>
      <c r="C473" s="1232" t="s">
        <v>4244</v>
      </c>
      <c r="D473" s="1234" t="s">
        <v>4245</v>
      </c>
      <c r="E473" s="1235">
        <v>20462</v>
      </c>
      <c r="F473" s="9">
        <f t="shared" ca="1" si="8"/>
        <v>70</v>
      </c>
      <c r="G473" s="1236">
        <v>43333</v>
      </c>
      <c r="H473" s="1234" t="s">
        <v>271</v>
      </c>
      <c r="I473" s="1235">
        <v>45061</v>
      </c>
      <c r="K473" s="755" t="str">
        <f t="shared" si="9"/>
        <v/>
      </c>
      <c r="L473" s="756" t="str">
        <f t="shared" si="10"/>
        <v/>
      </c>
      <c r="M473" s="756" t="str">
        <f t="shared" si="11"/>
        <v/>
      </c>
      <c r="N473" s="757" t="str">
        <f t="shared" si="12"/>
        <v/>
      </c>
      <c r="O473" s="8">
        <f t="shared" si="14"/>
        <v>46157</v>
      </c>
      <c r="P473" s="9" t="str">
        <f t="shared" ca="1" si="15"/>
        <v>ATRASADO</v>
      </c>
      <c r="Q473" s="1234" t="s">
        <v>1556</v>
      </c>
      <c r="R473" s="1231"/>
      <c r="S473" s="9" t="str">
        <f t="shared" si="13"/>
        <v/>
      </c>
    </row>
    <row r="474" spans="1:19" x14ac:dyDescent="0.3">
      <c r="A474" s="9">
        <v>475</v>
      </c>
      <c r="B474" s="1237" t="s">
        <v>111</v>
      </c>
      <c r="C474" s="1232" t="s">
        <v>4246</v>
      </c>
      <c r="D474" s="1234" t="s">
        <v>4247</v>
      </c>
      <c r="E474" s="1235">
        <v>30111</v>
      </c>
      <c r="F474" s="9">
        <f t="shared" ca="1" si="8"/>
        <v>44</v>
      </c>
      <c r="G474" s="1234" t="s">
        <v>8</v>
      </c>
      <c r="H474" s="1234" t="s">
        <v>271</v>
      </c>
      <c r="I474" s="1235">
        <v>45066</v>
      </c>
      <c r="K474" s="755" t="str">
        <f t="shared" si="9"/>
        <v/>
      </c>
      <c r="L474" s="756" t="str">
        <f t="shared" si="10"/>
        <v/>
      </c>
      <c r="M474" s="756" t="str">
        <f t="shared" si="11"/>
        <v/>
      </c>
      <c r="N474" s="757" t="str">
        <f t="shared" si="12"/>
        <v/>
      </c>
      <c r="O474" s="8">
        <f t="shared" si="14"/>
        <v>46162</v>
      </c>
      <c r="P474" s="9" t="str">
        <f t="shared" ca="1" si="15"/>
        <v>ATRASADO</v>
      </c>
      <c r="Q474" s="1234" t="s">
        <v>1556</v>
      </c>
      <c r="R474" s="1231"/>
      <c r="S474" s="9" t="str">
        <f t="shared" si="13"/>
        <v/>
      </c>
    </row>
    <row r="475" spans="1:19" x14ac:dyDescent="0.3">
      <c r="A475" s="9">
        <v>476</v>
      </c>
      <c r="B475" s="1237" t="s">
        <v>111</v>
      </c>
      <c r="C475" s="1232" t="s">
        <v>4248</v>
      </c>
      <c r="D475" s="1234" t="s">
        <v>4249</v>
      </c>
      <c r="E475" s="1235">
        <v>24435</v>
      </c>
      <c r="F475" s="9">
        <f t="shared" ca="1" si="8"/>
        <v>59</v>
      </c>
      <c r="G475" s="1236">
        <v>44177</v>
      </c>
      <c r="H475" s="1234" t="s">
        <v>8</v>
      </c>
      <c r="I475" s="1235">
        <v>45060</v>
      </c>
      <c r="K475" s="755" t="str">
        <f t="shared" si="9"/>
        <v/>
      </c>
      <c r="L475" s="756" t="str">
        <f t="shared" si="10"/>
        <v/>
      </c>
      <c r="M475" s="756" t="str">
        <f t="shared" si="11"/>
        <v/>
      </c>
      <c r="N475" s="757" t="str">
        <f t="shared" si="12"/>
        <v/>
      </c>
      <c r="O475" s="8">
        <f t="shared" si="14"/>
        <v>46156</v>
      </c>
      <c r="P475" s="9" t="str">
        <f t="shared" ca="1" si="15"/>
        <v>ATRASADO</v>
      </c>
      <c r="Q475" s="1234" t="s">
        <v>1556</v>
      </c>
      <c r="R475" s="1231"/>
      <c r="S475" s="9" t="str">
        <f t="shared" si="13"/>
        <v/>
      </c>
    </row>
    <row r="476" spans="1:19" x14ac:dyDescent="0.3">
      <c r="A476" s="9">
        <v>477</v>
      </c>
      <c r="B476" s="1237" t="s">
        <v>111</v>
      </c>
      <c r="C476" s="1232" t="s">
        <v>4250</v>
      </c>
      <c r="D476" s="1234" t="s">
        <v>4251</v>
      </c>
      <c r="E476" s="1235">
        <v>33223</v>
      </c>
      <c r="F476" s="9">
        <f t="shared" ca="1" si="8"/>
        <v>35</v>
      </c>
      <c r="G476" s="1234" t="s">
        <v>8</v>
      </c>
      <c r="H476" s="1234" t="s">
        <v>275</v>
      </c>
      <c r="I476" s="1235">
        <v>45075</v>
      </c>
      <c r="K476" s="755" t="str">
        <f t="shared" si="9"/>
        <v/>
      </c>
      <c r="L476" s="756" t="str">
        <f t="shared" si="10"/>
        <v/>
      </c>
      <c r="M476" s="756" t="str">
        <f t="shared" si="11"/>
        <v/>
      </c>
      <c r="N476" s="757" t="str">
        <f t="shared" si="12"/>
        <v/>
      </c>
      <c r="O476" s="8">
        <f t="shared" si="14"/>
        <v>46171</v>
      </c>
      <c r="P476" s="9" t="str">
        <f t="shared" ca="1" si="15"/>
        <v>ATRASADO</v>
      </c>
      <c r="Q476" s="1234" t="s">
        <v>1556</v>
      </c>
      <c r="R476" s="1231"/>
      <c r="S476" s="9" t="str">
        <f t="shared" si="13"/>
        <v/>
      </c>
    </row>
    <row r="477" spans="1:19" x14ac:dyDescent="0.3">
      <c r="A477" s="9">
        <v>478</v>
      </c>
      <c r="B477" s="1237" t="s">
        <v>111</v>
      </c>
      <c r="C477" s="1232" t="s">
        <v>4252</v>
      </c>
      <c r="D477" s="1234" t="s">
        <v>4253</v>
      </c>
      <c r="E477" s="1235">
        <v>32806</v>
      </c>
      <c r="F477" s="9">
        <f t="shared" ca="1" si="8"/>
        <v>36</v>
      </c>
      <c r="G477" s="1234" t="s">
        <v>8</v>
      </c>
      <c r="H477" s="1234" t="s">
        <v>271</v>
      </c>
      <c r="I477" s="1235">
        <v>45056</v>
      </c>
      <c r="K477" s="755" t="str">
        <f t="shared" si="9"/>
        <v/>
      </c>
      <c r="L477" s="756" t="str">
        <f t="shared" si="10"/>
        <v/>
      </c>
      <c r="M477" s="756" t="str">
        <f t="shared" si="11"/>
        <v/>
      </c>
      <c r="N477" s="757" t="str">
        <f t="shared" si="12"/>
        <v/>
      </c>
      <c r="O477" s="8">
        <f t="shared" si="14"/>
        <v>46152</v>
      </c>
      <c r="P477" s="9" t="str">
        <f t="shared" ca="1" si="15"/>
        <v>ATRASADO</v>
      </c>
      <c r="Q477" s="1234" t="s">
        <v>1556</v>
      </c>
      <c r="R477" s="1231"/>
      <c r="S477" s="9" t="str">
        <f t="shared" si="13"/>
        <v/>
      </c>
    </row>
    <row r="478" spans="1:19" x14ac:dyDescent="0.3">
      <c r="A478" s="9">
        <v>479</v>
      </c>
      <c r="B478" s="1237" t="s">
        <v>111</v>
      </c>
      <c r="C478" s="1232" t="s">
        <v>4254</v>
      </c>
      <c r="D478" s="1234" t="s">
        <v>4255</v>
      </c>
      <c r="E478" s="1235">
        <v>33581</v>
      </c>
      <c r="F478" s="9">
        <f t="shared" ca="1" si="8"/>
        <v>34</v>
      </c>
      <c r="G478" s="1236">
        <v>43525</v>
      </c>
      <c r="H478" s="1234" t="s">
        <v>275</v>
      </c>
      <c r="I478" s="1235">
        <v>45054</v>
      </c>
      <c r="K478" s="755" t="str">
        <f t="shared" si="9"/>
        <v/>
      </c>
      <c r="L478" s="756" t="str">
        <f t="shared" si="10"/>
        <v/>
      </c>
      <c r="M478" s="756" t="str">
        <f t="shared" si="11"/>
        <v/>
      </c>
      <c r="N478" s="757" t="str">
        <f t="shared" si="12"/>
        <v/>
      </c>
      <c r="O478" s="8">
        <f t="shared" si="14"/>
        <v>46150</v>
      </c>
      <c r="P478" s="9" t="str">
        <f t="shared" ca="1" si="15"/>
        <v>ATRASADO</v>
      </c>
      <c r="Q478" s="1234" t="s">
        <v>1556</v>
      </c>
      <c r="R478" s="1231"/>
      <c r="S478" s="9" t="str">
        <f t="shared" si="13"/>
        <v/>
      </c>
    </row>
    <row r="479" spans="1:19" x14ac:dyDescent="0.3">
      <c r="A479" s="9">
        <v>480</v>
      </c>
      <c r="B479" s="1237" t="s">
        <v>111</v>
      </c>
      <c r="C479" s="1232" t="s">
        <v>4256</v>
      </c>
      <c r="D479" s="1234" t="s">
        <v>4257</v>
      </c>
      <c r="E479" s="1235">
        <v>33152</v>
      </c>
      <c r="F479" s="9">
        <f t="shared" ca="1" si="8"/>
        <v>35</v>
      </c>
      <c r="G479" s="1236">
        <v>43463</v>
      </c>
      <c r="H479" s="1234" t="s">
        <v>327</v>
      </c>
      <c r="I479" s="1235">
        <v>45060</v>
      </c>
      <c r="K479" s="755" t="str">
        <f t="shared" si="9"/>
        <v/>
      </c>
      <c r="L479" s="756" t="str">
        <f t="shared" si="10"/>
        <v/>
      </c>
      <c r="M479" s="756" t="str">
        <f t="shared" si="11"/>
        <v/>
      </c>
      <c r="N479" s="757" t="str">
        <f t="shared" si="12"/>
        <v/>
      </c>
      <c r="O479" s="8">
        <f t="shared" si="14"/>
        <v>46156</v>
      </c>
      <c r="P479" s="9" t="str">
        <f t="shared" ca="1" si="15"/>
        <v>ATRASADO</v>
      </c>
      <c r="Q479" s="1234" t="s">
        <v>1556</v>
      </c>
      <c r="R479" s="1231"/>
      <c r="S479" s="9" t="str">
        <f t="shared" si="13"/>
        <v/>
      </c>
    </row>
    <row r="480" spans="1:19" x14ac:dyDescent="0.3">
      <c r="A480" s="9">
        <v>481</v>
      </c>
      <c r="B480" s="1237" t="s">
        <v>111</v>
      </c>
      <c r="C480" s="1232" t="s">
        <v>4258</v>
      </c>
      <c r="D480" s="1234" t="s">
        <v>4259</v>
      </c>
      <c r="E480" s="1235">
        <v>27056</v>
      </c>
      <c r="F480" s="9">
        <f t="shared" ca="1" si="8"/>
        <v>52</v>
      </c>
      <c r="G480" s="1236">
        <v>44234</v>
      </c>
      <c r="H480" s="1234" t="s">
        <v>271</v>
      </c>
      <c r="I480" s="1235">
        <v>45053</v>
      </c>
      <c r="K480" s="755" t="str">
        <f t="shared" si="9"/>
        <v/>
      </c>
      <c r="L480" s="756" t="str">
        <f t="shared" si="10"/>
        <v/>
      </c>
      <c r="M480" s="756" t="str">
        <f t="shared" si="11"/>
        <v/>
      </c>
      <c r="N480" s="757" t="str">
        <f t="shared" si="12"/>
        <v/>
      </c>
      <c r="O480" s="8">
        <f t="shared" si="14"/>
        <v>46149</v>
      </c>
      <c r="P480" s="9" t="str">
        <f t="shared" ca="1" si="15"/>
        <v>ATRASADO</v>
      </c>
      <c r="Q480" s="1234" t="s">
        <v>1556</v>
      </c>
      <c r="R480" s="1231"/>
      <c r="S480" s="9" t="str">
        <f t="shared" si="13"/>
        <v/>
      </c>
    </row>
    <row r="481" spans="1:19" x14ac:dyDescent="0.3">
      <c r="A481" s="9">
        <v>482</v>
      </c>
      <c r="B481" s="1237" t="s">
        <v>312</v>
      </c>
      <c r="C481" s="1232" t="s">
        <v>4260</v>
      </c>
      <c r="D481" s="1234" t="s">
        <v>4261</v>
      </c>
      <c r="E481" s="1235">
        <v>24188</v>
      </c>
      <c r="F481" s="9">
        <f t="shared" ca="1" si="8"/>
        <v>60</v>
      </c>
      <c r="G481" s="1236">
        <v>43396</v>
      </c>
      <c r="H481" s="1234" t="s">
        <v>340</v>
      </c>
      <c r="I481" s="1235">
        <v>45068</v>
      </c>
      <c r="K481" s="755" t="str">
        <f t="shared" si="9"/>
        <v/>
      </c>
      <c r="L481" s="756" t="str">
        <f t="shared" si="10"/>
        <v/>
      </c>
      <c r="M481" s="756" t="str">
        <f t="shared" si="11"/>
        <v/>
      </c>
      <c r="N481" s="757" t="str">
        <f t="shared" si="12"/>
        <v/>
      </c>
      <c r="O481" s="8">
        <f t="shared" si="14"/>
        <v>46164</v>
      </c>
      <c r="P481" s="9" t="str">
        <f t="shared" ca="1" si="15"/>
        <v>ATRASADO</v>
      </c>
      <c r="Q481" s="1234" t="s">
        <v>1556</v>
      </c>
      <c r="R481" s="1233"/>
      <c r="S481" s="9" t="str">
        <f t="shared" si="13"/>
        <v/>
      </c>
    </row>
    <row r="482" spans="1:19" x14ac:dyDescent="0.3">
      <c r="A482" s="9">
        <v>483</v>
      </c>
      <c r="B482" s="1243" t="s">
        <v>579</v>
      </c>
      <c r="C482" s="1239" t="s">
        <v>4262</v>
      </c>
      <c r="D482" s="1240" t="s">
        <v>4263</v>
      </c>
      <c r="E482" s="1241">
        <v>29338</v>
      </c>
      <c r="F482" s="9">
        <f t="shared" ca="1" si="8"/>
        <v>46</v>
      </c>
      <c r="G482" s="1242">
        <v>44152</v>
      </c>
      <c r="H482" s="1240" t="s">
        <v>271</v>
      </c>
      <c r="I482" s="1241">
        <v>45063</v>
      </c>
      <c r="K482" s="755" t="str">
        <f t="shared" si="9"/>
        <v/>
      </c>
      <c r="L482" s="756" t="str">
        <f t="shared" si="10"/>
        <v/>
      </c>
      <c r="M482" s="756" t="str">
        <f t="shared" si="11"/>
        <v/>
      </c>
      <c r="N482" s="757" t="str">
        <f t="shared" si="12"/>
        <v/>
      </c>
      <c r="O482" s="8">
        <f t="shared" si="14"/>
        <v>46159</v>
      </c>
      <c r="P482" s="9" t="str">
        <f t="shared" ca="1" si="15"/>
        <v>ATRASADO</v>
      </c>
      <c r="Q482" s="1240" t="s">
        <v>1556</v>
      </c>
      <c r="R482" s="1238"/>
      <c r="S482" s="9" t="str">
        <f t="shared" si="13"/>
        <v/>
      </c>
    </row>
    <row r="483" spans="1:19" x14ac:dyDescent="0.3">
      <c r="A483" s="9">
        <v>484</v>
      </c>
      <c r="B483" s="1243" t="s">
        <v>579</v>
      </c>
      <c r="C483" s="1239" t="s">
        <v>4264</v>
      </c>
      <c r="D483" s="1240" t="s">
        <v>4265</v>
      </c>
      <c r="E483" s="1241">
        <v>26396</v>
      </c>
      <c r="F483" s="9">
        <f t="shared" ca="1" si="8"/>
        <v>54</v>
      </c>
      <c r="G483" s="1240" t="s">
        <v>8</v>
      </c>
      <c r="H483" s="1240" t="s">
        <v>8</v>
      </c>
      <c r="I483" s="1241">
        <v>45055</v>
      </c>
      <c r="K483" s="755" t="str">
        <f t="shared" si="9"/>
        <v/>
      </c>
      <c r="L483" s="756" t="str">
        <f t="shared" si="10"/>
        <v/>
      </c>
      <c r="M483" s="756" t="str">
        <f t="shared" si="11"/>
        <v/>
      </c>
      <c r="N483" s="757" t="str">
        <f t="shared" si="12"/>
        <v/>
      </c>
      <c r="O483" s="8">
        <f t="shared" si="14"/>
        <v>46151</v>
      </c>
      <c r="P483" s="9" t="str">
        <f t="shared" ca="1" si="15"/>
        <v>ATRASADO</v>
      </c>
      <c r="Q483" s="1240" t="s">
        <v>1556</v>
      </c>
      <c r="R483" s="1238"/>
      <c r="S483" s="9" t="str">
        <f t="shared" si="13"/>
        <v/>
      </c>
    </row>
    <row r="484" spans="1:19" x14ac:dyDescent="0.3">
      <c r="A484" s="9">
        <v>485</v>
      </c>
      <c r="B484" s="1243" t="s">
        <v>579</v>
      </c>
      <c r="C484" s="1239" t="s">
        <v>4266</v>
      </c>
      <c r="D484" s="1240" t="s">
        <v>4267</v>
      </c>
      <c r="E484" s="1241">
        <v>22184</v>
      </c>
      <c r="F484" s="9">
        <f t="shared" ca="1" si="8"/>
        <v>66</v>
      </c>
      <c r="G484" s="1240" t="s">
        <v>8</v>
      </c>
      <c r="H484" s="1240" t="s">
        <v>275</v>
      </c>
      <c r="I484" s="1241">
        <v>45064</v>
      </c>
      <c r="K484" s="755" t="str">
        <f t="shared" si="9"/>
        <v/>
      </c>
      <c r="L484" s="756" t="str">
        <f t="shared" si="10"/>
        <v/>
      </c>
      <c r="M484" s="756" t="str">
        <f t="shared" si="11"/>
        <v/>
      </c>
      <c r="N484" s="757" t="str">
        <f t="shared" si="12"/>
        <v/>
      </c>
      <c r="O484" s="8">
        <f t="shared" si="14"/>
        <v>46160</v>
      </c>
      <c r="P484" s="9" t="str">
        <f t="shared" ca="1" si="15"/>
        <v>ATRASADO</v>
      </c>
      <c r="Q484" s="1240" t="s">
        <v>1556</v>
      </c>
      <c r="R484" s="1238"/>
      <c r="S484" s="9" t="str">
        <f t="shared" si="13"/>
        <v/>
      </c>
    </row>
    <row r="485" spans="1:19" x14ac:dyDescent="0.3">
      <c r="A485" s="9">
        <v>486</v>
      </c>
      <c r="B485" s="1243" t="s">
        <v>579</v>
      </c>
      <c r="C485" s="1239" t="s">
        <v>4268</v>
      </c>
      <c r="D485" s="1240" t="s">
        <v>4269</v>
      </c>
      <c r="E485" s="1241">
        <v>29678</v>
      </c>
      <c r="F485" s="9">
        <f t="shared" ca="1" si="8"/>
        <v>45</v>
      </c>
      <c r="G485" s="1240" t="s">
        <v>8</v>
      </c>
      <c r="H485" s="1240" t="s">
        <v>327</v>
      </c>
      <c r="I485" s="1241">
        <v>45059</v>
      </c>
      <c r="K485" s="755" t="str">
        <f t="shared" si="9"/>
        <v/>
      </c>
      <c r="L485" s="756" t="str">
        <f t="shared" si="10"/>
        <v/>
      </c>
      <c r="M485" s="756" t="str">
        <f t="shared" si="11"/>
        <v/>
      </c>
      <c r="N485" s="757" t="str">
        <f t="shared" si="12"/>
        <v/>
      </c>
      <c r="O485" s="8">
        <f t="shared" si="14"/>
        <v>46155</v>
      </c>
      <c r="P485" s="9" t="str">
        <f t="shared" ca="1" si="15"/>
        <v>ATRASADO</v>
      </c>
      <c r="Q485" s="1240" t="s">
        <v>1556</v>
      </c>
      <c r="R485" s="1238"/>
      <c r="S485" s="9" t="str">
        <f t="shared" si="13"/>
        <v/>
      </c>
    </row>
    <row r="486" spans="1:19" x14ac:dyDescent="0.3">
      <c r="A486" s="9">
        <v>487</v>
      </c>
      <c r="B486" s="1243" t="s">
        <v>579</v>
      </c>
      <c r="C486" s="1239" t="s">
        <v>4270</v>
      </c>
      <c r="D486" s="1240" t="s">
        <v>4271</v>
      </c>
      <c r="E486" s="1241">
        <v>33301</v>
      </c>
      <c r="F486" s="9">
        <f t="shared" ca="1" si="8"/>
        <v>35</v>
      </c>
      <c r="G486" s="1242">
        <v>43331</v>
      </c>
      <c r="H486" s="1240" t="s">
        <v>8</v>
      </c>
      <c r="I486" s="1241">
        <v>45073</v>
      </c>
      <c r="K486" s="755" t="str">
        <f t="shared" si="9"/>
        <v/>
      </c>
      <c r="L486" s="756" t="str">
        <f t="shared" si="10"/>
        <v/>
      </c>
      <c r="M486" s="756" t="str">
        <f t="shared" si="11"/>
        <v/>
      </c>
      <c r="N486" s="757" t="str">
        <f t="shared" si="12"/>
        <v/>
      </c>
      <c r="O486" s="8">
        <f t="shared" si="14"/>
        <v>46169</v>
      </c>
      <c r="P486" s="9" t="str">
        <f t="shared" ca="1" si="15"/>
        <v>ATRASADO</v>
      </c>
      <c r="Q486" s="1240" t="s">
        <v>1556</v>
      </c>
      <c r="R486" s="1238"/>
      <c r="S486" s="9" t="str">
        <f t="shared" si="13"/>
        <v/>
      </c>
    </row>
    <row r="487" spans="1:19" x14ac:dyDescent="0.3">
      <c r="A487" s="9">
        <v>488</v>
      </c>
      <c r="B487" s="1243" t="s">
        <v>579</v>
      </c>
      <c r="C487" s="1239" t="s">
        <v>4272</v>
      </c>
      <c r="D487" s="1240" t="s">
        <v>4273</v>
      </c>
      <c r="E487" s="1241">
        <v>25225</v>
      </c>
      <c r="F487" s="9">
        <f t="shared" ca="1" si="8"/>
        <v>57</v>
      </c>
      <c r="G487" s="1242">
        <v>43872</v>
      </c>
      <c r="H487" s="1240" t="s">
        <v>275</v>
      </c>
      <c r="I487" s="1241">
        <v>45049</v>
      </c>
      <c r="K487" s="755" t="str">
        <f t="shared" si="9"/>
        <v/>
      </c>
      <c r="L487" s="756" t="str">
        <f t="shared" si="10"/>
        <v/>
      </c>
      <c r="M487" s="756" t="str">
        <f t="shared" si="11"/>
        <v/>
      </c>
      <c r="N487" s="757" t="str">
        <f t="shared" si="12"/>
        <v/>
      </c>
      <c r="O487" s="8">
        <f t="shared" si="14"/>
        <v>46145</v>
      </c>
      <c r="P487" s="9" t="str">
        <f t="shared" ca="1" si="15"/>
        <v>ATRASADO</v>
      </c>
      <c r="Q487" s="1240" t="s">
        <v>1556</v>
      </c>
      <c r="R487" s="1238"/>
      <c r="S487" s="9" t="str">
        <f t="shared" si="13"/>
        <v/>
      </c>
    </row>
    <row r="488" spans="1:19" x14ac:dyDescent="0.3">
      <c r="A488" s="9">
        <v>489</v>
      </c>
      <c r="B488" s="1248" t="s">
        <v>111</v>
      </c>
      <c r="C488" s="1245" t="s">
        <v>4274</v>
      </c>
      <c r="D488" s="1246" t="s">
        <v>4275</v>
      </c>
      <c r="E488" s="1247">
        <v>24758</v>
      </c>
      <c r="F488" s="9">
        <f t="shared" ca="1" si="8"/>
        <v>58</v>
      </c>
      <c r="G488" s="1246" t="s">
        <v>8</v>
      </c>
      <c r="H488" s="1246" t="s">
        <v>271</v>
      </c>
      <c r="I488" s="1247">
        <v>45063</v>
      </c>
      <c r="K488" s="755" t="str">
        <f t="shared" si="9"/>
        <v/>
      </c>
      <c r="L488" s="756" t="str">
        <f t="shared" si="10"/>
        <v/>
      </c>
      <c r="M488" s="756" t="str">
        <f t="shared" si="11"/>
        <v/>
      </c>
      <c r="N488" s="757" t="str">
        <f t="shared" si="12"/>
        <v/>
      </c>
      <c r="O488" s="8">
        <f t="shared" si="14"/>
        <v>46159</v>
      </c>
      <c r="P488" s="9" t="str">
        <f t="shared" ca="1" si="15"/>
        <v>ATRASADO</v>
      </c>
      <c r="Q488" s="1246" t="s">
        <v>1556</v>
      </c>
      <c r="R488" s="1244"/>
      <c r="S488" s="9" t="str">
        <f t="shared" si="13"/>
        <v/>
      </c>
    </row>
    <row r="489" spans="1:19" x14ac:dyDescent="0.3">
      <c r="A489" s="9">
        <v>490</v>
      </c>
      <c r="B489" s="1255" t="s">
        <v>270</v>
      </c>
      <c r="C489" s="1250" t="s">
        <v>4276</v>
      </c>
      <c r="D489" s="1252" t="s">
        <v>4277</v>
      </c>
      <c r="E489" s="1253">
        <v>32160</v>
      </c>
      <c r="F489" s="9">
        <f t="shared" ca="1" si="8"/>
        <v>38</v>
      </c>
      <c r="G489" s="1254">
        <v>43554</v>
      </c>
      <c r="H489" s="1252" t="s">
        <v>271</v>
      </c>
      <c r="I489" s="1253">
        <v>45073</v>
      </c>
      <c r="K489" s="755" t="str">
        <f t="shared" si="9"/>
        <v/>
      </c>
      <c r="L489" s="756" t="str">
        <f t="shared" si="10"/>
        <v/>
      </c>
      <c r="M489" s="756" t="str">
        <f t="shared" si="11"/>
        <v/>
      </c>
      <c r="N489" s="757" t="str">
        <f t="shared" si="12"/>
        <v/>
      </c>
      <c r="O489" s="8">
        <f t="shared" si="14"/>
        <v>46169</v>
      </c>
      <c r="P489" s="9" t="str">
        <f t="shared" ca="1" si="15"/>
        <v>ATRASADO</v>
      </c>
      <c r="Q489" s="1252" t="s">
        <v>1556</v>
      </c>
      <c r="R489" s="1251"/>
      <c r="S489" s="9" t="str">
        <f t="shared" si="13"/>
        <v/>
      </c>
    </row>
    <row r="490" spans="1:19" x14ac:dyDescent="0.3">
      <c r="A490" s="9">
        <v>491</v>
      </c>
      <c r="B490" s="1255" t="s">
        <v>270</v>
      </c>
      <c r="C490" s="1250" t="s">
        <v>4278</v>
      </c>
      <c r="D490" s="1252" t="s">
        <v>4279</v>
      </c>
      <c r="E490" s="1253">
        <v>35006</v>
      </c>
      <c r="F490" s="9">
        <f t="shared" ca="1" si="8"/>
        <v>30</v>
      </c>
      <c r="G490" s="1254">
        <v>44427</v>
      </c>
      <c r="H490" s="1252" t="s">
        <v>271</v>
      </c>
      <c r="I490" s="1253">
        <v>45054</v>
      </c>
      <c r="K490" s="755" t="str">
        <f t="shared" si="9"/>
        <v/>
      </c>
      <c r="L490" s="756" t="str">
        <f t="shared" si="10"/>
        <v/>
      </c>
      <c r="M490" s="756" t="str">
        <f t="shared" si="11"/>
        <v/>
      </c>
      <c r="N490" s="757" t="str">
        <f t="shared" si="12"/>
        <v/>
      </c>
      <c r="O490" s="8">
        <f t="shared" si="14"/>
        <v>46150</v>
      </c>
      <c r="P490" s="9" t="str">
        <f t="shared" ca="1" si="15"/>
        <v>ATRASADO</v>
      </c>
      <c r="Q490" s="1252" t="s">
        <v>1556</v>
      </c>
      <c r="R490" s="1249"/>
      <c r="S490" s="9" t="str">
        <f t="shared" si="13"/>
        <v/>
      </c>
    </row>
  </sheetData>
  <autoFilter ref="A3:S339" xr:uid="{00000000-0009-0000-0000-000005000000}"/>
  <mergeCells count="1">
    <mergeCell ref="K3:N3"/>
  </mergeCells>
  <phoneticPr fontId="211" type="noConversion"/>
  <conditionalFormatting sqref="P3:P33 P74:P490">
    <cfRule type="containsText" dxfId="215" priority="551" operator="containsText" text="ATRASADO">
      <formula>NOT(ISERROR(SEARCH("ATRASADO",P3)))</formula>
    </cfRule>
    <cfRule type="containsText" dxfId="214" priority="552" operator="containsText" text="VIGENTE">
      <formula>NOT(ISERROR(SEARCH("VIGENTE",P3)))</formula>
    </cfRule>
  </conditionalFormatting>
  <conditionalFormatting sqref="O4:O33 O74:O490">
    <cfRule type="expression" dxfId="213" priority="553" stopIfTrue="1">
      <formula>$P4="ATRASADO"</formula>
    </cfRule>
    <cfRule type="expression" dxfId="212" priority="554">
      <formula>$P4="VIGENTE"</formula>
    </cfRule>
  </conditionalFormatting>
  <conditionalFormatting sqref="S4">
    <cfRule type="containsText" dxfId="211" priority="542" operator="containsText" text="CANDIDA">
      <formula>NOT(ISERROR(SEARCH("CANDIDA",S4)))</formula>
    </cfRule>
    <cfRule type="containsText" dxfId="210" priority="543" operator="containsText" text="TRICOMONAS">
      <formula>NOT(ISERROR(SEARCH("TRICOMONAS",S4)))</formula>
    </cfRule>
    <cfRule type="containsText" dxfId="209" priority="544" operator="containsText" text="ACTINOMYCES">
      <formula>NOT(ISERROR(SEARCH("ACTINOMYCES",S4)))</formula>
    </cfRule>
    <cfRule type="containsText" dxfId="208" priority="545" operator="containsText" text="HERPES SIMPLEX">
      <formula>NOT(ISERROR(SEARCH("HERPES SIMPLEX",S4)))</formula>
    </cfRule>
    <cfRule type="containsText" dxfId="207" priority="546" operator="containsText" text="VPH">
      <formula>NOT(ISERROR(SEARCH("VPH",S4)))</formula>
    </cfRule>
    <cfRule type="containsText" dxfId="206" priority="547" operator="containsText" text="CITAR A UPC">
      <formula>NOT(ISERROR(SEARCH("CITAR A UPC",S4)))</formula>
    </cfRule>
    <cfRule type="containsText" dxfId="205" priority="548" operator="containsText" text="LESION SOSPECHOSA A UPC">
      <formula>NOT(ISERROR(SEARCH("LESION SOSPECHOSA A UPC",S4)))</formula>
    </cfRule>
    <cfRule type="containsText" dxfId="204" priority="549" operator="containsText" text="DERIVAR A UPC POR SEGUNDO ATIPICO">
      <formula>NOT(ISERROR(SEARCH("DERIVAR A UPC POR SEGUNDO ATIPICO",S4)))</formula>
    </cfRule>
    <cfRule type="containsText" dxfId="203" priority="550" operator="containsText" text="MANDAR A UPC / COLPOSCOPIA">
      <formula>NOT(ISERROR(SEARCH("MANDAR A UPC / COLPOSCOPIA",S4)))</formula>
    </cfRule>
  </conditionalFormatting>
  <conditionalFormatting sqref="R3">
    <cfRule type="containsText" dxfId="202" priority="541" operator="containsText" text="SOSPECHA CLINICA">
      <formula>NOT(ISERROR(SEARCH("SOSPECHA CLINICA",R3)))</formula>
    </cfRule>
  </conditionalFormatting>
  <conditionalFormatting sqref="J4:J1048576">
    <cfRule type="containsText" dxfId="201" priority="193" operator="containsText" text="T">
      <formula>NOT(ISERROR(SEARCH("T",J4)))</formula>
    </cfRule>
    <cfRule type="containsBlanks" dxfId="200" priority="257">
      <formula>LEN(TRIM(J4))=0</formula>
    </cfRule>
    <cfRule type="containsText" dxfId="199" priority="538" operator="containsText" text="O3">
      <formula>NOT(ISERROR(SEARCH("O3",J4)))</formula>
    </cfRule>
    <cfRule type="containsText" dxfId="198" priority="539" operator="containsText" text="O5">
      <formula>NOT(ISERROR(SEARCH("O5",J4)))</formula>
    </cfRule>
    <cfRule type="containsText" dxfId="197" priority="540" operator="containsText" text="S">
      <formula>NOT(ISERROR(SEARCH("S",J4)))</formula>
    </cfRule>
  </conditionalFormatting>
  <conditionalFormatting sqref="O34">
    <cfRule type="expression" dxfId="196" priority="163" stopIfTrue="1">
      <formula>$P34="ATRASADO"</formula>
    </cfRule>
    <cfRule type="expression" dxfId="195" priority="164">
      <formula>$P34="VIGENTE"</formula>
    </cfRule>
  </conditionalFormatting>
  <conditionalFormatting sqref="P34">
    <cfRule type="containsText" dxfId="194" priority="161" operator="containsText" text="ATRASADO">
      <formula>NOT(ISERROR(SEARCH("ATRASADO",P34)))</formula>
    </cfRule>
    <cfRule type="containsText" dxfId="193" priority="162" operator="containsText" text="VIGENTE">
      <formula>NOT(ISERROR(SEARCH("VIGENTE",P34)))</formula>
    </cfRule>
  </conditionalFormatting>
  <conditionalFormatting sqref="O35">
    <cfRule type="expression" dxfId="192" priority="159" stopIfTrue="1">
      <formula>$P35="ATRASADO"</formula>
    </cfRule>
    <cfRule type="expression" dxfId="191" priority="160">
      <formula>$P35="VIGENTE"</formula>
    </cfRule>
  </conditionalFormatting>
  <conditionalFormatting sqref="P35">
    <cfRule type="containsText" dxfId="190" priority="157" operator="containsText" text="ATRASADO">
      <formula>NOT(ISERROR(SEARCH("ATRASADO",P35)))</formula>
    </cfRule>
    <cfRule type="containsText" dxfId="189" priority="158" operator="containsText" text="VIGENTE">
      <formula>NOT(ISERROR(SEARCH("VIGENTE",P35)))</formula>
    </cfRule>
  </conditionalFormatting>
  <conditionalFormatting sqref="O36">
    <cfRule type="expression" dxfId="188" priority="155" stopIfTrue="1">
      <formula>$P36="ATRASADO"</formula>
    </cfRule>
    <cfRule type="expression" dxfId="187" priority="156">
      <formula>$P36="VIGENTE"</formula>
    </cfRule>
  </conditionalFormatting>
  <conditionalFormatting sqref="P36">
    <cfRule type="containsText" dxfId="186" priority="153" operator="containsText" text="ATRASADO">
      <formula>NOT(ISERROR(SEARCH("ATRASADO",P36)))</formula>
    </cfRule>
    <cfRule type="containsText" dxfId="185" priority="154" operator="containsText" text="VIGENTE">
      <formula>NOT(ISERROR(SEARCH("VIGENTE",P36)))</formula>
    </cfRule>
  </conditionalFormatting>
  <conditionalFormatting sqref="O37">
    <cfRule type="expression" dxfId="184" priority="151" stopIfTrue="1">
      <formula>$P37="ATRASADO"</formula>
    </cfRule>
    <cfRule type="expression" dxfId="183" priority="152">
      <formula>$P37="VIGENTE"</formula>
    </cfRule>
  </conditionalFormatting>
  <conditionalFormatting sqref="P37">
    <cfRule type="containsText" dxfId="182" priority="149" operator="containsText" text="ATRASADO">
      <formula>NOT(ISERROR(SEARCH("ATRASADO",P37)))</formula>
    </cfRule>
    <cfRule type="containsText" dxfId="181" priority="150" operator="containsText" text="VIGENTE">
      <formula>NOT(ISERROR(SEARCH("VIGENTE",P37)))</formula>
    </cfRule>
  </conditionalFormatting>
  <conditionalFormatting sqref="O38">
    <cfRule type="expression" dxfId="180" priority="147" stopIfTrue="1">
      <formula>$P38="ATRASADO"</formula>
    </cfRule>
    <cfRule type="expression" dxfId="179" priority="148">
      <formula>$P38="VIGENTE"</formula>
    </cfRule>
  </conditionalFormatting>
  <conditionalFormatting sqref="P38">
    <cfRule type="containsText" dxfId="178" priority="145" operator="containsText" text="ATRASADO">
      <formula>NOT(ISERROR(SEARCH("ATRASADO",P38)))</formula>
    </cfRule>
    <cfRule type="containsText" dxfId="177" priority="146" operator="containsText" text="VIGENTE">
      <formula>NOT(ISERROR(SEARCH("VIGENTE",P38)))</formula>
    </cfRule>
  </conditionalFormatting>
  <conditionalFormatting sqref="O39">
    <cfRule type="expression" dxfId="176" priority="143" stopIfTrue="1">
      <formula>$P39="ATRASADO"</formula>
    </cfRule>
    <cfRule type="expression" dxfId="175" priority="144">
      <formula>$P39="VIGENTE"</formula>
    </cfRule>
  </conditionalFormatting>
  <conditionalFormatting sqref="P39">
    <cfRule type="containsText" dxfId="174" priority="141" operator="containsText" text="ATRASADO">
      <formula>NOT(ISERROR(SEARCH("ATRASADO",P39)))</formula>
    </cfRule>
    <cfRule type="containsText" dxfId="173" priority="142" operator="containsText" text="VIGENTE">
      <formula>NOT(ISERROR(SEARCH("VIGENTE",P39)))</formula>
    </cfRule>
  </conditionalFormatting>
  <conditionalFormatting sqref="O40">
    <cfRule type="expression" dxfId="172" priority="139" stopIfTrue="1">
      <formula>$P40="ATRASADO"</formula>
    </cfRule>
    <cfRule type="expression" dxfId="171" priority="140">
      <formula>$P40="VIGENTE"</formula>
    </cfRule>
  </conditionalFormatting>
  <conditionalFormatting sqref="P40">
    <cfRule type="containsText" dxfId="170" priority="137" operator="containsText" text="ATRASADO">
      <formula>NOT(ISERROR(SEARCH("ATRASADO",P40)))</formula>
    </cfRule>
    <cfRule type="containsText" dxfId="169" priority="138" operator="containsText" text="VIGENTE">
      <formula>NOT(ISERROR(SEARCH("VIGENTE",P40)))</formula>
    </cfRule>
  </conditionalFormatting>
  <conditionalFormatting sqref="O41">
    <cfRule type="expression" dxfId="168" priority="135" stopIfTrue="1">
      <formula>$P41="ATRASADO"</formula>
    </cfRule>
    <cfRule type="expression" dxfId="167" priority="136">
      <formula>$P41="VIGENTE"</formula>
    </cfRule>
  </conditionalFormatting>
  <conditionalFormatting sqref="P41">
    <cfRule type="containsText" dxfId="166" priority="133" operator="containsText" text="ATRASADO">
      <formula>NOT(ISERROR(SEARCH("ATRASADO",P41)))</formula>
    </cfRule>
    <cfRule type="containsText" dxfId="165" priority="134" operator="containsText" text="VIGENTE">
      <formula>NOT(ISERROR(SEARCH("VIGENTE",P41)))</formula>
    </cfRule>
  </conditionalFormatting>
  <conditionalFormatting sqref="O42">
    <cfRule type="expression" dxfId="164" priority="131" stopIfTrue="1">
      <formula>$P42="ATRASADO"</formula>
    </cfRule>
    <cfRule type="expression" dxfId="163" priority="132">
      <formula>$P42="VIGENTE"</formula>
    </cfRule>
  </conditionalFormatting>
  <conditionalFormatting sqref="P42">
    <cfRule type="containsText" dxfId="162" priority="129" operator="containsText" text="ATRASADO">
      <formula>NOT(ISERROR(SEARCH("ATRASADO",P42)))</formula>
    </cfRule>
    <cfRule type="containsText" dxfId="161" priority="130" operator="containsText" text="VIGENTE">
      <formula>NOT(ISERROR(SEARCH("VIGENTE",P42)))</formula>
    </cfRule>
  </conditionalFormatting>
  <conditionalFormatting sqref="O43">
    <cfRule type="expression" dxfId="160" priority="127" stopIfTrue="1">
      <formula>$P43="ATRASADO"</formula>
    </cfRule>
    <cfRule type="expression" dxfId="159" priority="128">
      <formula>$P43="VIGENTE"</formula>
    </cfRule>
  </conditionalFormatting>
  <conditionalFormatting sqref="P43">
    <cfRule type="containsText" dxfId="158" priority="125" operator="containsText" text="ATRASADO">
      <formula>NOT(ISERROR(SEARCH("ATRASADO",P43)))</formula>
    </cfRule>
    <cfRule type="containsText" dxfId="157" priority="126" operator="containsText" text="VIGENTE">
      <formula>NOT(ISERROR(SEARCH("VIGENTE",P43)))</formula>
    </cfRule>
  </conditionalFormatting>
  <conditionalFormatting sqref="O44">
    <cfRule type="expression" dxfId="156" priority="123" stopIfTrue="1">
      <formula>$P44="ATRASADO"</formula>
    </cfRule>
    <cfRule type="expression" dxfId="155" priority="124">
      <formula>$P44="VIGENTE"</formula>
    </cfRule>
  </conditionalFormatting>
  <conditionalFormatting sqref="P44">
    <cfRule type="containsText" dxfId="154" priority="121" operator="containsText" text="ATRASADO">
      <formula>NOT(ISERROR(SEARCH("ATRASADO",P44)))</formula>
    </cfRule>
    <cfRule type="containsText" dxfId="153" priority="122" operator="containsText" text="VIGENTE">
      <formula>NOT(ISERROR(SEARCH("VIGENTE",P44)))</formula>
    </cfRule>
  </conditionalFormatting>
  <conditionalFormatting sqref="O45">
    <cfRule type="expression" dxfId="152" priority="119" stopIfTrue="1">
      <formula>$P45="ATRASADO"</formula>
    </cfRule>
    <cfRule type="expression" dxfId="151" priority="120">
      <formula>$P45="VIGENTE"</formula>
    </cfRule>
  </conditionalFormatting>
  <conditionalFormatting sqref="P45">
    <cfRule type="containsText" dxfId="150" priority="117" operator="containsText" text="ATRASADO">
      <formula>NOT(ISERROR(SEARCH("ATRASADO",P45)))</formula>
    </cfRule>
    <cfRule type="containsText" dxfId="149" priority="118" operator="containsText" text="VIGENTE">
      <formula>NOT(ISERROR(SEARCH("VIGENTE",P45)))</formula>
    </cfRule>
  </conditionalFormatting>
  <conditionalFormatting sqref="O46">
    <cfRule type="expression" dxfId="148" priority="115" stopIfTrue="1">
      <formula>$P46="ATRASADO"</formula>
    </cfRule>
    <cfRule type="expression" dxfId="147" priority="116">
      <formula>$P46="VIGENTE"</formula>
    </cfRule>
  </conditionalFormatting>
  <conditionalFormatting sqref="P46">
    <cfRule type="containsText" dxfId="146" priority="113" operator="containsText" text="ATRASADO">
      <formula>NOT(ISERROR(SEARCH("ATRASADO",P46)))</formula>
    </cfRule>
    <cfRule type="containsText" dxfId="145" priority="114" operator="containsText" text="VIGENTE">
      <formula>NOT(ISERROR(SEARCH("VIGENTE",P46)))</formula>
    </cfRule>
  </conditionalFormatting>
  <conditionalFormatting sqref="O47">
    <cfRule type="expression" dxfId="144" priority="111" stopIfTrue="1">
      <formula>$P47="ATRASADO"</formula>
    </cfRule>
    <cfRule type="expression" dxfId="143" priority="112">
      <formula>$P47="VIGENTE"</formula>
    </cfRule>
  </conditionalFormatting>
  <conditionalFormatting sqref="P47">
    <cfRule type="containsText" dxfId="142" priority="109" operator="containsText" text="ATRASADO">
      <formula>NOT(ISERROR(SEARCH("ATRASADO",P47)))</formula>
    </cfRule>
    <cfRule type="containsText" dxfId="141" priority="110" operator="containsText" text="VIGENTE">
      <formula>NOT(ISERROR(SEARCH("VIGENTE",P47)))</formula>
    </cfRule>
  </conditionalFormatting>
  <conditionalFormatting sqref="O48">
    <cfRule type="expression" dxfId="140" priority="107" stopIfTrue="1">
      <formula>$P48="ATRASADO"</formula>
    </cfRule>
    <cfRule type="expression" dxfId="139" priority="108">
      <formula>$P48="VIGENTE"</formula>
    </cfRule>
  </conditionalFormatting>
  <conditionalFormatting sqref="P48">
    <cfRule type="containsText" dxfId="138" priority="105" operator="containsText" text="ATRASADO">
      <formula>NOT(ISERROR(SEARCH("ATRASADO",P48)))</formula>
    </cfRule>
    <cfRule type="containsText" dxfId="137" priority="106" operator="containsText" text="VIGENTE">
      <formula>NOT(ISERROR(SEARCH("VIGENTE",P48)))</formula>
    </cfRule>
  </conditionalFormatting>
  <conditionalFormatting sqref="O49">
    <cfRule type="expression" dxfId="136" priority="103" stopIfTrue="1">
      <formula>$P49="ATRASADO"</formula>
    </cfRule>
    <cfRule type="expression" dxfId="135" priority="104">
      <formula>$P49="VIGENTE"</formula>
    </cfRule>
  </conditionalFormatting>
  <conditionalFormatting sqref="P49">
    <cfRule type="containsText" dxfId="134" priority="101" operator="containsText" text="ATRASADO">
      <formula>NOT(ISERROR(SEARCH("ATRASADO",P49)))</formula>
    </cfRule>
    <cfRule type="containsText" dxfId="133" priority="102" operator="containsText" text="VIGENTE">
      <formula>NOT(ISERROR(SEARCH("VIGENTE",P49)))</formula>
    </cfRule>
  </conditionalFormatting>
  <conditionalFormatting sqref="O50">
    <cfRule type="expression" dxfId="132" priority="99" stopIfTrue="1">
      <formula>$P50="ATRASADO"</formula>
    </cfRule>
    <cfRule type="expression" dxfId="131" priority="100">
      <formula>$P50="VIGENTE"</formula>
    </cfRule>
  </conditionalFormatting>
  <conditionalFormatting sqref="P50">
    <cfRule type="containsText" dxfId="130" priority="97" operator="containsText" text="ATRASADO">
      <formula>NOT(ISERROR(SEARCH("ATRASADO",P50)))</formula>
    </cfRule>
    <cfRule type="containsText" dxfId="129" priority="98" operator="containsText" text="VIGENTE">
      <formula>NOT(ISERROR(SEARCH("VIGENTE",P50)))</formula>
    </cfRule>
  </conditionalFormatting>
  <conditionalFormatting sqref="O51">
    <cfRule type="expression" dxfId="128" priority="95" stopIfTrue="1">
      <formula>$P51="ATRASADO"</formula>
    </cfRule>
    <cfRule type="expression" dxfId="127" priority="96">
      <formula>$P51="VIGENTE"</formula>
    </cfRule>
  </conditionalFormatting>
  <conditionalFormatting sqref="P51">
    <cfRule type="containsText" dxfId="126" priority="93" operator="containsText" text="ATRASADO">
      <formula>NOT(ISERROR(SEARCH("ATRASADO",P51)))</formula>
    </cfRule>
    <cfRule type="containsText" dxfId="125" priority="94" operator="containsText" text="VIGENTE">
      <formula>NOT(ISERROR(SEARCH("VIGENTE",P51)))</formula>
    </cfRule>
  </conditionalFormatting>
  <conditionalFormatting sqref="O52">
    <cfRule type="expression" dxfId="124" priority="91" stopIfTrue="1">
      <formula>$P52="ATRASADO"</formula>
    </cfRule>
    <cfRule type="expression" dxfId="123" priority="92">
      <formula>$P52="VIGENTE"</formula>
    </cfRule>
  </conditionalFormatting>
  <conditionalFormatting sqref="P52">
    <cfRule type="containsText" dxfId="122" priority="89" operator="containsText" text="ATRASADO">
      <formula>NOT(ISERROR(SEARCH("ATRASADO",P52)))</formula>
    </cfRule>
    <cfRule type="containsText" dxfId="121" priority="90" operator="containsText" text="VIGENTE">
      <formula>NOT(ISERROR(SEARCH("VIGENTE",P52)))</formula>
    </cfRule>
  </conditionalFormatting>
  <conditionalFormatting sqref="O53">
    <cfRule type="expression" dxfId="120" priority="87" stopIfTrue="1">
      <formula>$P53="ATRASADO"</formula>
    </cfRule>
    <cfRule type="expression" dxfId="119" priority="88">
      <formula>$P53="VIGENTE"</formula>
    </cfRule>
  </conditionalFormatting>
  <conditionalFormatting sqref="P53">
    <cfRule type="containsText" dxfId="118" priority="85" operator="containsText" text="ATRASADO">
      <formula>NOT(ISERROR(SEARCH("ATRASADO",P53)))</formula>
    </cfRule>
    <cfRule type="containsText" dxfId="117" priority="86" operator="containsText" text="VIGENTE">
      <formula>NOT(ISERROR(SEARCH("VIGENTE",P53)))</formula>
    </cfRule>
  </conditionalFormatting>
  <conditionalFormatting sqref="O54">
    <cfRule type="expression" dxfId="116" priority="83" stopIfTrue="1">
      <formula>$P54="ATRASADO"</formula>
    </cfRule>
    <cfRule type="expression" dxfId="115" priority="84">
      <formula>$P54="VIGENTE"</formula>
    </cfRule>
  </conditionalFormatting>
  <conditionalFormatting sqref="P54">
    <cfRule type="containsText" dxfId="114" priority="81" operator="containsText" text="ATRASADO">
      <formula>NOT(ISERROR(SEARCH("ATRASADO",P54)))</formula>
    </cfRule>
    <cfRule type="containsText" dxfId="113" priority="82" operator="containsText" text="VIGENTE">
      <formula>NOT(ISERROR(SEARCH("VIGENTE",P54)))</formula>
    </cfRule>
  </conditionalFormatting>
  <conditionalFormatting sqref="O55">
    <cfRule type="expression" dxfId="112" priority="79" stopIfTrue="1">
      <formula>$P55="ATRASADO"</formula>
    </cfRule>
    <cfRule type="expression" dxfId="111" priority="80">
      <formula>$P55="VIGENTE"</formula>
    </cfRule>
  </conditionalFormatting>
  <conditionalFormatting sqref="P55">
    <cfRule type="containsText" dxfId="110" priority="77" operator="containsText" text="ATRASADO">
      <formula>NOT(ISERROR(SEARCH("ATRASADO",P55)))</formula>
    </cfRule>
    <cfRule type="containsText" dxfId="109" priority="78" operator="containsText" text="VIGENTE">
      <formula>NOT(ISERROR(SEARCH("VIGENTE",P55)))</formula>
    </cfRule>
  </conditionalFormatting>
  <conditionalFormatting sqref="O56">
    <cfRule type="expression" dxfId="108" priority="75" stopIfTrue="1">
      <formula>$P56="ATRASADO"</formula>
    </cfRule>
    <cfRule type="expression" dxfId="107" priority="76">
      <formula>$P56="VIGENTE"</formula>
    </cfRule>
  </conditionalFormatting>
  <conditionalFormatting sqref="P56">
    <cfRule type="containsText" dxfId="106" priority="73" operator="containsText" text="ATRASADO">
      <formula>NOT(ISERROR(SEARCH("ATRASADO",P56)))</formula>
    </cfRule>
    <cfRule type="containsText" dxfId="105" priority="74" operator="containsText" text="VIGENTE">
      <formula>NOT(ISERROR(SEARCH("VIGENTE",P56)))</formula>
    </cfRule>
  </conditionalFormatting>
  <conditionalFormatting sqref="O57">
    <cfRule type="expression" dxfId="104" priority="71" stopIfTrue="1">
      <formula>$P57="ATRASADO"</formula>
    </cfRule>
    <cfRule type="expression" dxfId="103" priority="72">
      <formula>$P57="VIGENTE"</formula>
    </cfRule>
  </conditionalFormatting>
  <conditionalFormatting sqref="P57">
    <cfRule type="containsText" dxfId="102" priority="69" operator="containsText" text="ATRASADO">
      <formula>NOT(ISERROR(SEARCH("ATRASADO",P57)))</formula>
    </cfRule>
    <cfRule type="containsText" dxfId="101" priority="70" operator="containsText" text="VIGENTE">
      <formula>NOT(ISERROR(SEARCH("VIGENTE",P57)))</formula>
    </cfRule>
  </conditionalFormatting>
  <conditionalFormatting sqref="O58">
    <cfRule type="expression" dxfId="100" priority="67" stopIfTrue="1">
      <formula>$P58="ATRASADO"</formula>
    </cfRule>
    <cfRule type="expression" dxfId="99" priority="68">
      <formula>$P58="VIGENTE"</formula>
    </cfRule>
  </conditionalFormatting>
  <conditionalFormatting sqref="P58">
    <cfRule type="containsText" dxfId="98" priority="65" operator="containsText" text="ATRASADO">
      <formula>NOT(ISERROR(SEARCH("ATRASADO",P58)))</formula>
    </cfRule>
    <cfRule type="containsText" dxfId="97" priority="66" operator="containsText" text="VIGENTE">
      <formula>NOT(ISERROR(SEARCH("VIGENTE",P58)))</formula>
    </cfRule>
  </conditionalFormatting>
  <conditionalFormatting sqref="O59">
    <cfRule type="expression" dxfId="96" priority="63" stopIfTrue="1">
      <formula>$P59="ATRASADO"</formula>
    </cfRule>
    <cfRule type="expression" dxfId="95" priority="64">
      <formula>$P59="VIGENTE"</formula>
    </cfRule>
  </conditionalFormatting>
  <conditionalFormatting sqref="P59">
    <cfRule type="containsText" dxfId="94" priority="61" operator="containsText" text="ATRASADO">
      <formula>NOT(ISERROR(SEARCH("ATRASADO",P59)))</formula>
    </cfRule>
    <cfRule type="containsText" dxfId="93" priority="62" operator="containsText" text="VIGENTE">
      <formula>NOT(ISERROR(SEARCH("VIGENTE",P59)))</formula>
    </cfRule>
  </conditionalFormatting>
  <conditionalFormatting sqref="O60">
    <cfRule type="expression" dxfId="92" priority="59" stopIfTrue="1">
      <formula>$P60="ATRASADO"</formula>
    </cfRule>
    <cfRule type="expression" dxfId="91" priority="60">
      <formula>$P60="VIGENTE"</formula>
    </cfRule>
  </conditionalFormatting>
  <conditionalFormatting sqref="P60">
    <cfRule type="containsText" dxfId="90" priority="57" operator="containsText" text="ATRASADO">
      <formula>NOT(ISERROR(SEARCH("ATRASADO",P60)))</formula>
    </cfRule>
    <cfRule type="containsText" dxfId="89" priority="58" operator="containsText" text="VIGENTE">
      <formula>NOT(ISERROR(SEARCH("VIGENTE",P60)))</formula>
    </cfRule>
  </conditionalFormatting>
  <conditionalFormatting sqref="O61">
    <cfRule type="expression" dxfId="88" priority="55" stopIfTrue="1">
      <formula>$P61="ATRASADO"</formula>
    </cfRule>
    <cfRule type="expression" dxfId="87" priority="56">
      <formula>$P61="VIGENTE"</formula>
    </cfRule>
  </conditionalFormatting>
  <conditionalFormatting sqref="P61">
    <cfRule type="containsText" dxfId="86" priority="53" operator="containsText" text="ATRASADO">
      <formula>NOT(ISERROR(SEARCH("ATRASADO",P61)))</formula>
    </cfRule>
    <cfRule type="containsText" dxfId="85" priority="54" operator="containsText" text="VIGENTE">
      <formula>NOT(ISERROR(SEARCH("VIGENTE",P61)))</formula>
    </cfRule>
  </conditionalFormatting>
  <conditionalFormatting sqref="O62">
    <cfRule type="expression" dxfId="84" priority="51" stopIfTrue="1">
      <formula>$P62="ATRASADO"</formula>
    </cfRule>
    <cfRule type="expression" dxfId="83" priority="52">
      <formula>$P62="VIGENTE"</formula>
    </cfRule>
  </conditionalFormatting>
  <conditionalFormatting sqref="P62">
    <cfRule type="containsText" dxfId="82" priority="49" operator="containsText" text="ATRASADO">
      <formula>NOT(ISERROR(SEARCH("ATRASADO",P62)))</formula>
    </cfRule>
    <cfRule type="containsText" dxfId="81" priority="50" operator="containsText" text="VIGENTE">
      <formula>NOT(ISERROR(SEARCH("VIGENTE",P62)))</formula>
    </cfRule>
  </conditionalFormatting>
  <conditionalFormatting sqref="O63">
    <cfRule type="expression" dxfId="80" priority="47" stopIfTrue="1">
      <formula>$P63="ATRASADO"</formula>
    </cfRule>
    <cfRule type="expression" dxfId="79" priority="48">
      <formula>$P63="VIGENTE"</formula>
    </cfRule>
  </conditionalFormatting>
  <conditionalFormatting sqref="P63">
    <cfRule type="containsText" dxfId="78" priority="45" operator="containsText" text="ATRASADO">
      <formula>NOT(ISERROR(SEARCH("ATRASADO",P63)))</formula>
    </cfRule>
    <cfRule type="containsText" dxfId="77" priority="46" operator="containsText" text="VIGENTE">
      <formula>NOT(ISERROR(SEARCH("VIGENTE",P63)))</formula>
    </cfRule>
  </conditionalFormatting>
  <conditionalFormatting sqref="O64">
    <cfRule type="expression" dxfId="76" priority="43" stopIfTrue="1">
      <formula>$P64="ATRASADO"</formula>
    </cfRule>
    <cfRule type="expression" dxfId="75" priority="44">
      <formula>$P64="VIGENTE"</formula>
    </cfRule>
  </conditionalFormatting>
  <conditionalFormatting sqref="P64">
    <cfRule type="containsText" dxfId="74" priority="41" operator="containsText" text="ATRASADO">
      <formula>NOT(ISERROR(SEARCH("ATRASADO",P64)))</formula>
    </cfRule>
    <cfRule type="containsText" dxfId="73" priority="42" operator="containsText" text="VIGENTE">
      <formula>NOT(ISERROR(SEARCH("VIGENTE",P64)))</formula>
    </cfRule>
  </conditionalFormatting>
  <conditionalFormatting sqref="O65">
    <cfRule type="expression" dxfId="72" priority="39" stopIfTrue="1">
      <formula>$P65="ATRASADO"</formula>
    </cfRule>
    <cfRule type="expression" dxfId="71" priority="40">
      <formula>$P65="VIGENTE"</formula>
    </cfRule>
  </conditionalFormatting>
  <conditionalFormatting sqref="P65">
    <cfRule type="containsText" dxfId="70" priority="37" operator="containsText" text="ATRASADO">
      <formula>NOT(ISERROR(SEARCH("ATRASADO",P65)))</formula>
    </cfRule>
    <cfRule type="containsText" dxfId="69" priority="38" operator="containsText" text="VIGENTE">
      <formula>NOT(ISERROR(SEARCH("VIGENTE",P65)))</formula>
    </cfRule>
  </conditionalFormatting>
  <conditionalFormatting sqref="O66">
    <cfRule type="expression" dxfId="68" priority="35" stopIfTrue="1">
      <formula>$P66="ATRASADO"</formula>
    </cfRule>
    <cfRule type="expression" dxfId="67" priority="36">
      <formula>$P66="VIGENTE"</formula>
    </cfRule>
  </conditionalFormatting>
  <conditionalFormatting sqref="P66">
    <cfRule type="containsText" dxfId="66" priority="33" operator="containsText" text="ATRASADO">
      <formula>NOT(ISERROR(SEARCH("ATRASADO",P66)))</formula>
    </cfRule>
    <cfRule type="containsText" dxfId="65" priority="34" operator="containsText" text="VIGENTE">
      <formula>NOT(ISERROR(SEARCH("VIGENTE",P66)))</formula>
    </cfRule>
  </conditionalFormatting>
  <conditionalFormatting sqref="O67">
    <cfRule type="expression" dxfId="64" priority="31" stopIfTrue="1">
      <formula>$P67="ATRASADO"</formula>
    </cfRule>
    <cfRule type="expression" dxfId="63" priority="32">
      <formula>$P67="VIGENTE"</formula>
    </cfRule>
  </conditionalFormatting>
  <conditionalFormatting sqref="P67">
    <cfRule type="containsText" dxfId="62" priority="29" operator="containsText" text="ATRASADO">
      <formula>NOT(ISERROR(SEARCH("ATRASADO",P67)))</formula>
    </cfRule>
    <cfRule type="containsText" dxfId="61" priority="30" operator="containsText" text="VIGENTE">
      <formula>NOT(ISERROR(SEARCH("VIGENTE",P67)))</formula>
    </cfRule>
  </conditionalFormatting>
  <conditionalFormatting sqref="O68">
    <cfRule type="expression" dxfId="60" priority="27" stopIfTrue="1">
      <formula>$P68="ATRASADO"</formula>
    </cfRule>
    <cfRule type="expression" dxfId="59" priority="28">
      <formula>$P68="VIGENTE"</formula>
    </cfRule>
  </conditionalFormatting>
  <conditionalFormatting sqref="P68">
    <cfRule type="containsText" dxfId="58" priority="25" operator="containsText" text="ATRASADO">
      <formula>NOT(ISERROR(SEARCH("ATRASADO",P68)))</formula>
    </cfRule>
    <cfRule type="containsText" dxfId="57" priority="26" operator="containsText" text="VIGENTE">
      <formula>NOT(ISERROR(SEARCH("VIGENTE",P68)))</formula>
    </cfRule>
  </conditionalFormatting>
  <conditionalFormatting sqref="O69">
    <cfRule type="expression" dxfId="56" priority="23" stopIfTrue="1">
      <formula>$P69="ATRASADO"</formula>
    </cfRule>
    <cfRule type="expression" dxfId="55" priority="24">
      <formula>$P69="VIGENTE"</formula>
    </cfRule>
  </conditionalFormatting>
  <conditionalFormatting sqref="P69">
    <cfRule type="containsText" dxfId="54" priority="21" operator="containsText" text="ATRASADO">
      <formula>NOT(ISERROR(SEARCH("ATRASADO",P69)))</formula>
    </cfRule>
    <cfRule type="containsText" dxfId="53" priority="22" operator="containsText" text="VIGENTE">
      <formula>NOT(ISERROR(SEARCH("VIGENTE",P69)))</formula>
    </cfRule>
  </conditionalFormatting>
  <conditionalFormatting sqref="O70">
    <cfRule type="expression" dxfId="52" priority="19" stopIfTrue="1">
      <formula>$P70="ATRASADO"</formula>
    </cfRule>
    <cfRule type="expression" dxfId="51" priority="20">
      <formula>$P70="VIGENTE"</formula>
    </cfRule>
  </conditionalFormatting>
  <conditionalFormatting sqref="P70">
    <cfRule type="containsText" dxfId="50" priority="17" operator="containsText" text="ATRASADO">
      <formula>NOT(ISERROR(SEARCH("ATRASADO",P70)))</formula>
    </cfRule>
    <cfRule type="containsText" dxfId="49" priority="18" operator="containsText" text="VIGENTE">
      <formula>NOT(ISERROR(SEARCH("VIGENTE",P70)))</formula>
    </cfRule>
  </conditionalFormatting>
  <conditionalFormatting sqref="O71">
    <cfRule type="expression" dxfId="48" priority="15" stopIfTrue="1">
      <formula>$P71="ATRASADO"</formula>
    </cfRule>
    <cfRule type="expression" dxfId="47" priority="16">
      <formula>$P71="VIGENTE"</formula>
    </cfRule>
  </conditionalFormatting>
  <conditionalFormatting sqref="P71">
    <cfRule type="containsText" dxfId="46" priority="13" operator="containsText" text="ATRASADO">
      <formula>NOT(ISERROR(SEARCH("ATRASADO",P71)))</formula>
    </cfRule>
    <cfRule type="containsText" dxfId="45" priority="14" operator="containsText" text="VIGENTE">
      <formula>NOT(ISERROR(SEARCH("VIGENTE",P71)))</formula>
    </cfRule>
  </conditionalFormatting>
  <conditionalFormatting sqref="O72">
    <cfRule type="expression" dxfId="44" priority="11" stopIfTrue="1">
      <formula>$P72="ATRASADO"</formula>
    </cfRule>
    <cfRule type="expression" dxfId="43" priority="12">
      <formula>$P72="VIGENTE"</formula>
    </cfRule>
  </conditionalFormatting>
  <conditionalFormatting sqref="P72">
    <cfRule type="containsText" dxfId="42" priority="9" operator="containsText" text="ATRASADO">
      <formula>NOT(ISERROR(SEARCH("ATRASADO",P72)))</formula>
    </cfRule>
    <cfRule type="containsText" dxfId="41" priority="10" operator="containsText" text="VIGENTE">
      <formula>NOT(ISERROR(SEARCH("VIGENTE",P72)))</formula>
    </cfRule>
  </conditionalFormatting>
  <conditionalFormatting sqref="O73">
    <cfRule type="expression" dxfId="40" priority="7" stopIfTrue="1">
      <formula>$P73="ATRASADO"</formula>
    </cfRule>
    <cfRule type="expression" dxfId="39" priority="8">
      <formula>$P73="VIGENTE"</formula>
    </cfRule>
  </conditionalFormatting>
  <conditionalFormatting sqref="P73">
    <cfRule type="containsText" dxfId="38" priority="5" operator="containsText" text="ATRASADO">
      <formula>NOT(ISERROR(SEARCH("ATRASADO",P73)))</formula>
    </cfRule>
    <cfRule type="containsText" dxfId="37" priority="6" operator="containsText" text="VIGENTE">
      <formula>NOT(ISERROR(SEARCH("VIGENTE",P73)))</formula>
    </cfRule>
  </conditionalFormatting>
  <pageMargins left="0.7" right="0.7" top="0.75" bottom="0.75" header="0.3" footer="0.3"/>
  <pageSetup orientation="portrait" r:id="rId1"/>
  <headerFooter>
    <oddFooter>&amp;L&amp;8Planilla diseñada por María Cisterna Escobar, matrona&amp;R&amp;8Datos ficticios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4"/>
  <dimension ref="A2:T13"/>
  <sheetViews>
    <sheetView zoomScale="90" zoomScaleNormal="90" workbookViewId="0">
      <selection activeCell="F4" sqref="F4"/>
    </sheetView>
  </sheetViews>
  <sheetFormatPr baseColWidth="10" defaultRowHeight="14.4" x14ac:dyDescent="0.3"/>
  <cols>
    <col min="3" max="3" width="11.5546875" customWidth="1"/>
    <col min="17" max="17" width="7.5546875" customWidth="1"/>
    <col min="18" max="18" width="8.6640625" customWidth="1"/>
  </cols>
  <sheetData>
    <row r="2" spans="1:20" ht="15" thickBot="1" x14ac:dyDescent="0.35"/>
    <row r="3" spans="1:20" x14ac:dyDescent="0.3">
      <c r="A3" s="829" t="s">
        <v>34</v>
      </c>
      <c r="B3" s="830" t="s">
        <v>22</v>
      </c>
      <c r="C3" s="831" t="s">
        <v>23</v>
      </c>
      <c r="D3" s="831" t="s">
        <v>24</v>
      </c>
      <c r="E3" s="831" t="s">
        <v>25</v>
      </c>
      <c r="F3" s="831" t="s">
        <v>26</v>
      </c>
      <c r="G3" s="831" t="s">
        <v>27</v>
      </c>
      <c r="H3" s="831" t="s">
        <v>28</v>
      </c>
      <c r="I3" s="831" t="s">
        <v>29</v>
      </c>
      <c r="J3" s="831" t="s">
        <v>30</v>
      </c>
      <c r="K3" s="831" t="s">
        <v>31</v>
      </c>
      <c r="L3" s="831" t="s">
        <v>32</v>
      </c>
      <c r="M3" s="831" t="s">
        <v>33</v>
      </c>
      <c r="N3" s="832" t="s">
        <v>35</v>
      </c>
      <c r="P3" s="1259" t="s">
        <v>36</v>
      </c>
      <c r="Q3" s="1260"/>
      <c r="R3" s="1261"/>
      <c r="S3" s="829" t="s">
        <v>41</v>
      </c>
    </row>
    <row r="4" spans="1:20" ht="15" thickBot="1" x14ac:dyDescent="0.35">
      <c r="A4" s="835">
        <v>2023</v>
      </c>
      <c r="B4" s="197">
        <f>SUMPRODUCT(1*(MONTH('2023'!I4:I128) =1))</f>
        <v>125</v>
      </c>
      <c r="C4" s="191" cm="1">
        <f t="array" ref="C4">SUMPRODUCT(1*(MONTH('2023'!I4:I313) =2))</f>
        <v>169</v>
      </c>
      <c r="D4" s="191" cm="1">
        <f t="array" ref="D4">SUMPRODUCT(1*(MONTH('2023'!I4:I503) =3))</f>
        <v>119</v>
      </c>
      <c r="E4" s="191">
        <f>SUMPRODUCT(1*(MONTH('2023'!I4:I449) =4))</f>
        <v>32</v>
      </c>
      <c r="F4" s="191">
        <f>SUMPRODUCT(1*(MONTH('2023'!I4:I449) =5))</f>
        <v>1</v>
      </c>
      <c r="G4" s="191">
        <f>SUMPRODUCT(1*(MONTH('2023'!I4:I416) =6))</f>
        <v>0</v>
      </c>
      <c r="H4" s="191">
        <f>SUMPRODUCT(1*(MONTH('2023'!I4:I416) =7))</f>
        <v>0</v>
      </c>
      <c r="I4" s="191">
        <f>SUMPRODUCT(1*(MONTH('2023'!I4:I416) =8))</f>
        <v>0</v>
      </c>
      <c r="J4" s="191">
        <f>SUMPRODUCT(1*(MONTH('2023'!I4:I416) =9))</f>
        <v>0</v>
      </c>
      <c r="K4" s="191">
        <f>SUMPRODUCT(1*(MONTH('2023'!I4:I416) =10))</f>
        <v>0</v>
      </c>
      <c r="L4" s="191">
        <f>SUMPRODUCT(1*(MONTH('2023'!I4:I416) =11))</f>
        <v>0</v>
      </c>
      <c r="M4" s="191">
        <f>SUMPRODUCT(1*(MONTH('2023'!I4:I416) =12))</f>
        <v>0</v>
      </c>
      <c r="N4" s="194">
        <f>SUM(B4:M4)</f>
        <v>446</v>
      </c>
      <c r="P4" s="833" t="s">
        <v>34</v>
      </c>
      <c r="Q4" s="1265" t="s">
        <v>35</v>
      </c>
      <c r="R4" s="1266"/>
      <c r="S4" s="1119" t="s">
        <v>35</v>
      </c>
    </row>
    <row r="5" spans="1:20" x14ac:dyDescent="0.3">
      <c r="A5" s="205">
        <v>2022</v>
      </c>
      <c r="B5" s="202" cm="1">
        <f t="array" ref="B5">SUMPRODUCT(1*(MONTH('2022'!I5:I672) =1))</f>
        <v>0</v>
      </c>
      <c r="C5" s="202" cm="1">
        <f t="array" ref="C5">SUMPRODUCT(1*(MONTH('2022'!I5:I672) =2))</f>
        <v>11</v>
      </c>
      <c r="D5" s="202">
        <f>SUMPRODUCT(1*(MONTH('2022'!I5:I672) =3))</f>
        <v>130</v>
      </c>
      <c r="E5" s="202">
        <f>SUMPRODUCT(1*(MONTH('2022'!I5:I672) =4))</f>
        <v>143</v>
      </c>
      <c r="F5" s="202">
        <f>SUMPRODUCT(1*(MONTH('2022'!I5:I672) =5))</f>
        <v>137</v>
      </c>
      <c r="G5" s="202">
        <f>SUMPRODUCT(1*(MONTH('2022'!I5:I672) =6))</f>
        <v>65</v>
      </c>
      <c r="H5" s="202">
        <f>SUMPRODUCT(1*(MONTH('2022'!I5:I672) =7))</f>
        <v>84</v>
      </c>
      <c r="I5" s="202" cm="1">
        <f t="array" ref="I5">SUMPRODUCT(1*(MONTH('2022'!I5:I1190) =8))</f>
        <v>154</v>
      </c>
      <c r="J5" s="202" cm="1">
        <f t="array" ref="J5">SUMPRODUCT(1*(MONTH('2022'!I5:I988) =9))</f>
        <v>91</v>
      </c>
      <c r="K5" s="202" cm="1">
        <f t="array" ref="K5">SUMPRODUCT(1*(MONTH('2022'!I5:I1988) =10))</f>
        <v>106</v>
      </c>
      <c r="L5" s="202" cm="1">
        <f t="array" ref="L5">SUMPRODUCT(1*(MONTH('2022'!I5:I1988) =11))</f>
        <v>174</v>
      </c>
      <c r="M5" s="202" cm="1">
        <f t="array" ref="M5">SUMPRODUCT(1*(MONTH('2022'!I5:I1979) =12))</f>
        <v>86</v>
      </c>
      <c r="N5" s="203">
        <f>SUM(B5:M5)</f>
        <v>1181</v>
      </c>
      <c r="P5" s="834">
        <v>2023</v>
      </c>
      <c r="Q5" s="1262">
        <f>COUNTIF('2023'!K:N,"T")</f>
        <v>0</v>
      </c>
      <c r="R5" s="1262"/>
      <c r="S5" s="1118">
        <f>COUNTIF('2023'!K:N,"A1")</f>
        <v>0</v>
      </c>
      <c r="T5" s="1122"/>
    </row>
    <row r="6" spans="1:20" x14ac:dyDescent="0.3">
      <c r="A6" s="206">
        <v>2021</v>
      </c>
      <c r="B6" s="197" cm="1">
        <f t="array" ref="B6">SUMPRODUCT(1*(MONTH('2021'!B4:B427) =1))</f>
        <v>0</v>
      </c>
      <c r="C6" s="191" cm="1">
        <f t="array" ref="C6">SUMPRODUCT(1*(MONTH('2021'!B4:B427) =2))</f>
        <v>0</v>
      </c>
      <c r="D6" s="191" cm="1">
        <f t="array" ref="D6">SUMPRODUCT(1*(MONTH('2021'!B4:B427) =3))</f>
        <v>0</v>
      </c>
      <c r="E6" s="191" cm="1">
        <f t="array" ref="E6">SUMPRODUCT(1*(MONTH('2021'!B4:B427) =4))</f>
        <v>0</v>
      </c>
      <c r="F6" s="189" cm="1">
        <f t="array" ref="F6">SUMPRODUCT(1*(MONTH('2021'!B4:B427) =5))</f>
        <v>85</v>
      </c>
      <c r="G6" s="191" cm="1">
        <f t="array" ref="G6">SUMPRODUCT(1*(MONTH('2021'!B4:B427) =6))</f>
        <v>0</v>
      </c>
      <c r="H6" s="191" cm="1">
        <f t="array" ref="H6">SUMPRODUCT(1*(MONTH('2021'!B4:B427) =7))</f>
        <v>0</v>
      </c>
      <c r="I6" s="189" cm="1">
        <f t="array" ref="I6">SUMPRODUCT(1*(MONTH('2021'!B4:B427) =8))</f>
        <v>12</v>
      </c>
      <c r="J6" s="189" cm="1">
        <f t="array" ref="J6">SUMPRODUCT(1*(MONTH('2021'!B4:B427) =9))</f>
        <v>63</v>
      </c>
      <c r="K6" s="189" cm="1">
        <f t="array" ref="K6">SUMPRODUCT(1*(MONTH('2021'!B4:B427) =10))</f>
        <v>106</v>
      </c>
      <c r="L6" s="189" cm="1">
        <f t="array" ref="L6">SUMPRODUCT(1*(MONTH('2021'!B4:B427) =11))</f>
        <v>57</v>
      </c>
      <c r="M6" s="189" cm="1">
        <f t="array" ref="M6">SUMPRODUCT(1*(MONTH('2021'!B4:B427) =12))</f>
        <v>101</v>
      </c>
      <c r="N6" s="194">
        <f>SUM(B6:M6)</f>
        <v>424</v>
      </c>
      <c r="P6" s="190">
        <v>2022</v>
      </c>
      <c r="Q6" s="1263">
        <f>COUNTIF('2022'!K:N,"T")</f>
        <v>1</v>
      </c>
      <c r="R6" s="1263"/>
      <c r="S6" s="1120">
        <f>COUNTIF('2022'!K:N,"A1")</f>
        <v>11</v>
      </c>
      <c r="T6" s="1122"/>
    </row>
    <row r="7" spans="1:20" x14ac:dyDescent="0.3">
      <c r="A7" s="200">
        <v>2020</v>
      </c>
      <c r="B7" s="198">
        <v>294</v>
      </c>
      <c r="C7" s="192">
        <v>104</v>
      </c>
      <c r="D7" s="192">
        <v>0</v>
      </c>
      <c r="E7" s="192">
        <v>0</v>
      </c>
      <c r="F7" s="192">
        <v>0</v>
      </c>
      <c r="G7" s="192">
        <v>0</v>
      </c>
      <c r="H7" s="192">
        <v>0</v>
      </c>
      <c r="I7" s="192">
        <v>0</v>
      </c>
      <c r="J7" s="192">
        <v>0</v>
      </c>
      <c r="K7" s="192">
        <v>0</v>
      </c>
      <c r="L7" s="192">
        <v>0</v>
      </c>
      <c r="M7" s="192">
        <v>0</v>
      </c>
      <c r="N7" s="194">
        <f>SUM(B7:M7)</f>
        <v>398</v>
      </c>
      <c r="P7" s="190">
        <v>2021</v>
      </c>
      <c r="Q7" s="1264">
        <f>COUNTIF('2021'!H4:H500,"*"&amp;"T"&amp;"*")</f>
        <v>65</v>
      </c>
      <c r="R7" s="1264"/>
      <c r="S7" s="1120">
        <f>COUNTIF('2021'!K:N,"A1")</f>
        <v>0</v>
      </c>
      <c r="T7" s="1122"/>
    </row>
    <row r="8" spans="1:20" x14ac:dyDescent="0.3">
      <c r="A8" s="200">
        <v>2019</v>
      </c>
      <c r="B8" s="198">
        <v>97</v>
      </c>
      <c r="C8" s="192">
        <v>212</v>
      </c>
      <c r="D8" s="192">
        <v>137</v>
      </c>
      <c r="E8" s="192">
        <v>103</v>
      </c>
      <c r="F8" s="192">
        <v>186</v>
      </c>
      <c r="G8" s="192">
        <v>196</v>
      </c>
      <c r="H8" s="192">
        <v>216</v>
      </c>
      <c r="I8" s="192">
        <v>260</v>
      </c>
      <c r="J8" s="192">
        <v>175</v>
      </c>
      <c r="K8" s="192">
        <v>173</v>
      </c>
      <c r="L8" s="192">
        <v>171</v>
      </c>
      <c r="M8" s="192">
        <v>166</v>
      </c>
      <c r="N8" s="194">
        <f t="shared" ref="N8:N10" si="0">SUM(B8:M8)</f>
        <v>2092</v>
      </c>
      <c r="S8" s="1121"/>
    </row>
    <row r="9" spans="1:20" x14ac:dyDescent="0.3">
      <c r="A9" s="200">
        <v>2018</v>
      </c>
      <c r="B9" s="198">
        <v>74</v>
      </c>
      <c r="C9" s="192">
        <v>72</v>
      </c>
      <c r="D9" s="192">
        <v>83</v>
      </c>
      <c r="E9" s="192">
        <v>88</v>
      </c>
      <c r="F9" s="192">
        <v>88</v>
      </c>
      <c r="G9" s="192">
        <v>36</v>
      </c>
      <c r="H9" s="192">
        <v>51</v>
      </c>
      <c r="I9" s="192">
        <v>60</v>
      </c>
      <c r="J9" s="192">
        <v>43</v>
      </c>
      <c r="K9" s="192">
        <v>91</v>
      </c>
      <c r="L9" s="192">
        <v>97</v>
      </c>
      <c r="M9" s="192">
        <v>81</v>
      </c>
      <c r="N9" s="194">
        <f t="shared" si="0"/>
        <v>864</v>
      </c>
    </row>
    <row r="10" spans="1:20" ht="15" thickBot="1" x14ac:dyDescent="0.35">
      <c r="A10" s="201">
        <v>2017</v>
      </c>
      <c r="B10" s="199">
        <v>0</v>
      </c>
      <c r="C10" s="195">
        <v>0</v>
      </c>
      <c r="D10" s="195">
        <v>0</v>
      </c>
      <c r="E10" s="195">
        <v>82</v>
      </c>
      <c r="F10" s="195">
        <v>56</v>
      </c>
      <c r="G10" s="195">
        <v>84</v>
      </c>
      <c r="H10" s="195">
        <v>92</v>
      </c>
      <c r="I10" s="195">
        <v>75</v>
      </c>
      <c r="J10" s="195">
        <v>62</v>
      </c>
      <c r="K10" s="195">
        <v>77</v>
      </c>
      <c r="L10" s="195">
        <v>91</v>
      </c>
      <c r="M10" s="195">
        <v>33</v>
      </c>
      <c r="N10" s="196">
        <f t="shared" si="0"/>
        <v>652</v>
      </c>
    </row>
    <row r="11" spans="1:20" ht="15" thickBot="1" x14ac:dyDescent="0.3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193">
        <f>SUM(N5:N10)</f>
        <v>5611</v>
      </c>
    </row>
    <row r="13" spans="1:20" x14ac:dyDescent="0.3">
      <c r="A13" t="s">
        <v>4281</v>
      </c>
    </row>
  </sheetData>
  <mergeCells count="5">
    <mergeCell ref="P3:R3"/>
    <mergeCell ref="Q5:R5"/>
    <mergeCell ref="Q6:R6"/>
    <mergeCell ref="Q7:R7"/>
    <mergeCell ref="Q4:R4"/>
  </mergeCells>
  <phoneticPr fontId="210" type="noConversion"/>
  <hyperlinks>
    <hyperlink ref="A5" location="'2022'!A1" display="'2022'!A1" xr:uid="{00000000-0004-0000-0600-000000000000}"/>
    <hyperlink ref="A6" location="'2021'!A1" display="'2021'!A1" xr:uid="{00000000-0004-0000-0600-000001000000}"/>
    <hyperlink ref="A4" location="'2023'!A1" display="'2023'!A1" xr:uid="{00000000-0004-0000-0600-000002000000}"/>
  </hyperlinks>
  <pageMargins left="0.7" right="0.7" top="0.75" bottom="0.75" header="0.3" footer="0.3"/>
  <pageSetup orientation="portrait" r:id="rId1"/>
  <headerFooter>
    <oddFooter>&amp;L&amp;8Planilla diseñada por María Cisterna Escobar, matrona&amp;R&amp;8Datos ficticios</oddFooter>
  </headerFooter>
  <ignoredErrors>
    <ignoredError sqref="N7:N10 B4:C4" formulaRange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2021</vt:lpstr>
      <vt:lpstr>2022</vt:lpstr>
      <vt:lpstr>2023</vt:lpstr>
      <vt:lpstr>TOTAL PACIENTES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Registro PAP — planilla demostrativa (datos ficticios)</dc:title>
  <dc:creator>María Cisterna Escobar</dc:creator>
  <cp:lastModifiedBy>jorge del rio martinez</cp:lastModifiedBy>
  <dcterms:created xsi:type="dcterms:W3CDTF">2022-03-02T14:59:10Z</dcterms:created>
  <dcterms:modified xsi:type="dcterms:W3CDTF">2026-10-01T19:44:54Z</dcterms:modified>
</cp:coreProperties>
</file>